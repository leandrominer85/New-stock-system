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de Preço 02_2022" sheetId="1" r:id="rId4"/>
  </sheets>
  <definedNames/>
  <calcPr/>
  <extLst>
    <ext uri="GoogleSheetsCustomDataVersion1">
      <go:sheetsCustomData xmlns:go="http://customooxmlschemas.google.com/" r:id="rId5" roundtripDataSignature="AMtx7mgyzNWEPM1AKHfsgcDNZxn2eB5GyQ=="/>
    </ext>
  </extLst>
</workbook>
</file>

<file path=xl/sharedStrings.xml><?xml version="1.0" encoding="utf-8"?>
<sst xmlns="http://schemas.openxmlformats.org/spreadsheetml/2006/main" count="12618" uniqueCount="4250">
  <si>
    <t xml:space="preserve">         Lista de Preços - 03/2022 - Leve e Pesada</t>
  </si>
  <si>
    <t>Atualizado em: 13/06/2022</t>
  </si>
  <si>
    <t>Em vigor: 01/07/2022</t>
  </si>
  <si>
    <t>Verde: Lançamentos</t>
  </si>
  <si>
    <t>Código</t>
  </si>
  <si>
    <t>Preço</t>
  </si>
  <si>
    <t>Liquido S/Imp</t>
  </si>
  <si>
    <t>Preço C/Imp SP</t>
  </si>
  <si>
    <t>IPI</t>
  </si>
  <si>
    <t>ICMS SP</t>
  </si>
  <si>
    <t>Leve/Pesada</t>
  </si>
  <si>
    <t>Produto</t>
  </si>
  <si>
    <t>Aplicação</t>
  </si>
  <si>
    <t>Sub Grupo</t>
  </si>
  <si>
    <t>Montadora</t>
  </si>
  <si>
    <t>Nº Original</t>
  </si>
  <si>
    <t>NCM</t>
  </si>
  <si>
    <t>CEST</t>
  </si>
  <si>
    <t>Peso (Kg)</t>
  </si>
  <si>
    <t>Código de Barras</t>
  </si>
  <si>
    <t>Múltiplos</t>
  </si>
  <si>
    <t>AL-01</t>
  </si>
  <si>
    <t>Leve</t>
  </si>
  <si>
    <t>CUBO DE RODA</t>
  </si>
  <si>
    <t xml:space="preserve">FORD - Escort 1.6 08/1980 &gt; 08/1990; Escort Hobby &lt; 1995; Escort III RS Turbo 11/1984 &gt; 12/1985; Escort XR3 1.8 1982 &gt; 1992; Escort XR3/i 1.6 08/1980 &gt; 1992; Verona todos &lt; 1992; VOLKSWAGEN - Apollo todos 1990 &gt;; </t>
  </si>
  <si>
    <t>CR - Leve</t>
  </si>
  <si>
    <t>FORD</t>
  </si>
  <si>
    <t>81AB1106BB</t>
  </si>
  <si>
    <t>01.075.00</t>
  </si>
  <si>
    <t>AL-02</t>
  </si>
  <si>
    <t>CAMBIO/TRAMB.</t>
  </si>
  <si>
    <t xml:space="preserve">FORD - Escort Todos Todos; </t>
  </si>
  <si>
    <t>Diversos - Leve</t>
  </si>
  <si>
    <t>86AU 6A022-AA</t>
  </si>
  <si>
    <t>AL-03</t>
  </si>
  <si>
    <t>86AU-6A069-AA</t>
  </si>
  <si>
    <t>AL-04</t>
  </si>
  <si>
    <t>Pesada</t>
  </si>
  <si>
    <t>EMBREAGEM</t>
  </si>
  <si>
    <t xml:space="preserve">FORD - 100  ; 1000  ; 11000  ; 12000 MWM 1993/1998; 14000 MWM 1993/1998; 2000  ; 21000  ; 350  ; 400  ; 4000  ; 600  1972/1980; 700  1977/1980; 750  1972/1977; F100  ; F1000  ; F11000  ; F12000  1981/1982; F12000  1993/1998; F14000  1980/1992; F14000  1993/1998; F19000  1981/1982; F2000  ; F21000  ; F350  ; F400  ; F4000  ; F600  1972/1980; F700  1977/1980; F750  1972/1977; VOLKSWAGEN - 12.140H  1991/1998; </t>
  </si>
  <si>
    <t>LP - Pesada</t>
  </si>
  <si>
    <t>TEG-141857</t>
  </si>
  <si>
    <t>AL-05</t>
  </si>
  <si>
    <t>TRIZETA</t>
  </si>
  <si>
    <t xml:space="preserve">FORD - Belina II 1977/1986; Corcel II ; Del Rey  1982/1988; Pampa 4x2 1981/1989; Pampa 4x4 1983/...; Scala TA 1982/1988; Scala TM 1981/1989; RENAULT - Clio  ; Laguna  ; Logan 1.6/16V ; Megane  ; Sandero 1.6/16V ; Scenic  ; </t>
  </si>
  <si>
    <t>TZ - Leve</t>
  </si>
  <si>
    <t>83NU3W007A</t>
  </si>
  <si>
    <t>AL-06</t>
  </si>
  <si>
    <t>SUSPENSÃO</t>
  </si>
  <si>
    <t xml:space="preserve">FORD - Escort  .../1985; </t>
  </si>
  <si>
    <t>78EB-5488-AB</t>
  </si>
  <si>
    <t>AL-07</t>
  </si>
  <si>
    <t xml:space="preserve">FORD - Escort  .../1986; </t>
  </si>
  <si>
    <t>86AU-5488-A</t>
  </si>
  <si>
    <t>AL-08</t>
  </si>
  <si>
    <t>TULIPA</t>
  </si>
  <si>
    <t xml:space="preserve">FORD - Belina  1970&gt;1991; Corcel II 1977&gt;1986; Del Rey  1981&gt;1991; Pampa  1982&gt;1997; </t>
  </si>
  <si>
    <t>TU - Leve</t>
  </si>
  <si>
    <t>BE3M3M104A</t>
  </si>
  <si>
    <t>AL-09</t>
  </si>
  <si>
    <t xml:space="preserve">FORD - Courier 16V 1997 &gt;; Ecosport todos 2003 &gt;; Ecosport Todos 2003&gt;; Escort (menos 2.0i) 1993 &gt; 1996; Escort 1.6 1992 &gt;; Escort Hobby 1993 &gt; 1996; Escort MK5 1993 &gt;; Escort S.W 1.6 2000 &gt;; Escort S.W 1.8i 16V 1996 &gt;; Escort S.W Zetec 1996 &gt;; Escort Zetec 1.6 2000 &gt;; Escort Zetec 1.8 16V 1996 &gt;; Fiesta 1.4 16V 1996 &gt; 1996; Fiesta III - 1.1 / 1.4 03/1989&gt;1995; Fiesta III 1.8 XR2i 16V 02/1992&gt;1996; Fiesta IV 1.2i 08/1995&gt;2002; Fiesta IV 1.4i 16V 04/1996&gt;2002; Fiesta Sedan 2002&gt;; Focus 1.6 8V 2000&gt;2008; Focus 1.8 16V 2000&gt;2008; Focus 2.0 2000&gt;2008; KA todos 1997 &gt;; Verona todos (menos 2.0i) 1993 &gt; 1996; Verona Zetec 1996 &gt;; VOLKSWAGEN - Logus todos s/ABS 1993 &gt; 1997; Pointer CL/GL (menos GTI 2.0) 1994 &gt; 1997; </t>
  </si>
  <si>
    <t>AL-10</t>
  </si>
  <si>
    <t xml:space="preserve">FORD - Belina II 1975 &gt; 1991; Corcel I/II 1975 &gt; 1983; Del Rey todos 1981 &gt; 1991; Pampa 4WD 1982 &gt;; Pampa todos 1986 &gt;; Scala L 1983 &gt;; </t>
  </si>
  <si>
    <t>87EU1104AA</t>
  </si>
  <si>
    <t>AL-100</t>
  </si>
  <si>
    <t>PONTA DE EIXO</t>
  </si>
  <si>
    <t xml:space="preserve">CHEVROLET / GM - Kadett Todos 1989&gt;; Monza Todos 1985&gt;; </t>
  </si>
  <si>
    <t>PE - Leve</t>
  </si>
  <si>
    <t>CHEVROLET</t>
  </si>
  <si>
    <t>AL-1000</t>
  </si>
  <si>
    <t>HOMOCINETICA</t>
  </si>
  <si>
    <t xml:space="preserve">VOLKSWAGEN - Kombi 1.6 02.1978/12.1997; Variant II 1978&gt;1981; </t>
  </si>
  <si>
    <t>PH - Utilitario</t>
  </si>
  <si>
    <t>VOLKSWAGEN</t>
  </si>
  <si>
    <t>153169/ 156169</t>
  </si>
  <si>
    <t>AL-1001</t>
  </si>
  <si>
    <t xml:space="preserve">VOLKSWAGEN - Kombi 1.4 Flex 2006 &gt; 2013; Kombi 1.6 01/1998 &gt; 2013; </t>
  </si>
  <si>
    <t>546.759/ 546/749</t>
  </si>
  <si>
    <t>AL-1003</t>
  </si>
  <si>
    <t xml:space="preserve">FORD - Belina 1.8 08.1989/04.1991; Del Rey 1.6 08.1989/04.1991; Del Rey 1.8 08.1989/04.1991; Escort 1.6 12.1992/12.1996; Escort 1.8 05.1989/11.1992; Pampa 1.8 08.1989/12.1997; Royale 1.8 02.1991/11.1992; Royale 2.0 02.1991/11.1992; Scala 1.8 08.1989/04.1991; Versailles 1.8 01.1990/09.1993; Versailles 2.0 01.1991/11.1992; VOLKSWAGEN - Apollo 1.8 1990/1992; Carat 1.8 1987/1997; Carat 2.0 1987/1997; Gol 1.0 16V 1997&gt;2001; Gol 1.0 8V 1992&gt;1996; Gol 1.3 8V 1980&gt;1986; Gol 1.6 1994/2006; Gol 1.6 8V 1986&gt;1994; Gol 1.6 8V AE 1989&gt;1994; Gol 1.6 8V Refr. Ar 1982&gt;1986; Gol 1.8 8V 1982/1994; Gol 1.8 8V 1994/2006; Gol 2.0 8V 1988/1994; Logus 1.6 1993/1996; Parati 1.0 16V 1997&gt;; Parati 1.6 8V 1982&gt;1996; Parati 1.6 8V 1994/...; Parati 1.8 8V 1982/1995; Parati 2.0 8V 1988/1995; Passat 1.5 1975&gt;1986; Passat 1.6 1975&gt;1988; Passat 1.8 1987/1988; Quantum 1.8 1986/1992; Quantum 2.0 8V 1986/1992; Santana 1.8 1984/1992; Santana 2.0 1984/1992; Saveiro 1.3 / 1.6 1984&gt;1986; Saveiro 1.6 1996/...; Saveiro 1.6 AE 1987&gt;1995; Saveiro 1.8 (AP) 1989/1995; Saveiro 1.8 1996/...; Saveiro 2.0 (AP) 1989/1995; Voyage 1.5 1982&gt;1989; Voyage 1.6 1987&gt;1989; Voyage 1.8 8V 1986/1987; </t>
  </si>
  <si>
    <t>PH - Leve</t>
  </si>
  <si>
    <t>AL-1004</t>
  </si>
  <si>
    <t xml:space="preserve">VOLKSWAGEN - Fox 1.0 8V 2009&gt;; Gol 1.0 8V - G5 2009&gt;; Voyage 1.0 8V 2009&gt;; </t>
  </si>
  <si>
    <t>5U0 498103</t>
  </si>
  <si>
    <t>AL-1008</t>
  </si>
  <si>
    <t xml:space="preserve">TOYOTA - Hilux SRV Turbo Diesel 2006&gt;; Hilux SW 3.0 Turbo Diesel 2005&gt;; Hilux SW4 2.5 - Turbo Diesel 2005&gt;; </t>
  </si>
  <si>
    <t>TOYOTA</t>
  </si>
  <si>
    <t>HILUX-SW/SRV</t>
  </si>
  <si>
    <t>AL-101</t>
  </si>
  <si>
    <t xml:space="preserve">CHEVROLET / GM - Agile  2010&gt;; Celta  2001&gt;; Corsa Classic/ Pick Up/ HatcH/ Sedan/ Wagon ; Prisma  2007&gt;; Tigra  ; </t>
  </si>
  <si>
    <t>AL-1010</t>
  </si>
  <si>
    <t xml:space="preserve">FORD - Royale 1.8 1984/1992; Royale 2.0 1984/1992; Versailles 1.8 s/ABS 1984/1992; Versailles 2.0 s/ABS 1984/1992; VOLKSWAGEN - Carat 1.8 1987/1997; Carat 2.0 1987/1997; Gol 1.0 Mi  - 8V/ 16V 1997&gt;2001; Gol 1.0 Plus 1997&gt;; Gol 1.6 1986/1994; Gol 1.6/ 1.8 11/1999&gt;; Gol 1.8 1986/1994; Gol 2.0 1988/1994; Parati 1.0 Mi 16V 1997&gt;2001; Parati 1.6 1986/1996; Parati 1.6 8V 1994&gt;; Parati 1.8 1986/1996; Parati 1.8 8V 1996&gt;; Passat 1.6 1986/1988; Passat 1.8 1975/1988; Quantum 1.8 8V 1986/1992; Quantum 2.0 8V 1986/1992; Santana s/ ABS 1984/1992; Saveiro 1.6 (AE) 1987/1995; Saveiro 1.6 / 1.8 08/1996; Saveiro 1.8 (AP) 1989/1995; Saveiro 2.0 1989/1995; Voyage 1.6 1986/1996; Voyage 1.8 1986/1996; </t>
  </si>
  <si>
    <t>325-129/A</t>
  </si>
  <si>
    <t>AL-1011</t>
  </si>
  <si>
    <t xml:space="preserve">FIAT - 128  1984/1986; Brio  1984/1994; Duna  1984/1994; Elba 1.3 1987/1996; Elba 1.5 1987/1996; Elba 1.6 1987/1996; Fiorino 1.0 1995/2000; Fiorino 1.3 1980/2006; Fiorino 1.5 1980/2006; Fiorino 1.6 1980/2006; Premio 1.3 1985/1995; Premio 1.5 1985/1995; Premio 1.6 1985/1995; Uno 1.0 1991/1995; Uno 1.3 1984/1996; Uno 1.5 1984/1996; Uno 1.5R 1984/1996; Uno 1.6 1984/1996; Uno 1.6R 1984/1996; Uno 1050 - s/ ABS 1985/1991; </t>
  </si>
  <si>
    <t>FIAT</t>
  </si>
  <si>
    <t>515-339</t>
  </si>
  <si>
    <t>AL-1013</t>
  </si>
  <si>
    <t xml:space="preserve">FORD - Belina 1.8 1989/1991; Del Rey 1.6 1989/1991; Del Rey 1.8 1989/1991; Pampa 1.8 - 4x2 09.1989/1997; Scala 1.8 1989/1997; </t>
  </si>
  <si>
    <t>1105-149</t>
  </si>
  <si>
    <t>AL-1014</t>
  </si>
  <si>
    <t xml:space="preserve">FORD - Belina  1971/1999; Corcel  1971/1999; Del Rey  1971/1999; Pampa 4x2 1971/1999; Pampa 4x4 1983/1997; Scala 1.6 1981/1989; </t>
  </si>
  <si>
    <t>295-149</t>
  </si>
  <si>
    <t>AL-1015</t>
  </si>
  <si>
    <t xml:space="preserve">VOLKSWAGEN - Gol  1975/1986; Parati  1975/1986; Passat  1975/1986; Saveiro  1975/1986; Voyage  1975/1986; </t>
  </si>
  <si>
    <t>325-129</t>
  </si>
  <si>
    <t>AL-1016</t>
  </si>
  <si>
    <t xml:space="preserve">CHEVROLET / GM - Ipanema  09/1993&gt;12/1997; Ipanema 1.8 1989/1993; Ipanema 2.0 1989/1997; Kadett  09/1993&gt;12/1997; Kadett 1.8 1989/1993; Kadett 2.0 1989/1997; Monza  09/1993&gt;12/1997; Monza 1.6 1982/1993; Monza 1.8 1982/1993; Monza 2.0 1985/1993; Vectra 1.8 / 2.0 - s/ABS 1993&gt;1996; </t>
  </si>
  <si>
    <t>1291-419</t>
  </si>
  <si>
    <t>AL-1017</t>
  </si>
  <si>
    <t xml:space="preserve">CHEVROLET / GM - Celta 1.0 8V - s/ ABS 2000/...; Celta 1.4 8V - s/ ABS 2000/...; Corsa 1.0 - s/ ABS 1994/2003; Corsa 1.0 Classic - s/ ABS 2004/2007; Corsa 1.4 - s/ ABS 1994/2003; Corsa 1.6 - s/ ABS 1994/2003; Corsa 1.6 Classic - s/ ABS 2004/2007; Corsa Pick Up 1.6 8V - s/ ABS 1995/2003; Corsa Sedan 1.0 - s/ ABS 1994/2003; Corsa Sedan 1.6 - s/ ABS 1994/2003; Corsa Wagon 1.0 - s/ ABS 1994/2003; Corsa Wagon 1.6 - s/ ABS 1994/2003; Montana 1.4 8V - Eixo GKN - s/ ABS 2010/...; Novo Corsa 1.0 8V - s/ ABS 2002/...; Novo Corsa 1.4 8V - s/ ABS 2002/...; Prisma 1.0 8V Flex - s/ ABS 2007/...; Prisma 1.4 8V Flex - s/ ABS 2007/...; </t>
  </si>
  <si>
    <t>1355-499</t>
  </si>
  <si>
    <t>AL-1018</t>
  </si>
  <si>
    <t xml:space="preserve">FORD - Royale s/ ABS 11.1992/12.1995; Versailles s/ ABS 11.1992/12.1995; VOLKSWAGEN - Gol 2.0 8V - s/ ABS 10.1994/...; Gol 2.0 8V 1996/...; Parati 2.0 8V s/ABS 1996/...; Quantum 1.8 8V - s/ ABS 1992/2002; Quantum 2.0 8V - s/ ABS 1992/2002; Santana 1.8 - s/ ABS 1992/2007; Santana 2.0 - s/ ABS 1992/2007; Saveiro 2.0 1996/...; </t>
  </si>
  <si>
    <t>1361-419</t>
  </si>
  <si>
    <t>AL-102</t>
  </si>
  <si>
    <t xml:space="preserve">CHEVROLET / GM - Astra 1.8 1994 &gt; 1998; Astra 1.8 8V 1999 &gt;; Astra 2.0 16V 1999 &gt;; Astra 2.0 8V &lt; 1996; Astra S.W &lt; 1996; Chevy todos 1980 &gt;; Corsa Pick up todos; Ipanema todos 1990 &gt; 1998; Kadett todos 1989 &gt; 1998; Marajó todos 1973 &gt;; Monza todos 1982 &gt; 1997; Tigra 1.4 / 1.6 1998 &gt;; Tracker todos 2001 &gt;; Vectra 2.0 16V 1994 &gt; 1999; Vectra 2.0 1994 &gt; 1996; Vectra 2.0 8V 1997 &gt; 1999; Vectra 2.2 16V 1997 &gt; 1999; Vectra 2.2 8V 1999 &gt;; </t>
  </si>
  <si>
    <t>AL-1020</t>
  </si>
  <si>
    <t xml:space="preserve">FORD - Courier 1.3 1997/1999; Fiesta Endura GII - 1.0 s/ ABS 1996/1999; Fiesta Endura GII - 1.3 s/ ABS 1996/1999; Ka Endura - 1.0 s/ ABS 1996/1999; Ka Endura - 1.3 s/ ABS 1996/1999; </t>
  </si>
  <si>
    <t>1481-609</t>
  </si>
  <si>
    <t>AL-1021</t>
  </si>
  <si>
    <t xml:space="preserve">FIAT - Fiorino 1.6 1996/2006; Palio 1.5 1996/2000; Palio 1.6 8V 1996/2000; Palio 1.7 Diesel 1996/2000; Palio Weekend 1.5 1997/2000; Palio Weekend 1.6 8V 1997/2000; Siena 1.5 1997/2000; Siena 1.6 16V 1997/2000; Siena 1.6 8V 1997/2000; Siena 1.7  - s/ ABS 1997 &gt; 2000; </t>
  </si>
  <si>
    <t>1501/669</t>
  </si>
  <si>
    <t>AL-1022</t>
  </si>
  <si>
    <t xml:space="preserve">FORD - Escort 1.8 1993/1996; Escort 2.0 1993/1996; Verona 1.8 1993/1996; Verona 2.0 1993/1996; VOLKSWAGEN - Logus 1.8 1992/1996; Logus 2.0 1992/1996; Pointer 1.8 1993/1996; Pointer 2.0 1993/1996; </t>
  </si>
  <si>
    <t>1171-419</t>
  </si>
  <si>
    <t>AL-1023</t>
  </si>
  <si>
    <t xml:space="preserve">FIAT - Fiorino 1.3 8V / 1.3 16V - Fire - s/ ABS 2000&gt;2009; Fiorino 1.6 8V - S/ ABS 1994&gt;1995; Palio 1.0 8V - s/  ABS 1996&gt;2000; Palio 1.3  s/ ABS 1996&gt;2008; Palio Weekend - 1.0 8V - s/ ABS 1998&gt;2008; Siena 1.0 8V - s/ ABS 1998&gt;2088; Uno Mile 1.0 8V - S/ABS 1991&gt;2012; </t>
  </si>
  <si>
    <t>1491-599</t>
  </si>
  <si>
    <t>AL-1024</t>
  </si>
  <si>
    <t xml:space="preserve">FIAT - Tempra 2.0 s/ ABS 1992/1999; Tipo 2.0 s/ ABS 1992/1999; </t>
  </si>
  <si>
    <t>1111-539</t>
  </si>
  <si>
    <t>AL-1025</t>
  </si>
  <si>
    <t xml:space="preserve">FORD - Escort 1.0 Hobby (AE) 1993/...; Escort 1.6 Hobby 1993/...; Escort 1.8 1989/1992; Verona 1.8 1990/1993; VOLKSWAGEN - Apollo 1.8 1990/1992; </t>
  </si>
  <si>
    <t>531-279/A</t>
  </si>
  <si>
    <t>AL-1027</t>
  </si>
  <si>
    <t xml:space="preserve">FORD - Courier 1.4 s/ ABS 1997/2006; Escort 1.6 Zetec Rocam - s/ ABS 1997/2003; Escort 1.8  16V - Zetec Rocam - s/ ABS 1997/2003; Fiesta 1.4 16V Zetec - s/ ABS 1996/2006; Fiesta 1.8 (Argentino) - s/ ABS 1996/2006; </t>
  </si>
  <si>
    <t>1525-279</t>
  </si>
  <si>
    <t>AL-1028</t>
  </si>
  <si>
    <t xml:space="preserve">FORD - Escort 1.3 1983/1992; Verona 1.6 motor CHT 1983/1992; </t>
  </si>
  <si>
    <t>531-279</t>
  </si>
  <si>
    <t>AL-1029</t>
  </si>
  <si>
    <t xml:space="preserve">FORD - Courier 1.6 Zetec Rocam -  s/ ABS 1999&gt;2013; Ecosport 1.0 - 4x2 - Zetec Rocam - Supercharger s/ ABS 2002&gt;2007; Ecosport 1.6 Zetec Rocam - s/ ABS 2003&gt;2012; Fiesta 1.0 8V  Zetec Rocam  Supercharger - s/ ABS 2002&gt;2014; Fiesta 1.6  8V Zetec Rocam - s/ ABS 2002&gt;2012; Fiesta GII - 1.6 Zetec Rocam - s/ ABS 1999&gt;2006; Focus 1.6 - Zetec Rocam 2003&gt;10/2009; Focus 1.6 - Zetec Rocam 2006&gt;2010; Ka 1.6 Zetec Rocam - s/ ABS 2000&gt;2012; </t>
  </si>
  <si>
    <t>AL-103</t>
  </si>
  <si>
    <t xml:space="preserve">CHEVROLET / GM - Calibra 2.0 16V 4x4 06/1990 &gt; 02/1994; Vectra 2.0 8V 1997 &gt; 2005; Vectra 2.2 8V 1997 &gt; 2005; </t>
  </si>
  <si>
    <t>AL-1030</t>
  </si>
  <si>
    <t xml:space="preserve">VOLKSWAGEN - Gol 1.0 10.1992/12.1996; </t>
  </si>
  <si>
    <t>1571-569</t>
  </si>
  <si>
    <t>AL-1031</t>
  </si>
  <si>
    <t xml:space="preserve">FORD - Fiesta GII - s/ ABS 1999/2006; Ka 1.0 Zetec Rocam - s/ ABS 1999/2006; </t>
  </si>
  <si>
    <t>1721-1139</t>
  </si>
  <si>
    <t>AL-1032</t>
  </si>
  <si>
    <t xml:space="preserve">RENAULT - Space Van 2.2 1991/1999; Trafic 2.2 1991/1999; </t>
  </si>
  <si>
    <t>RENAULT</t>
  </si>
  <si>
    <t>1231.259</t>
  </si>
  <si>
    <t>AL-1034</t>
  </si>
  <si>
    <t xml:space="preserve">HONDA - Civic 1.6 16V Autom. - s/ ABS 1997/2000; Civic 1.6 16V Mec. - s/ ABS 1997/2000; </t>
  </si>
  <si>
    <t>HONDA</t>
  </si>
  <si>
    <t>1611.729</t>
  </si>
  <si>
    <t>AL-1035</t>
  </si>
  <si>
    <t xml:space="preserve">HONDA - Civic 1.6 16V Autom. - c/ ABS 1997/2002; Civic 1.6 16V Mec. - c/ ABS 1997/2002; </t>
  </si>
  <si>
    <t>1611.729A</t>
  </si>
  <si>
    <t>AL-1036</t>
  </si>
  <si>
    <t xml:space="preserve">AUDI - A3 1.6 8V - c/ ABS 1999/2008; A3 1.8 20V - Turbo (150cv) - c/ ABS e s/ABS 1999&gt;2006; A3 1.8 20V (125cv) c/ ABS e s/ ABS 1999&gt;2008; VOLKSWAGEN - Bora 2.0 -  c/abs  -  s/abs 2000 &gt; 2004; Golf 1.6 - c/ ABS 1999/2014; Golf 1.9 -  TDI - 1.9 -  c/abs - s/abs 1999&gt;2005; Golf 2.0 8V - c/ ABS - s/ABS 1999/2014; Golf GTI 2.0 8V - c/ ABS - s/ ABS 1999/2014; Passat Alemão 2.0 16V - c/ ABS e s/ ABS 1988&gt;1997; Passat Alemão 2.8 c/ ABS e s/ ABS 1988&gt;1997; Variant 2.0 16V - c/ ABS e s/ ABS 1983&gt;1997; Variant 2.8 - c/ ABS e s/ ABS 1988&gt;1997; </t>
  </si>
  <si>
    <t>AL-1038</t>
  </si>
  <si>
    <t xml:space="preserve">RENAULT - Clio 1.6 16V - s/ ABS 2002/...; Clio 1.6 8V - s/ ABS 2002/...; </t>
  </si>
  <si>
    <t>1991.909</t>
  </si>
  <si>
    <t>AL-1039</t>
  </si>
  <si>
    <t xml:space="preserve">FIAT - Tempra 2.0 16V 1992/1999; Tempra 2.0 8V 1992/1999; Tipo 2.0 1994/1997; </t>
  </si>
  <si>
    <t>153.549</t>
  </si>
  <si>
    <t>AL-1040</t>
  </si>
  <si>
    <t xml:space="preserve">FORD - Escort 1.3 1982/1992; Escort 1.6 1982/1992; Verona 1.6 1990/1992; </t>
  </si>
  <si>
    <t>263.279</t>
  </si>
  <si>
    <t>AL-1041</t>
  </si>
  <si>
    <t xml:space="preserve">CHEVROLET / GM - Astra 2.0 16V- s/ ABS 1999/2012; Ipanema 1.8 1989/1997; Kadett  1989/1997; Monza 1.6 c/ ABS 1992/1996; Monza 1.8 c/ ABS 1992/1996; Novo Vectra 2.4 16V - c/ ABS 2006/2010; Novo Vectra 2.4 16V - s/ ABS 2006/2010; Vectra 1.8/ 2.0 8V 1994/2006; Vectra 2.2 16V 1997/2006; Zafira 2.0 16V - c/ ABS 2001/...; Zafira 2.0 16V - s/ ABS 2001/...; </t>
  </si>
  <si>
    <t>AL-1042</t>
  </si>
  <si>
    <t xml:space="preserve">CHEVROLET / GM - Ipanema 2.0 Autom. 1989/1997; Ipanema 2.0 Mec. 1989/1997; Kadett Kadett 1993/1997; Monza 1.8 Autom. - c/ ABS 1993/1996; Monza 2.0 Autom. - s/ ABS 1985/1996; Monza Autom. - s/ ABS 1993/1996; Monza Mecan. - c/ ABS 1992/...; Monza s/ ABS 1985/1996; </t>
  </si>
  <si>
    <t>233.269</t>
  </si>
  <si>
    <t>AL-1043</t>
  </si>
  <si>
    <t xml:space="preserve">CHEVROLET / GM - Agile 1.4 8V 2009/...; Celta 1.0 8V - MPFI 2000/...; Celta 1.0 8V - VHC 2000/...; Celta 1.4 8V 2000/...; Corsa 1.0 1994/2003; Corsa 1.0 Classic 2004/2006; Corsa 1.4 1994/2003; Corsa 1.6 1994/2003; Corsa 1.6 VHC 2004/2006; Corsa Pick Up 1.6 8V 1995/2003; Corsa Sedan 1.0 1994/2003; Corsa Sedan 1.6 1994/2003; Corsa Wagon 1.0 1994/2003; Corsa Wagon 1.6 1994/2003; Novo Corsa 1.0 8V 2002/...; Novo Corsa 1.4 8V 2002/...; Prisma 1.4 8V - Flex 2007/...; </t>
  </si>
  <si>
    <t>356.509</t>
  </si>
  <si>
    <t>AL-1044</t>
  </si>
  <si>
    <t xml:space="preserve">VOLKSWAGEN - Gol 1.0 16V 1997/2001; Gol 1.0 8V 1997/2001; Gol 1.0 Power 1997/2006; Parati 1.0 16V 1997/2007; </t>
  </si>
  <si>
    <t>143X 4 139</t>
  </si>
  <si>
    <t>AL-1045</t>
  </si>
  <si>
    <t xml:space="preserve">FORD - Escort 1.8 1992/2006; Escort 2.0 1992/2006; Royale 1.8 1992/1995; Royale 1.8 1992/2006; Royale 2.0 1992/1995; Royale 2.0 1992/2006; Verona 1.8 1993/1997; Verona 2.0 1993/1997; Versailles 1.8 1992/1995; Versailles 2.0 1992/1995; VOLKSWAGEN - Logus 1.8 1992/1996; Logus 2.0 1992/1996; Pointer 1.8 1993/1996; Pointer 2.0 1993/1996; Quantum 1.8 1993/2002; Quantum 2.0 1993/2002; Santana 1.8 1992/1995; Santana 2.0 1992/1995; </t>
  </si>
  <si>
    <t>273.319</t>
  </si>
  <si>
    <t>AL-1046</t>
  </si>
  <si>
    <t xml:space="preserve">SEAT - Cordoba 1.6/ 1.8 / 1.9 - S/ Abs 1993&gt;1999; VOLKSWAGEN - Golf 1.8 8V Autom. - c/ ABS 1994/1998; Golf 1.8 8V Autom. - s/ ABS 1994/1998; Golf 1.8 8V Mec. - c/ ABS 1994/1998; Golf 1.8 8V Mec. - s/ ABS 1994/1998; Golf 2.0 8V Autom. - c/ ABS 1994/1998; Golf 2.0 8V Autom. - s/ ABS 1994/1998; Golf 2.0 8V Mec. - c/ ABS 1994/1998; Golf 2.0 8V Mec. - s/ ABS 1994/1998; Golf GTI 2.0 8V Autom. - c/ ABS 1994/1998; Golf GTI 2.0 8V Autom. - s/ ABS 1994/1998; Golf GTI 2.0 8V Mec. - c/ ABS 1994/1998; Golf GTI 2.0 8V Mec. - s/ ABS 1994/1998; Passat Alemão 2.0 16v Autom. - c/ ABS 1988/1997; Passat Alemão 2.0 16v Autom. - s/ ABS 1988/1997; Passat Alemão 2.0 16V Mec. - c/ ABS 1988/1997; Passat Alemão 2.0 16V Mec. - s/ ABS 1988/1997; Passat Alemão 2.8 16V Autom. - c/ ABS 1988/1997; Passat Alemão 2.8 16V Autom. - s/ ABS 1988/1997; Passat Alemão 2.8 16V Mec. - c/ ABS 1988/1997; Passat Alemão 2.8 16V Mec. - s/ ABS 1988/1997; Polo Classic 1.8 Autom. - c/ ABS 1997/2002; Polo Classic 1.8 Autom. - s/ ABS 1997/2002; Polo Classic 1.8 Mec. - c/ ABS 1997/2002; Polo Classic 1.8 Mec. - s/ ABS 1997/2002; Variant 2.0 16v Autom. - c/ ABS 1988/1997; Variant 2.0 16v Autom. - s/ ABS 1988/1997; Variant 2.0 16V Mec. - c/ ABS 1988/1997; Variant 2.0 16V Mec. - s/ ABS 1988/1997; Variant 2.8 16V Autom. - c/ ABS 1988/1997; Variant 2.8 16V Autom. - s/ ABS 1988/1997; Variant 2.8 16V Mec. - c/ ABS 1988/1997; Variant 2.8 16V Mec. - s/ ABS 1988/1997; </t>
  </si>
  <si>
    <t>AL-1047</t>
  </si>
  <si>
    <t xml:space="preserve">AUDI - A3 1.6 8V - s/ ABS 1999 &gt; 2011; A3 1.8 20V (Motor 125cv) - s/ABS 1999 &gt; 2011; VOLKSWAGEN - Golf 1.6 8V 1999/2009; Golf 1.9 - Diesel 1999/2005; Golf 2.0 8V 1999/2009; Golf GTI 2.0 8V - c/ ABS 1999/2009; Golf GTI 2.0 8V - s/ ABS 1999/2009; Golf TDI 1.9 - Diesel 1999/2005; </t>
  </si>
  <si>
    <t>553.819</t>
  </si>
  <si>
    <t>AL-1048</t>
  </si>
  <si>
    <t xml:space="preserve">FIAT - 128  1976/1984; 147 1.3 1976/1986; 147 1050 1976/1986; Premio 1.3 1983/1985; Spazio  1983/1984; Uno 1.3 8V 1984/1996; Uno 1050 1984/1996; </t>
  </si>
  <si>
    <t>481.339</t>
  </si>
  <si>
    <t>AL-1049</t>
  </si>
  <si>
    <t xml:space="preserve">FIAT - Tipo 1.6 1994/1997; </t>
  </si>
  <si>
    <t>1451.599</t>
  </si>
  <si>
    <t>AL-105</t>
  </si>
  <si>
    <t>CARROCERIA</t>
  </si>
  <si>
    <t xml:space="preserve">CHEVROLET / GM - Opala Todos Todos; </t>
  </si>
  <si>
    <t>AL-1050</t>
  </si>
  <si>
    <t xml:space="preserve">FIAT - Brava 1.6 16V 1999/2002; Marea 1.6 16V (Exceto Turbo) - s/ABS 2006/2009; </t>
  </si>
  <si>
    <t>2041.669</t>
  </si>
  <si>
    <t>AL-1051</t>
  </si>
  <si>
    <t xml:space="preserve">FIAT - Brava 1.8 16v 10.1999/2002; Marea 1.6 16V 2006/2007; Marea 1.8 16V 1998/2004; Marea Weekend 1.8 16V (Exceto Turbo) 1998/2006; </t>
  </si>
  <si>
    <t>2281.769</t>
  </si>
  <si>
    <t>AL-1052</t>
  </si>
  <si>
    <t xml:space="preserve">FIAT - Grand Siena 1.6 16V - E.Torq 2012/...; Linea 1.8 16V - E.Torq 2011/...; Novo Palio Novo Palio 2012/...; Punto 1.6 16V - E.Torq 2011/...; Punto 1.8 16V - E.Torq 2011/...; Stilo 1.8  - 8V/16V - s/ ABS 2002/2010; </t>
  </si>
  <si>
    <t>AL-1053</t>
  </si>
  <si>
    <t xml:space="preserve">FORD - Escort 1.6 1992/1996; VOLKSWAGEN - Logus 1.6 - s/ ABS 1993/1996; </t>
  </si>
  <si>
    <t>1161.279</t>
  </si>
  <si>
    <t>AL-1055</t>
  </si>
  <si>
    <t xml:space="preserve">CHEVROLET / GM - Astra 1.8 1999/2006; Astra 2.0 16V 1999/2006; Astra 2.0 8V 1999/2006; Novo Vectra 2.0 8V - c/ ABS 2001/...; Novo Vectra 2.0 8V - s/ ABS 2001/...; Novo Vectra 2.4 16V - c/ ABS 2001/...; Novo Vectra 2.4 16V - s/ ABS 2001/...; Zafira 2.0 16V - c/ ABS 2001/...; Zafira 2.0 16V - s/ ABS 2001/...; Zafira 2.0 8V - c/ ABS 2001/...; Zafira 2.0 8V - s/ ABS 2001/...; </t>
  </si>
  <si>
    <t>1701 779</t>
  </si>
  <si>
    <t>AL-1056</t>
  </si>
  <si>
    <t xml:space="preserve">VOLKSWAGEN - Gol 1.0  8V Power 1997/2008; Gol 1.0 16V Power 1997/2008; Parati 1.0 16V - s/ ABS 1997/2007; </t>
  </si>
  <si>
    <t>1601 569A</t>
  </si>
  <si>
    <t>AL-1058</t>
  </si>
  <si>
    <t xml:space="preserve">FORD - Royale 1.8 Autom. - c/ ABS 1992/1996; Royale 1.8 Mec. - c/ ABS 1992/1996; Royale 2.0 Autom. - c/ ABS 1992/1996; Royale 2.0 Mec. - c/ ABS 1992/1996; Versailles 1.8 Autom. - c/ ABS 1992/1996; Versailles 1.8 Mec. - c/ ABS 1992/1996; Versailles 2.0 Autom. - c/ ABS 1992/1996; Versailles 2.0 Mec. - c/ ABS 1992/1996; VOLKSWAGEN - Gol 1.0 Turbo - c/ ABS e s/ABS 2000&gt;2006; Gol 2.0 8V - c/ ABS 1994/2006; Parati 1.0 Turbo - c/ ABS e s/ ABS 2000&gt;2006; Parati 2.0 8V - c/ ABS 1994/2006; Quantum 1.8 8V Autom. - c/ ABS 1992/2002; Quantum 1.8 8V Mec. - c/ ABS 1992/2002; Quantum 2.0 8V Autom. - c/ ABS 1992/2002; Quantum 2.0 8V Mec. - c/ ABS 1992/2002; Santana 1.8 Autom. - c/ ABS 1992/2006; Santana 1.8 Mec. - c/ ABS 1992/2006; Santana 2.0 Autom. - c/ ABS 1992/2006; Santana 2.0 Mec. - c/ ABS 1992/2006; </t>
  </si>
  <si>
    <t>AL-1059</t>
  </si>
  <si>
    <t xml:space="preserve">SEAT - Cordoba 2.0 8V - c/ ABS 1994/1998; Cordoba 2.0 8V - s/ ABS 1994/1998; Ibiza 2.0 8V - c/ ABS 1994/1998; Ibiza 2.0 8V - s/ ABS 1994/1998; VOLKSWAGEN - Golf 1.8 8V 1994/1998; Golf 2.0 8V 1994/1998; Golf GTI 2.0 8V - c/ ABS 1994/1998; Golf GTI 2.0 8V - s/ ABS 1994/1998; Polo Classic 1.8 1997/2002; </t>
  </si>
  <si>
    <t>1851.017</t>
  </si>
  <si>
    <t>AL-106</t>
  </si>
  <si>
    <t xml:space="preserve">CHEVROLET / GM - Chevette Todos Todos; </t>
  </si>
  <si>
    <t>AL-1060</t>
  </si>
  <si>
    <t xml:space="preserve">RENAULT - Megane 2.0 16V - c/ ABS 2001/...; Scenic 2.0 16V - c/ ABS 2001/...; </t>
  </si>
  <si>
    <t>2061.779</t>
  </si>
  <si>
    <t>AL-1061</t>
  </si>
  <si>
    <t>SEMI EIXO</t>
  </si>
  <si>
    <t xml:space="preserve">VOLKSWAGEN - Gol 1.0 16V Power 1997/...; Gol 1.0 8V Power 1997/...; Gol G IV - 1.0 16V MI 2005/2006; Gol G IV - 1.0 8V MI 2005/2006; Parati 1.0 16V 1997/...; </t>
  </si>
  <si>
    <t>SE - Leve</t>
  </si>
  <si>
    <t>952 042HD</t>
  </si>
  <si>
    <t>AL-1062</t>
  </si>
  <si>
    <t xml:space="preserve">VOLKSWAGEN - Gol 1.0 16V Power 1997/...; Gol 1.0 8V Power 1997/...; Gol G IV - 1.0 16V MI 2005/2006; Gol G IV - 1.0 8V MI 2005/2006; Parati 1.0 16V 1997/...; Polo Classic 1.8 - c/ ABS 1997/2002; Polo Classic 1.8 - s/ ABS 1997/2002; </t>
  </si>
  <si>
    <t>952 043HD</t>
  </si>
  <si>
    <t>AL-1063</t>
  </si>
  <si>
    <t xml:space="preserve">CITROEN - Jumper 2.5 - Aro 15 - c/ ABS &lt;2009; Jumper 2.8 - Aro 15 - c/ ABS &lt;2009; FIAT - Ducato 2.5 - Aro 15 c/ABS 1994&gt;2009; Ducato 2.8 - Aro 15 c/ABS 1994&gt;2009; PEUGEOT - Boxer 2.5 - Aro 15 c/ ABS &lt;2009; Boxer 2.8 - Aro 15 c/ ABS &lt;2009; </t>
  </si>
  <si>
    <t>2931-1549</t>
  </si>
  <si>
    <t>AL-1064</t>
  </si>
  <si>
    <t xml:space="preserve">CITROEN - Jumper Aro 16 - c/ ABS 1998&gt;2009; FIAT - Ducato Maxi 2.8 8V - Aro 16 c/ABS 1994 &lt; 2009; Ducato Maxicargo 2.8 8V - Aro 16 c/ABS 1994 &lt; 2009; PEUGEOT - Boxer 2.8  Aro 16 c/ ABS 1998&gt;2009; </t>
  </si>
  <si>
    <t>9567582280</t>
  </si>
  <si>
    <t>AL-1065</t>
  </si>
  <si>
    <t xml:space="preserve">TOYOTA - Hilux SW4 3.0 Turbo Diesel 2001/12.2004; </t>
  </si>
  <si>
    <t>PH - Pickup</t>
  </si>
  <si>
    <t>HILUX/SW4-3.0</t>
  </si>
  <si>
    <t>AL-1066</t>
  </si>
  <si>
    <t xml:space="preserve">VOLKSWAGEN - Golf 1.8 8V Autom. - c/ ABS 1994/1998; Golf 1.8 8V Autom. - s/ ABS 1994/1998; Golf 1.8 8V Mec. - c/ ABS 1994/1998; Golf 1.8 8V Mec. - s/ ABS 1994/1998; Golf 2.0 8V Autom. - c/ ABS 1994/1998; Golf 2.0 8V Autom. - s/ ABS 1994/1998; Golf 2.0 8V Mec. - c/ ABS 1994/1998; Golf 2.0 8V Mec. - s/ ABS 1994/1998; Golf GTI 2.0 8V Autom. - c/ ABS 1994/1998; Golf GTI 2.0 8V Autom. - s/ ABS 1994/1998; Golf GTI 2.0 8V Mec. - c/ ABS 1994/1998; Golf GTI 2.0 8V Mec. - s/ ABS 1994/1998; Passat Alemão 2.0 16v Autom. - c/ ABS 1988/1997; Passat Alemão 2.0 16v Autom. - s/ ABS 1988/1997; Passat Alemão 2.0 16V Mec. - c/ ABS 1988/1997; Passat Alemão 2.0 16V Mec. - s/ ABS 1988/1997; Passat Alemão 2.8 16V Autom. - c/ ABS 1988/1997; Passat Alemão 2.8 16V Autom. - s/ ABS 1988/1997; Passat Alemão 2.8 16V Mec. - c/ ABS 1988/1997; Passat Alemão 2.8 16V Mec. - s/ ABS 1988/1997; Polo Classic 1.8 Autom. - c/ ABS 1997/2002; Polo Classic 1.8 Autom. - s/ ABS 1997/2002; Polo Classic 1.8 Mec. - c/ ABS 1997/2002; Polo Classic 1.8 Mec. - s/ ABS 1997/2002; Variant 2.0 16v Autom. - c/ ABS 1988/1997; Variant 2.0 16v Autom. - s/ ABS 1988/1997; Variant 2.0 16V Mec. - c/ ABS 1988/1997; Variant 2.0 16V Mec. - s/ ABS 1988/1997; Variant 2.8 16V Autom. - c/ ABS 1988/1997; Variant 2.8 16V Autom. - s/ ABS 1988/1997; Variant 2.8 16V Mec. - c/ ABS 1988/1997; Variant 2.8 16V Mec. - s/ ABS 1988/1997; </t>
  </si>
  <si>
    <t>603.027</t>
  </si>
  <si>
    <t>AL-1068</t>
  </si>
  <si>
    <t xml:space="preserve">CHEVROLET / GM - Omega 2.0 - s/ABS 1993/1999; Omega 2.2 - s/ ABS 1993/1999; Suprema 2.0 - s/ ABS 1993/1999; Suprema 2.2 - s/ ABS 1993/1999; </t>
  </si>
  <si>
    <t>303.469</t>
  </si>
  <si>
    <t>AL-107</t>
  </si>
  <si>
    <t xml:space="preserve">CHEVROLET / GM - A  1985/1997; A10  1964/1984; A14  1985/1989; A20  1964/1984; C  1985/1997; C10  1964/1984; C14  1985/1989; C20  1964/1984; D  1985/1997; D10  1964/1984; D20  1964/1984; </t>
  </si>
  <si>
    <t>LP - Pickup</t>
  </si>
  <si>
    <t>AL-1071</t>
  </si>
  <si>
    <t xml:space="preserve">RENAULT - Megane 1.6 16V - c/ ABS 2001/...; Scenic 1.6 16V - c/ ABS 2001/...; </t>
  </si>
  <si>
    <t>2021.909</t>
  </si>
  <si>
    <t>AL-1072</t>
  </si>
  <si>
    <t xml:space="preserve">RENAULT - Master 2.8 - c/ ABS &lt; 2004; </t>
  </si>
  <si>
    <t>SE - Utilitario</t>
  </si>
  <si>
    <t>8200169231</t>
  </si>
  <si>
    <t>AL-1073</t>
  </si>
  <si>
    <t xml:space="preserve">CITROEN - Jumper 2.3 - aro 16 c/ ABS 2009&gt;2010; FIAT - Ducato 2.3 -  aro 16 - c/ ABS 2009&gt;2010; PEUGEOT - Boxer 2.3 - aro 16 - c/ ABS 2009&gt;2010; </t>
  </si>
  <si>
    <t>7.087.161</t>
  </si>
  <si>
    <t>AL-1074</t>
  </si>
  <si>
    <t xml:space="preserve">RENAULT - Master 2.8 - c/ ABS .../2004; </t>
  </si>
  <si>
    <t>8200485576</t>
  </si>
  <si>
    <t>AL-1075</t>
  </si>
  <si>
    <t xml:space="preserve">FORD - Explorer  04.05.98 &gt; 2000; Ranger  1999 &gt; 24.03.2003; </t>
  </si>
  <si>
    <t>SE - Pickup</t>
  </si>
  <si>
    <t>F57Z 3B436 BA</t>
  </si>
  <si>
    <t>AL-1076</t>
  </si>
  <si>
    <t>F57Z 3B437 BA</t>
  </si>
  <si>
    <t>AL-1077</t>
  </si>
  <si>
    <t xml:space="preserve">CHRYSLER - Grand Cherokee 4.7 - c/ ABS ; JEEP - Cherokee 4.7 - c/ ABS ; </t>
  </si>
  <si>
    <t>SE - Suv</t>
  </si>
  <si>
    <t>JEEP</t>
  </si>
  <si>
    <t>CHEROKEE</t>
  </si>
  <si>
    <t>AL-1078</t>
  </si>
  <si>
    <t>AL-1079</t>
  </si>
  <si>
    <t xml:space="preserve">MITSUBISHI - L200 2.5  4x4 - Quadrada 1994/2005; </t>
  </si>
  <si>
    <t>MITSUBISHI</t>
  </si>
  <si>
    <t>MB-526.271</t>
  </si>
  <si>
    <t>AL-108</t>
  </si>
  <si>
    <t xml:space="preserve">CHEVROLET / GM - Omega GL 2.0 Álcool ; Omega GL 2.0 Gasolina ; Omega GL 2.2 Gasolina ; Omega GLS 2.0 Álcool ; Omega GLS 2.0 Gasolina ; Omega GLS 2.2 Gasolina ; </t>
  </si>
  <si>
    <t>AL-1080</t>
  </si>
  <si>
    <t xml:space="preserve">MITSUBISHI - L200 2.5 - 4x4 Sport - Outdoor - (bolinha) 2003/2011; Pajero Sport  2.5 2001&gt;2010; Pajero Sport 2.8 2001&gt;2010; </t>
  </si>
  <si>
    <t>CA-260.010</t>
  </si>
  <si>
    <t>AL-1081</t>
  </si>
  <si>
    <t xml:space="preserve">TOYOTA - Hilux SRV Turbo Diesel 2006/...; Hilux SW 3.0 Turbo Diesel 2005/...; Hilux SW4 2.5 Turbo Diesel 2005/...; </t>
  </si>
  <si>
    <t>43430 OK040</t>
  </si>
  <si>
    <t>AL-1082</t>
  </si>
  <si>
    <t xml:space="preserve">NISSAN - Frontier  2002/2007; </t>
  </si>
  <si>
    <t>NISSAN</t>
  </si>
  <si>
    <t>FRONTIER</t>
  </si>
  <si>
    <t>AL-1083</t>
  </si>
  <si>
    <t xml:space="preserve">CHEVROLET / GM - Blazer 4x4 1998/2011; S10 4x4 1998/2011; </t>
  </si>
  <si>
    <t>26055048</t>
  </si>
  <si>
    <t>AL-1084</t>
  </si>
  <si>
    <t>AL-1085</t>
  </si>
  <si>
    <t xml:space="preserve">MERCEDES BENZ - MB 180  1993&gt;1996; </t>
  </si>
  <si>
    <t>LP - Utilitario</t>
  </si>
  <si>
    <t>MERCEDES</t>
  </si>
  <si>
    <t>MB 180</t>
  </si>
  <si>
    <t>AL-1086</t>
  </si>
  <si>
    <t xml:space="preserve">FORD - Explorer 4x4 - Roda Livre &lt;2000; Ranger 4x4 - Roda Livre &lt;2000; </t>
  </si>
  <si>
    <t>F8TZ 3B436 AB</t>
  </si>
  <si>
    <t>AL-1087</t>
  </si>
  <si>
    <t>F87Z 3B437 AB</t>
  </si>
  <si>
    <t>AL-1088</t>
  </si>
  <si>
    <t xml:space="preserve">HONDA - Fit Automático - 1.4/8V - 1.5/16V .../2008; Fit Mecânico - 1.4/8V -  1.5/16V .../2008; </t>
  </si>
  <si>
    <t>1621-1549</t>
  </si>
  <si>
    <t>AL-109</t>
  </si>
  <si>
    <t xml:space="preserve">CHEVROLET / GM - Omega 2.2 GLS Álcool ; Omega 3.0 CD ; Omega 4.1 CD ; </t>
  </si>
  <si>
    <t>AL-1092</t>
  </si>
  <si>
    <t xml:space="preserve">FIAT - Doblo 1.8 8V 2002/...; Doblo Adventure 1.8 8V 2002/...; Idea 1.8 8V - Flex - s/ ABS (Lado Câmbio) 2006/...; Palio 1.8 8V 2002/2010; Palio Weekend 1.8 8V 2002/2010; Siena 1.8 8V 2002/2010; Strada 1.8 8V 2002/2010; </t>
  </si>
  <si>
    <t>523-449-1</t>
  </si>
  <si>
    <t>AL-1093</t>
  </si>
  <si>
    <t xml:space="preserve">FIAT - Palio 1.6 16V 1996/2000; Palio 1.6 8V 1996/2000; Palio 1.7 Diesel 1996/2000; Palio Weekend 1.6 16V 1997/2000; Palio Weekend 1.6 8V 1997/2000; Siena 1.6 16V c/ ABS 1997/2000; Siena 1.6 8V c/ ABS 1997/2000; Siena 1.7 c/ ABS 1997/2000; </t>
  </si>
  <si>
    <t>1561.669</t>
  </si>
  <si>
    <t>AL-1094</t>
  </si>
  <si>
    <t xml:space="preserve">FIAT - Doblo 1.8 8V 2002/...; Doblo Adventure 1.8 8V 2002/...; Doblo Cargo 2011/...; Doblo Essence 2011/; Doblo HLX - 1.8 16V - E.Torq 2011/...; Idea 1.6 16V - E.Torq 2011/...; Idea 1.8 16V - E.Torq 2011/...; Idea 1.8 8V Flex 2006/...; Palio 1.6 16V - E.Torq 2011/...; Palio 1.8 8V - s/ ABS 2002/...; Palio Weekend 1.6 s/ABS 2013/...; Palio Weekend 1.8 8V - s/ ABS 2002/...; Palio Weekend 1.8 E.Torq - s/ Locker - s/ ABS 2013/...; Palio Weekend Fase III - 1.6 16V - E.Torq 2011/...; Siena 1.6 16V - E.Torq 2011/...; Siena 1.8 8V - s/ ABS 2002/...; Strada 1.8 8V - s/ ABS 2002/...; Strada Fase III - 1.8 16V - E.Torq. 2011/...; Strada Fase IV 1.6 - s/ ABS - E.Torq. 2013/...; Strada Fase IV 1.8 - E. Torq - s/ Locker - s/ ABS 2013/...; </t>
  </si>
  <si>
    <t>2461.1449</t>
  </si>
  <si>
    <t>AL-1095</t>
  </si>
  <si>
    <t xml:space="preserve">FIAT - Doblo 1.4 8V (eixo GNK) - s/ABS ; Palio Weekend 1.4 8V (eixo GKN) 2006 &gt; 2008; Strada 1.3 16V - Fire 2000/2006; Strada 1.3 8V - Fire 2000/2006; Strada 1.4 8V - Fire 2006/...; Strada 1.5 8V 1998/2006; Strada 1.6 16V 1998/2009; Strada 1.6 8V 1998/2006; </t>
  </si>
  <si>
    <t>1805.669</t>
  </si>
  <si>
    <t>AL-1096</t>
  </si>
  <si>
    <t xml:space="preserve">FIAT - Doblo 1.3 16V - Fire 2003&gt;2009; Doblo 1.3 8V - Fire 2003/2006; Doblo 1.3 8V - MPFI 2003&gt;2009; Doblo 1.4 - s/ ABS 2005/...; Doblo 1.6 16V - MPFI 2001/2009; Palio 1.4 - s/ ABS 2005/...; Palio Weekend 1.4 - s/ ABS 2005/...; Punto 16 / 1.8 - 16V E. Torq. 2012&gt;2015; Siena 1.4 - s/ ABS 2005/...; Siena 1.6 16V  E. Torq. 2012&gt;2015; Strada 1.4 - s/ ABS 2005/...; </t>
  </si>
  <si>
    <t>2251.1409</t>
  </si>
  <si>
    <t>AL-1097</t>
  </si>
  <si>
    <t xml:space="preserve">FIAT - Palio 1.0 16V - Fire 2000/2006; Palio 1.0 8V - Fire 2000/2006; Palio 1.0 8V - Fire 2008/...; Palio 1.3 16V - Fire 2000/2006; Palio 1.3 8V - Fire 2000/2006; Palio 1.4 8V - Fire 2008/...; Palio Weekend 1.0 16V - Fire 2000/2006; Palio Weekend 1.0 8V - Fire 2000/2006; Palio Weekend 1.3 16V - Fire 2000/2006; Palio Weekend 1.3 8V - Fire 2000/2006; Siena 1.0 16V - Fire 2000/2006; Siena 1.0 8V - Fire 2000/2006; Siena 1.3 16V - Fire 2000/2006; Siena 1.3 8V - Fire 2000/2006; Siena 1.4 8V (eixo GNK) - s/ ABS 2008/2012; </t>
  </si>
  <si>
    <t>2151.599</t>
  </si>
  <si>
    <t>AL-1098</t>
  </si>
  <si>
    <t xml:space="preserve">FIAT - Marea 2.0 16V 1998/2009; Marea 2.4 20V 1998/2009; Marea Weekend 2.0 16V - s/ ABS (Exceto Turbo) 1998/2009; Marea Weekend 2.4 20V - s/ ABS (Exceto Turbo) 1998/2009; </t>
  </si>
  <si>
    <t>1691.769</t>
  </si>
  <si>
    <t>AL-110</t>
  </si>
  <si>
    <t xml:space="preserve">CHEVROLET / GM - A10  1979/...; C10  1979/...; D10  1979/...; </t>
  </si>
  <si>
    <t>DV - Pickup</t>
  </si>
  <si>
    <t>AL-1101</t>
  </si>
  <si>
    <t xml:space="preserve">FORD - Focus 1.8 Autom. 2000/2005; Focus 1.8 Mec. 2000/2005; Focus 2.0 16V Zetec - Autom. 2000/2005; Focus 2.0 16V Zetec - Mec. 2000/2005; </t>
  </si>
  <si>
    <t>XS4C 3B413 BA</t>
  </si>
  <si>
    <t>AL-1103</t>
  </si>
  <si>
    <t xml:space="preserve">CHEVROLET / GM - Corsa 1.0 - s/ ABS 1994/2003; Corsa 1.0 Classic - s/ ABS 2004/2007; Corsa 1.4 - s/ ABS 1994/2003; Corsa 1.6 - s/ ABS 1994/2003; Corsa 1.6 VHC - s/ ABS 2004/2007; Corsa Pick Up 1.6 8V - s/ ABS 1995/2003; Corsa Sedan 1.0 - s/ ABS 1994/2003; Corsa Sedan 1.6 - s/ ABS 1994/2003; Corsa Wagon 1.0 - s/ ABS 1994/2003; Corsa Wagon 1.6 - s/ ABS 1994/2003; Novo Corsa 1.0 8V VHC - s/ ABS 2002/2007; </t>
  </si>
  <si>
    <t>1355-499/A</t>
  </si>
  <si>
    <t>AL-1104</t>
  </si>
  <si>
    <t xml:space="preserve">CHEVROLET / GM - Corsa 1.0 1994/2003; Corsa 1.0 Classic 2004/2006; Corsa 1.4 1994/2003; Corsa 1.6 1994/2003; Corsa 1.6 VHC 2004/2006; Corsa Pick Up 1.6 8V 1995/2003; Corsa Sedan 1.0 - s/ ABS 1994/2003; Corsa Sedan 1.6 - s/ ABS 1994/2003; Corsa Wagon 1.0 - s/ ABS 1994/2003; Corsa Wagon 1.6 - s/ ABS 1994/2003; </t>
  </si>
  <si>
    <t>356-509/A</t>
  </si>
  <si>
    <t>AL-1105</t>
  </si>
  <si>
    <t xml:space="preserve">CHEVROLET / GM - Corsa 1.4 / 1.6  - 8V s/ ABS 1994/2003; Meriva 1.8 s/ ABS 16V 2003/2012; Montana 1.8 8V - (eixo GKN) s/ ABS 2006/...; Montana 1.8 8V - s/ ABS 2003/2012; Novo Corsa 1.8 8V - (eixo GKN) s/ ABS 2002/2012; </t>
  </si>
  <si>
    <t>2181.1329</t>
  </si>
  <si>
    <t>AL-1106</t>
  </si>
  <si>
    <t xml:space="preserve">CHEVROLET / GM - Corsa 1.0 - s/ ABS 1994/2003; Corsa 1.0 Classic - s/ABS 2004/2006; Corsa 1.0 VHC - s/ ABS 2004/2006; Corsa 1.4 - s/ ABS 1994/2003; Corsa 1.6 - s/ ABS 1994/2003; Corsa 1.6 Classic - s/ ABS 2004/2006; Corsa Pick Up 1.6 8V - s/ ABS 1995/2003; Corsa Sedan s/ ABS 1994/2003; Corsa Wagon s/ ABS 1994/2003; </t>
  </si>
  <si>
    <t>951686HD</t>
  </si>
  <si>
    <t>AL-1108</t>
  </si>
  <si>
    <t xml:space="preserve">CHEVROLET / GM - Novo Vectra 2.0/8V -  2.4/16V  -  s/abs 2006&gt;2011; Vectra 2.0/8V - s/ ABS 1997/2006; Vectra 2.2/16V - s/ ABS 1997/2006; </t>
  </si>
  <si>
    <t>2381-779</t>
  </si>
  <si>
    <t>AL-1109</t>
  </si>
  <si>
    <t xml:space="preserve">CHEVROLET / GM - Novo Vectra 2.0 - 8V  c/ABS e s/ABS 2006&gt;2011; Novo Vectra 2.4 16V c/ ABS e s/ ABS 2006&gt;2011; Vectra 2.0 / 2.2  c/  ABS 1997&gt;2006; Zafira 2.0 8V / 16V c/ ABS 2001&gt;2012; </t>
  </si>
  <si>
    <t>2391-779</t>
  </si>
  <si>
    <t>AL-111</t>
  </si>
  <si>
    <t>AL-1111</t>
  </si>
  <si>
    <t xml:space="preserve">CHEVROLET / GM - Astra 1.8/ 2.0 - 8V - s/ ABS - Mecânico 1999 &gt; 2012; Novo Vectra 2.0 / 8V - s/ ABS - Mecânico 2006 &gt; 2011; Zafira 2.0 / 8V - s/ABS e s/ABS - Mecânico 2001 &gt; 2012; </t>
  </si>
  <si>
    <t>453-299</t>
  </si>
  <si>
    <t>AL-1112</t>
  </si>
  <si>
    <t xml:space="preserve">CHEVROLET / GM - Meriva 1.4 8V - c/ ABS 2003/2006; Meriva 1.8 16V - c/ ABS 2003/2006; Montana 1.8 8V - (eixo GKN) c/ ABS 2006/...; Novo Corsa 1.8 8V - (eixo GKN) c/ABS 2002/...; </t>
  </si>
  <si>
    <t>2191-1329</t>
  </si>
  <si>
    <t>AL-1117</t>
  </si>
  <si>
    <t xml:space="preserve">MERCEDES BENZ - Classe A 160 - 1.6 MPI - (Semi-automatico) c/ ABS 1999/2006; </t>
  </si>
  <si>
    <t>1751.789</t>
  </si>
  <si>
    <t>AL-112</t>
  </si>
  <si>
    <t xml:space="preserve">CHEVROLET / GM - Trafic gasolina 1992 &gt;; Trafic gasolina 1992 &gt;; </t>
  </si>
  <si>
    <t>CR - Utilitario</t>
  </si>
  <si>
    <t>RE002947</t>
  </si>
  <si>
    <t>AL-1120</t>
  </si>
  <si>
    <t xml:space="preserve">CHEVROLET / GM - Meriva 1.4 8V 2008/...; Meriva 1.8 16V 2003/2012; Meriva 1.8 8V 2003/2012; Montana 1.8 8V - (eixo GKN) 2004/2009; Novo Corsa 1.8 8V - (eixo GKN) 2002/...; </t>
  </si>
  <si>
    <t>453-1379</t>
  </si>
  <si>
    <t>AL-1122</t>
  </si>
  <si>
    <t xml:space="preserve">MITSUBISHI - L200 2.5 - 4x4 Quadrada 1994/2005; </t>
  </si>
  <si>
    <t>MB-526.270</t>
  </si>
  <si>
    <t>AL-1123</t>
  </si>
  <si>
    <t xml:space="preserve">MITSUBISHI - Pajero Sport 2.5 2001/2010; Pajero Sport 2.8 2001/2010; </t>
  </si>
  <si>
    <t>MR-276.869</t>
  </si>
  <si>
    <t>AL-1124</t>
  </si>
  <si>
    <t xml:space="preserve">MITSUBISHI - L200 2.5 4x4 Sport - Outdoor - (bolinha) 2003/2011; </t>
  </si>
  <si>
    <t>CA-260.009</t>
  </si>
  <si>
    <t>AL-113</t>
  </si>
  <si>
    <t xml:space="preserve">CHEVROLET / GM - Space Van todos 1992 &gt;; RENAULT - Trafic Diesel 1990 &gt;; </t>
  </si>
  <si>
    <t>RE00396</t>
  </si>
  <si>
    <t>AL-1130</t>
  </si>
  <si>
    <t xml:space="preserve">RENAULT - Clio 1.6 16V - (Semi-Eixo DANA) c/ ABS 2000/...; Clio 1.6 8V - (Semi-Eixo DANA) c/ ABS 2000/...; Kangoo 1.6 8V 2000&gt;; </t>
  </si>
  <si>
    <t>2001.909</t>
  </si>
  <si>
    <t>AL-1133</t>
  </si>
  <si>
    <t xml:space="preserve">RENAULT - Logan 1.6 /16V ; Megane 1.6 16V - s/ ABS 2001/...; Sandero 1.6 /16V ; Scenic 1.6 16V - s/ ABS 2001/...; </t>
  </si>
  <si>
    <t>2011.909</t>
  </si>
  <si>
    <t>AL-1134</t>
  </si>
  <si>
    <t xml:space="preserve">RENAULT - Megane 2.0/16V - s/ABS 2001/...; Scenic 2.0/16V - s/ABS 2001/...; </t>
  </si>
  <si>
    <t>2051.779</t>
  </si>
  <si>
    <t>AL-1135</t>
  </si>
  <si>
    <t xml:space="preserve">RENAULT - Laguna 1.8 (chassis-950213) s/ ABS 1993/2006; Laguna 2.0 (chassis-950213) s/ ABS 1993/2006; </t>
  </si>
  <si>
    <t>302-903</t>
  </si>
  <si>
    <t>AL-1136</t>
  </si>
  <si>
    <t>302-904</t>
  </si>
  <si>
    <t>AL-1137</t>
  </si>
  <si>
    <t xml:space="preserve">RENAULT - Laguna 1.8 (chassis-950214) s/ ABS 1993/2006; Laguna 2.0 (chassis-950214) s/ ABS 1993/2006; </t>
  </si>
  <si>
    <t>302-905</t>
  </si>
  <si>
    <t>AL-1138</t>
  </si>
  <si>
    <t>302-906</t>
  </si>
  <si>
    <t>AL-1139</t>
  </si>
  <si>
    <t xml:space="preserve">RENAULT - Laguna 1.8 - c/ ABS 1993/2006; Laguna 2.0 - c/ ABS 1993/2006; </t>
  </si>
  <si>
    <t>302-907</t>
  </si>
  <si>
    <t>AL-114</t>
  </si>
  <si>
    <t xml:space="preserve">CHEVROLET / GM - Astra 1.8 8V s/ABS 1994 &gt;; Astra 2.0 8V s/ABS 1994 &gt;; Meriva 1.8 s/ABS 2002 &gt;; Montana 1.4 /1.8 S/ Abs 2000&gt;; Montana 1.4 1.8  c/ABS 2000; Vectra 2.0 8V s/ABS 1994 &gt;; Vectra 2.2 8V s/ABS 1994 &gt;; Vectra GT 2.0 8V s/ABS ; Zafira 1.8 s/ABS 2001 &gt;; </t>
  </si>
  <si>
    <t>AL-1140</t>
  </si>
  <si>
    <t>302-908</t>
  </si>
  <si>
    <t>AL-1145</t>
  </si>
  <si>
    <t xml:space="preserve">TOYOTA - Bandeirante s/ ABS 1983/1998; </t>
  </si>
  <si>
    <t>2-99-551XD</t>
  </si>
  <si>
    <t>AL-1147</t>
  </si>
  <si>
    <t xml:space="preserve">TOYOTA - Hilux 2.8 SOHC Diesel - 4x4 - (Semi-Eixo DANA) s/ ABS 1997 &gt; 2008; Hilux 2.8 SOHC Diesel - 4x4 - (Semi-Eixo DANA) s/ ABS 1997 &gt; 2008; </t>
  </si>
  <si>
    <t>1621-20011</t>
  </si>
  <si>
    <t>AL-1148</t>
  </si>
  <si>
    <t xml:space="preserve">TOYOTA - Hilux 2.8 SOHC Diesel - 4x4 - (Semi-Eixo DANA) s/ ABS 2000/2006; Hilux 2.8 SOHC Diesel - 4x4 - (Semi-Eixo Toyota) s/ ABS 1992/1999; </t>
  </si>
  <si>
    <t>951764HD</t>
  </si>
  <si>
    <t>AL-115</t>
  </si>
  <si>
    <t xml:space="preserve">CHEVROLET / GM - Astra 1.8 8V c/ABS 1994 &gt;; Astra 2.0 8V c/ABS 1994 &gt;; Meriva 1.8 c/ABS 2002 &gt;; Montana 1.4 / 1.8 c/ ABS &lt;2010; Montana c/ABS &lt;2010; Vectra 2.0 8V c/ABS 1994 &gt;; Vectra 2.2 8V c/ABS 1994 &gt;; Vectra GT 2.0 8V c/ABS ; Zafira 1.8 c/ABS 2001 &gt;; </t>
  </si>
  <si>
    <t>AL-1153</t>
  </si>
  <si>
    <t xml:space="preserve">VOLKSWAGEN - Fox 1.0 8V - s/ ABS 2004/05.2009; </t>
  </si>
  <si>
    <t>483.829</t>
  </si>
  <si>
    <t>AL-1154</t>
  </si>
  <si>
    <t xml:space="preserve">AUDI - A3 1.6 8V c/ ABS 1999&gt;2006; A3 1.8 20V (Motor 125cv) -  s/ ABS 1999&gt;2006; VOLKSWAGEN - Crossfox 1.6 8V Flex - c/ ABS 2005/...; Crossfox 1.6 8V Flex - s/ ABS 2005/...; Fox 1.6 8V - c/ ABS 08.2008/...; Fox 1.6 8V - c/ ABS 2004/...; Fox 1.6 8V - s/ ABS 08.2008/...; Fox 1.6 8V - s/ ABS 2004/...; Gol G V - 1.6 8V - c/ ABS 08.2008/...; Gol G V - 1.6 8V - s/ ABS 08.2008/...; Polo 1.6 8V - c/ ABS 2003/...; Polo 1.6 8V - s/ ABS 2003/...; Polo 2.0 8V - c/ ABS 2003/...; Polo 2.0 8V - s/ ABS 2003/...; Polo Sedan 1.6 8V - c/ ABS 2003/...; Polo Sedan 1.6 8V - s/ ABS 2003/...; Polo Sedan 2.0 8V - c/ ABS 2003/...; Polo Sedan 2.0 8V - s/ ABS 2003/...; Saveiro G V - 1.6 8V - c/ ABS 08.2008/...; Saveiro G V - 1.6 8V - s/ ABS 08.2008/...; Spacefox 1.6 8V Flex - c/ ABS 2007/...; Spacefox 1.6 8V Flex - s/ ABS 2007/...; Voyage 1.6 8V - c/ ABS 08.2008/...; Voyage 1.6 8V - s/ ABS 08.2008/...; </t>
  </si>
  <si>
    <t>553.1629/ 553809</t>
  </si>
  <si>
    <t>AL-1155</t>
  </si>
  <si>
    <t xml:space="preserve">VOLKSWAGEN - Crossfox 1.6 8V Flex - c/ ABS 2005/...; Fox Eiko GKN 1.6 8V - c/ ABS 2004/...; Polo 1.6 8V - c/ ABS 2003/...; Polo 2.0 8V - c/ ABS 2003/...; Polo Sedan 1.6 8V - c/ ABS 2003/...; Polo Sedan 2.0 8V - c/ ABS 2003/...; Spacefox 1.6 8V Flex - c/ ABS 2007/...; </t>
  </si>
  <si>
    <t>2101.839</t>
  </si>
  <si>
    <t>AL-1156</t>
  </si>
  <si>
    <t xml:space="preserve">VOLKSWAGEN - Crossfox 1.6 8V Flex - s/ ABS 2005/...; Fox 1.6 8V - s/ ABS EIKO GKN 2003/...; Polo 2.0 8V - s/ ABS 2003/2004; Polo Sedan 1.6 8V - s/ ABS 2003/...; Polo Sedan 2.0 8V - s/ ABS 2003/...; Spacefox 1.6 8V Flex - s/ ABS 2007/...; </t>
  </si>
  <si>
    <t>2671-839</t>
  </si>
  <si>
    <t>AL-1157</t>
  </si>
  <si>
    <t xml:space="preserve">VOLKSWAGEN - Fox 1.0 8V - s/ ABS 2004/05.2009; Gol G V - 1.0 8V - s/ ABS 08.2008/07.2010; </t>
  </si>
  <si>
    <t>1391.1709</t>
  </si>
  <si>
    <t>AL-116</t>
  </si>
  <si>
    <t xml:space="preserve">CHEVROLET / GM - Astra 2.0 16V c/ABS todos; Astra 2.0 8V c/ABS ; Vectra 2.0 16V c/ABS todos; Vectra 2.2 16V c/ABS todos; Vectra 2.4 c/ABS ; Zafira todos c/ABS ; </t>
  </si>
  <si>
    <t>AL-1160</t>
  </si>
  <si>
    <t xml:space="preserve">VOLKSWAGEN - Passat Alemão 1.8 20V - c/ ABS 1996/2006; </t>
  </si>
  <si>
    <t>301.955</t>
  </si>
  <si>
    <t>AL-1163</t>
  </si>
  <si>
    <t xml:space="preserve">FORD - Ranger 4x4 25.03.2003 &gt; 2012; </t>
  </si>
  <si>
    <t>6L5Z 3A428 AA</t>
  </si>
  <si>
    <t>AL-1164</t>
  </si>
  <si>
    <t>6L5Z 3A427 AA</t>
  </si>
  <si>
    <t>AL-1165</t>
  </si>
  <si>
    <t xml:space="preserve">CHEVROLET / GM - Omega 3.0 - s/ ABS 1993/1999; Omega 4.1 - s/ ABS 1993/1999; Suprema 3.0 - s/ ABS 1993/1999; Suprema 4.1 - s/ ABS 1993/1999; </t>
  </si>
  <si>
    <t>283-459</t>
  </si>
  <si>
    <t>AL-1166</t>
  </si>
  <si>
    <t xml:space="preserve">PEUGEOT - 206 1.0 16V 2000&gt;; </t>
  </si>
  <si>
    <t>PEUGEOT</t>
  </si>
  <si>
    <t>2621-1389</t>
  </si>
  <si>
    <t>AL-1167</t>
  </si>
  <si>
    <t xml:space="preserve">TOYOTA - Hilux 2.8 S Diesel - 4x4 - (Semi-Eixo DANA) s/ ABS 1997/2008; </t>
  </si>
  <si>
    <t>HILUX/PONTEIRA</t>
  </si>
  <si>
    <t>AL-1168</t>
  </si>
  <si>
    <t xml:space="preserve">RENAULT - Scenic 1.6 16V - c/ ABS 2001/...; </t>
  </si>
  <si>
    <t>SCENIC-23/35-D</t>
  </si>
  <si>
    <t>AL-1169</t>
  </si>
  <si>
    <t xml:space="preserve">RENAULT - Master 2.5 - c/ABS 2005 &gt; 2011; </t>
  </si>
  <si>
    <t>8200499895</t>
  </si>
  <si>
    <t>AL-117</t>
  </si>
  <si>
    <t xml:space="preserve">CHEVROLET / GM - Space Van  ; RENAULT - Master 2.5 ; Master 2.8 ; Trafic  1992&gt;; </t>
  </si>
  <si>
    <t>TZ - Utilitario</t>
  </si>
  <si>
    <t>RE003017</t>
  </si>
  <si>
    <t>AL-1170</t>
  </si>
  <si>
    <t>8200485578</t>
  </si>
  <si>
    <t>AL-1171</t>
  </si>
  <si>
    <t xml:space="preserve">FIAT - Ducato Combinato 2.8 8V - Aro 15 - c/ ABS - LADO DIREITO 1999/2000; Ducato DS - 2.5 8V (aro 15) 1998/2000; Ducato DS - 2.8 8V (aro 15) 1998/2000; Ducato Minibus 2.8 8V - Aro 15 - c/ABS - LADO DIREITO 1999/2000; Ducato Vetrato - 2.8 8V (aro 15) 1999/2000; </t>
  </si>
  <si>
    <t>1495538080</t>
  </si>
  <si>
    <t>AL-1172</t>
  </si>
  <si>
    <t xml:space="preserve">FIAT - Ducato Combinato 2.8 8V - Aro - 15 - c/ABS - LADO ESQUERDO 1999/2000; Ducato DS - 2.5 8V (aro 15) 1998/2000; Ducato DS - 2.8 8V (aro 15) 1998/2000; Ducato Minibus 2.8 8V - Aro 15 - c/ABS - LADO ESQUERDO 1999/2000; Ducato Vetrato - 2.8 8V (aro 15) 1999/2000; </t>
  </si>
  <si>
    <t>1495537080</t>
  </si>
  <si>
    <t>AL-1173</t>
  </si>
  <si>
    <t xml:space="preserve">CITROEN - Jumper 2.8 - aro 15 c/ ABS &lt;2009; FIAT - Ducato Cargo 2.8 8V - Aro 15 - c/ABS - LADO DIREITO 1999&gt;2009; Ducato Combinato 2.8 8V - Aro 15 - c/ ABS - LADO DIREITO 1999&gt;2009; Ducato DS 2.8 8V - Aro 15 - c/ABS - LADO DIREITO 1999&gt;2009; Ducato Intercooler 2.8 8V - Aro 15 - c/ABS - LADO DIREITO 1999&gt;2009; Ducato JTD 2.8 8V - Aro 15 - c/ABS - LADO DIREITO 1999&gt;2009; Ducato Minibus 2.8 8V - Aro 15 - c/ABS - LADO DIREITO 1999&gt;2009; Ducato Multijet 2.8 8V - Aro 15 - c/ABS - LADO DIREITO 1999&gt;2009; Ducato Turbo 2.8 8V - Aro 15 - c/ABS - LADO DIREITO 1999&gt;2009; Ducato Vetrato 2.8 8V - Aro 15 - c/ABS - LADO DIREITO 1999&gt;2009; PEUGEOT - Boxer 2.8 aro 15 c/ ABS 2009&gt;; </t>
  </si>
  <si>
    <t>AL-1174</t>
  </si>
  <si>
    <t xml:space="preserve">CITROEN - Jumper 2.8 - 2009 - aro 15 c/ ABS &lt;2009; FIAT - Ducato Cargo 2.8 8V - Aro 15 - c/ABS - LADO ESQUERDO 1999&gt;2009; Ducato Combinato 2.8 8V - Aro 15 - c/ ABS - LADO ESQUERDO 1999&gt;2009; Ducato DS 2.8 8V - Aro 15 - c/ABS - LADO ESQUERDO 1999&gt;2009; Ducato Intercooler 2.8 8V - Aro 15 - c/ABS - LADO ESQUERDO 1999&gt;2009; Ducato JTD 2.8 8V - Aro 15 - c/ABS - LADO ESQUERDO 1999&gt;2009; Ducato Minibus 2.8 8V - Aro 15 - c/ABS - LADO ESQUERDO 1999&gt;2009; Ducato Multijet 2.8 8V - Aro 15 - c/ABS - LADO ESQUERDO 1999&gt;2009; Ducato Turbo 2.8 8V - Aro 15 - c/ABS - LADO ESQUERDO 1999&gt;2009; Ducato Vetrato 2.8 8V - Aro 15 - c/ABS - LADO ESQUERDO 1999&gt;2009; PEUGEOT - Boxer 2.8 - aro 15 - c/ ABS &lt;2009; </t>
  </si>
  <si>
    <t>AL-1175</t>
  </si>
  <si>
    <t xml:space="preserve">CITROEN - Jumper 2.3 aro 16 c/ Abs 2010&gt;; FIAT - Ducato Maxicargo - 2.3 16V - Multijet Economy - Aro 16 c/ABS - LADO ESQUERDO 2010&gt;; Ducato Maxicargo - 2.8 8V - Turbo - DS Aro 16 c/ABS - LADO ESQUERDO 2006&gt;2006; Ducato Maxicargo - 2.8 8V - Turbo - JTD - Aro 16 c/ABS - LADO ESQUERDO 2006&gt;2009; Ducato Maxicargo - 2.8 8V - Turbo-JTD - Aro 16 c/ABS - LADO ESQUERDO 2009&gt;2009; Ducato Minibus - 2.3 16V - Multijet Economy - Aro 15 c/ABS - LADO ESQUERDO 2010&gt;; Ducato Minibus - 2.8 8V - Turbo - JTD - Aro 16 c/ABS - LADO ESQUERDO 2008&gt;2009; Ducato Multi - 2.8 8V - Turbo - DS - Aro 16 c/ABS - LADO ESQUERDO 2006&gt;2006; Ducato Multi - 2.8 8V - Turbo - JTD - Aro 16 c/ABS - LADO ESQUERDO 2006&gt;2009; Ducato Multijet Economy - 2.3 16V - Aro 16 c/ABS - LADO ESQUERDO 2010&gt;; PEUGEOT - Boxer 2.3 aro 16 c/Abs 2010&gt;; </t>
  </si>
  <si>
    <t>1350296080</t>
  </si>
  <si>
    <t>AL-1176</t>
  </si>
  <si>
    <t xml:space="preserve">FIAT - Ducato Maxicargo - 2.3 16V - Multijet Economy - Aro 16 s/ABS - LADO ESQUERDO 2010&gt;; Ducato Maxicargo - 2.8 8V - Turbo - DS - Aro 16 s/ABS - LADO ESQUERDO 2006&gt;/2006; Ducato Maxicargo - 2.8 8V - Turbo - JTD - Aro 16 s/ABS - LADO ESQUERDO 2006&gt;2009; Ducato Maxicargo - 2.8 8V - Turbo-JTD - Aro 16 s/ABS - LADO ESQUERDO 2009&gt;2009; Ducato Minibus - 2.3 16V - Multijet Economy - Aro 15 s/ABS - LADO ESQUERDO 2010&gt;; Ducato Minibus - 2.8 8V - Turbo - JTD - Aro 16 s/ABS - LADO ESQUERDO 2008&gt;2009; Ducato Multi - 2.8 8V - Turbo - DS - Aro 16 s/ABS - LADO ESQUERDO 2006&gt;2006; Ducato Multi - 2.8 8V - Turbo - JTD - Aro 16 s/ABS - LADO ESQUERDO 2006&gt;2009; Ducato Multijet Economy - 2.3 16V - Aro 16 s/ABS - LADO ESQUERDO 2010&gt;; PEUGEOT - Boxer 2.3 - Aro 16 - s/ Abs 2010&gt;; Jumper 2.3 - Aro 16 - s/ ABS 2010&gt;; </t>
  </si>
  <si>
    <t>1350294080</t>
  </si>
  <si>
    <t>AL-1177</t>
  </si>
  <si>
    <t xml:space="preserve">CITROEN - Jumper 2.3 - Aro 16 - c/ ABS 2010&gt;; FIAT - Ducato Maxicargo - 2.3 16V - Multijet Economy - Aro 16 c/ABS - LADO DIREITO 2010&gt;; Ducato Maxicargo - 2.8 8V - Turbo - DS - Aro 16 c/ABS - LADO DIREITO 2006&gt;2006; Ducato Maxicargo - 2.8 8V - Turbo - JTD - Aro 16 c/ABS - LADO DIREITO 2006&gt;2009; Ducato Maxicargo - 2.8 8V - Turbo-JTD - Aro 16 c/ABS - LADO DIREITO 2009&gt;2009; Ducato Minibus - 2.3 16V - Multijet Economy - Aro 15 c/ABS - LADO DIREITO 2010&gt;; Ducato Minibus - 2.8 8V - Turbo - JTD - Aro 16 c/ABS - LADO DIREITO 2008&gt;2009; Ducato Multi - 2.8 8V - Turbo - DS - Aro 16 c/ABS - LADO DIREITO 2006&gt;2006; Ducato Multi - 2.8 8V - Turbo - JTD - Aro 16 c/ABS - LADO DIREITO 2006&gt;2009; Ducato Multijet Economy - 2.3 16V - Aro 16 c/ABS - LADO DIREITO 2010&gt;; PEUGEOT - Boxer 2.3 - Aro 16 - c/ ABS 2010&gt;; </t>
  </si>
  <si>
    <t>1350297080</t>
  </si>
  <si>
    <t>AL-1178</t>
  </si>
  <si>
    <t xml:space="preserve">CITROEN - Jumper 2.3 - Aro 16 - s/ Abs 2010&gt;; FIAT - Ducato Maxicargo - 2.3 16V - Multijet Economy - Aro 16 s/ABS - LADO DIREITO 2010&gt;; Ducato Maxicargo - 2.8 8V - Turbo - DS - Aro 16 s/ABS - LADO DIREITO 2006&gt;/2006; Ducato Maxicargo - 2.8 8V - Turbo - JTD - Aro 16 s/ABS - LADO DIREITO 2006&gt;2009; Ducato Maxicargo - 2.8 8V - Turbo-JTD - Aro 16 s/ABS - LADO DIREITO 2009&gt;2009; Ducato Minibus - 2.3 16V - Multijet Economy - Aro 15 s/ABS - LADO DIREITO 2010&gt;; Ducato Minibus - 2.8 8V - Turbo - JTD - Aro 16 s/ABS - LADO DIREITO 2008&gt;2009; Ducato Multi - 2.8 8V - Turbo - DS - Aro 16 s/ABS - LADO DIREITO 2006&gt;2006; Ducato Multi - 2.8 8V - Turbo - JTD - Aro 16 s/ABS - LADO DIREITO 2006&gt;2009; Ducato Multijet Economy - 2.3 16V - Aro 16 s/ABS - LADO DIREITO 2010&gt;; PEUGEOT - Boxer 2.3 - Aro 16 s/ Abs 2010&gt;; </t>
  </si>
  <si>
    <t>1350295080</t>
  </si>
  <si>
    <t>AL-1179</t>
  </si>
  <si>
    <t xml:space="preserve">MITSUBISHI - Pajero 2.0 16 VTR4   Autom. - c/ ABS 2002/2011; Pajero io 1.8 / 16V TR4  Autom. - c/ ABS 1999&gt;2001; </t>
  </si>
  <si>
    <t>MR-515192</t>
  </si>
  <si>
    <t>AL-118</t>
  </si>
  <si>
    <t xml:space="preserve">CHEVROLET / GM - Montana 1.4 1.8  c/ABS 2011 &gt;; </t>
  </si>
  <si>
    <t>CR - Pickup</t>
  </si>
  <si>
    <t>13121138</t>
  </si>
  <si>
    <t>AL-1180</t>
  </si>
  <si>
    <t xml:space="preserve">MITSUBISHI - Pajero 2.0/ 16 TR4  Autom. - c/ ABS 2002/2011; Pajero io 1.8 / 16V 1999 &gt; 2001; </t>
  </si>
  <si>
    <t>MR-515191</t>
  </si>
  <si>
    <t>AL-1181</t>
  </si>
  <si>
    <t xml:space="preserve">HYUNDAI - Santa Fé 2.7 V6 - 4x2 - 4x4 - c/ ABS 2005/2010; Vera Cruz 3.8 V6 - 4X4 - C/ ABS 2007&gt;; </t>
  </si>
  <si>
    <t>HYUNDAI</t>
  </si>
  <si>
    <t>495002B010</t>
  </si>
  <si>
    <t>AL-1182</t>
  </si>
  <si>
    <t xml:space="preserve">HYUNDAI - Santa Fé 2.7 V6 - 4x4 - c/ ABS 2005/2010; </t>
  </si>
  <si>
    <t>495002B110</t>
  </si>
  <si>
    <t>AL-1183</t>
  </si>
  <si>
    <t xml:space="preserve">HYUNDAI - i30 2.0/16V - Autom. c/ ABS 2009 &gt;; Tucson 2.0 4 cilindros - 4x4 - c/ ABS 2005/...; KIA - Sportage 2.0 - Automático 2004/...; </t>
  </si>
  <si>
    <t>49500 2E200</t>
  </si>
  <si>
    <t>AL-1184</t>
  </si>
  <si>
    <t xml:space="preserve">HYUNDAI - i30 2.0/16V - Autom. - c/ ABS 2009 &gt;; Tucson 2.0 4 cilindros - 4x4 - c/ ABS 2005/...; KIA - Sportage 2.0 - Automático 2004/...; </t>
  </si>
  <si>
    <t>49501 2E201</t>
  </si>
  <si>
    <t>AL-1186</t>
  </si>
  <si>
    <t xml:space="preserve">HYUNDAI - Vera cruz 3.8 V6 - 4x4 - c/ ABS 2007/...; </t>
  </si>
  <si>
    <t>49500 3J000</t>
  </si>
  <si>
    <t>AL-1188</t>
  </si>
  <si>
    <t xml:space="preserve">CHEVROLET / GM - Montana 1.8 8V - s/ ABS 2004/...; Novo Corsa 1.8 8V 2002/...; </t>
  </si>
  <si>
    <t>952390HD</t>
  </si>
  <si>
    <t>AL-119</t>
  </si>
  <si>
    <t>BARRAS/BRAÇOS</t>
  </si>
  <si>
    <t xml:space="preserve">CHEVROLET / GM - Astra Todos 1999/...; Vectra Todos 2006/...; </t>
  </si>
  <si>
    <t>BB - Leve</t>
  </si>
  <si>
    <t>AL-1191</t>
  </si>
  <si>
    <t xml:space="preserve">VOLKSWAGEN - Kombi 1.6 Refrigerada à Água 2006/...; Kombi 1.6 Refrigerada à Ar 1978/12.2005; </t>
  </si>
  <si>
    <t>951862HD</t>
  </si>
  <si>
    <t>AL-1192</t>
  </si>
  <si>
    <t xml:space="preserve">FIAT - Idea 1.4/8V - Fire - s/ABS 2003/...; </t>
  </si>
  <si>
    <t>2761-2029</t>
  </si>
  <si>
    <t>AL-1193</t>
  </si>
  <si>
    <t xml:space="preserve">FIAT - Marea 2.0/20V 1998/2009; Marea 2.4 20V (Exceto Turbo) - s/ ABS 1998/2007; Marea Weekend 2.0/20V 1998/2009; Marea Weekend 2.4 20V (Exceto Turbo) - s/ ABS 1998/2007; </t>
  </si>
  <si>
    <t>523-549A</t>
  </si>
  <si>
    <t>AL-1194</t>
  </si>
  <si>
    <t xml:space="preserve">HONDA - New Civic 1.8 - Automático 2009/2011; </t>
  </si>
  <si>
    <t>44014SNE A02</t>
  </si>
  <si>
    <t>AL-1195</t>
  </si>
  <si>
    <t xml:space="preserve">HONDA - New Civic Mecânico - 1.8/16V 2006  &gt;  2012; </t>
  </si>
  <si>
    <t>1631-1649</t>
  </si>
  <si>
    <t>AL-1196</t>
  </si>
  <si>
    <t xml:space="preserve">FIAT - Doblo Motor E.Torq 1.6 2011/...; Doblo Motor E.Torq 1.8 2011/...; Idea Motor E.Torq 1.6 2011/...; Idea Motor E.Torq 1.8 2011/...; Palio Weekend Adventure Motor E.Torq 1.6 - fase 3 e 4 2011/...; Palio Weekend Adventure Motor E.Torq 1.8 - fase 3 e 4 2011/...; Palio Weekend Motor E.Torq 1.6 2011/...; Palio Weekend Motor E.Torq 1.8 2011/...; Punto 1.6 / 1.8  - 16V  E.torq. 2012&gt;2015; Siena 1.6 16V - E.torq. 2012&gt;2015; Strada Motor E.Torq 1.6 2011/...; Strada Motor E.Torq 1.8 2011/...; </t>
  </si>
  <si>
    <t>4000-8772</t>
  </si>
  <si>
    <t>AL-1197</t>
  </si>
  <si>
    <t xml:space="preserve">FIAT - Brava 1.8 16V 1999&gt;2000; Doblo Motor E.Torq 1.6 2011/...; Doblo Motor E.Torq 1.8 2011/...; Idea Motor E.Torq 1.6 2011/...; Idea Motor E.Torq 1.8 2011/...; Marea 1.8 16V 1998&gt;2007; Palio Weekend Adventure Motor E.Torq 1.6 2011/...; Palio Weekend Adventure Motor E.Torq 1.8 2011/...; Strada Motor E.Torq 1.6 2011/...; Strada Motor E.Torq 1.8 2011/...; </t>
  </si>
  <si>
    <t>51855521</t>
  </si>
  <si>
    <t>AL-1198</t>
  </si>
  <si>
    <t xml:space="preserve">VOLKSWAGEN - Fox 1.0 8V 08/2008 &gt; 12/2013; Gol G V - 1.0 8V 08/2008 &gt; 12/2013; Voyage 1.0 8V 08/2008 &gt;  12/2013; </t>
  </si>
  <si>
    <t>2601-1809</t>
  </si>
  <si>
    <t>AL-1199</t>
  </si>
  <si>
    <t xml:space="preserve">FIAT - Ducato 2.3 Aro 16 - s/ ABS 2010 &gt;; PEUGEOT - Boxer 2.3 -  Aro 16 - s/ ABS 2010&gt;; </t>
  </si>
  <si>
    <t>AL-12</t>
  </si>
  <si>
    <t xml:space="preserve">FORD - Escort 1.6 .../1992; </t>
  </si>
  <si>
    <t>GE - Leve</t>
  </si>
  <si>
    <t>77FB7N515AF</t>
  </si>
  <si>
    <t>AL-120</t>
  </si>
  <si>
    <t>MOTOR</t>
  </si>
  <si>
    <t xml:space="preserve">MERCEDES BENZ -  Motor OM - 321 ;  Motor OM - 352 ; </t>
  </si>
  <si>
    <t>AL-1201</t>
  </si>
  <si>
    <t xml:space="preserve">FORD - Courier Motor Endura 1.3 &lt; 1999; Fiesta Motor Endura 1.3 &lt; 1999; KA Motor Endura 1.3 &lt; 1999; </t>
  </si>
  <si>
    <t>96FG 3B418 CA</t>
  </si>
  <si>
    <t>AL-1202</t>
  </si>
  <si>
    <t xml:space="preserve">FORD - Courier 1.6 Zetec Rocam 2000 &gt;; Ecosport 1.0/ 1.6 2004 &gt;; Fiesta Zetec Rocam 1.0 / 1.6 2000 &gt;; Focus 1.6/ 1.8 2004 &gt;; Ka Zetec Rocam 1.0 / 1.6 2000 &gt;; </t>
  </si>
  <si>
    <t>1S65 3B418 AA</t>
  </si>
  <si>
    <t>AL-1203</t>
  </si>
  <si>
    <t xml:space="preserve">FORD - Escort Zetec 1997 &gt; 2002; </t>
  </si>
  <si>
    <t>86TT 3B414 AA</t>
  </si>
  <si>
    <t>AL-1204</t>
  </si>
  <si>
    <t xml:space="preserve">FORD - Focus 2.0 - Mec/ Autom. 2000 &gt; 2009; </t>
  </si>
  <si>
    <t>XS4C 3B418 EB</t>
  </si>
  <si>
    <t>AL-1205</t>
  </si>
  <si>
    <t xml:space="preserve">FORD - Ranger 4x4 1998&gt;2003; </t>
  </si>
  <si>
    <t>TU - Pickup</t>
  </si>
  <si>
    <t>F87A 3K183A</t>
  </si>
  <si>
    <t>AL-1206</t>
  </si>
  <si>
    <t>F87A 3K183B</t>
  </si>
  <si>
    <t>AL-1207</t>
  </si>
  <si>
    <t xml:space="preserve">CITROEN - Jumper 2.8 - Aro 15 2009&gt;; FIAT - Ducato 2,8 Aro 15 2009 &gt;; PEUGEOT - Boxer 2,8 -  aro 15 - s/ ABS 2009&gt;; </t>
  </si>
  <si>
    <t>TU - Utilitario</t>
  </si>
  <si>
    <t>DUCATO ARO 15 LE</t>
  </si>
  <si>
    <t>AL-1208</t>
  </si>
  <si>
    <t xml:space="preserve">CITROEN - Jumper 2.8  -  Aro 16 &gt;2009; FIAT - Ducato 2.8 -  Aro 16 &lt;2009; PEUGEOT - Boxer 2.8 &gt;2009; </t>
  </si>
  <si>
    <t>DUCATO ARO 16</t>
  </si>
  <si>
    <t>AL-1209</t>
  </si>
  <si>
    <t xml:space="preserve">CITROEN - Jumper 2.8 - Aro 16 &lt;2009; FIAT - Ducato 2.8   Aro 16 2003&gt; 2009; PEUGEOT - Boxer 2.8 - Aro 16 &lt;2009; </t>
  </si>
  <si>
    <t>AL-1210</t>
  </si>
  <si>
    <t xml:space="preserve">CHEVROLET / GM - Trafic  1992&gt;; RENAULT - Trafic  1992&gt;; </t>
  </si>
  <si>
    <t>TRAFIC</t>
  </si>
  <si>
    <t>AL-1211</t>
  </si>
  <si>
    <t xml:space="preserve">HONDA - Civic  &lt; 1996; </t>
  </si>
  <si>
    <t>CIVIC</t>
  </si>
  <si>
    <t>AL-1212</t>
  </si>
  <si>
    <t xml:space="preserve">MERCEDES BENZ - MB 180  1993&gt;; </t>
  </si>
  <si>
    <t>AL-1213</t>
  </si>
  <si>
    <t xml:space="preserve">RENAULT - Clio  &lt;1998; </t>
  </si>
  <si>
    <t>CLIO</t>
  </si>
  <si>
    <t>AL-1214</t>
  </si>
  <si>
    <t xml:space="preserve">RENAULT - Clio  1999 &gt;; </t>
  </si>
  <si>
    <t>AL-1215</t>
  </si>
  <si>
    <t xml:space="preserve">RENAULT - Logan 1.0 / 1.6 ; Megane  ; Sandero 1.0 / 1.6 ; Scenic  ; </t>
  </si>
  <si>
    <t>MEGANE</t>
  </si>
  <si>
    <t>AL-1216</t>
  </si>
  <si>
    <t xml:space="preserve">RENAULT - Twingo  ; </t>
  </si>
  <si>
    <t>TWINGO</t>
  </si>
  <si>
    <t>AL-1217</t>
  </si>
  <si>
    <t xml:space="preserve">PEUGEOT - 307 2.0 16V - Mecânico ; </t>
  </si>
  <si>
    <t>307 - 2.0 16V MEC.</t>
  </si>
  <si>
    <t>AL-1218</t>
  </si>
  <si>
    <t xml:space="preserve">PEUGEOT - 206  ; </t>
  </si>
  <si>
    <t>206 - LE</t>
  </si>
  <si>
    <t>AL-1219</t>
  </si>
  <si>
    <t xml:space="preserve">PEUGEOT - 205 - 1.0/16V ; </t>
  </si>
  <si>
    <t>205 - LD</t>
  </si>
  <si>
    <t>AL-122</t>
  </si>
  <si>
    <t>MERCEDES BENZ - GLA 200 1.6 16V 2015 &gt;;</t>
  </si>
  <si>
    <t>MERCEDES BENZ</t>
  </si>
  <si>
    <t>BAR0230 AC</t>
  </si>
  <si>
    <t>AL-1220</t>
  </si>
  <si>
    <t xml:space="preserve">PEUGEOT - 206 1.0 16V ; </t>
  </si>
  <si>
    <t>206 - LD</t>
  </si>
  <si>
    <t>AL-1221</t>
  </si>
  <si>
    <t xml:space="preserve">CITROEN - Berlingo 1.8 1980&gt;; PEUGEOT - 306 XS 1995; Partner 1.8 1999&gt;; </t>
  </si>
  <si>
    <t>CITROEN</t>
  </si>
  <si>
    <t>BERLIN/306</t>
  </si>
  <si>
    <t>AL-1222</t>
  </si>
  <si>
    <t xml:space="preserve">PEUGEOT - 306  ; 405  ; </t>
  </si>
  <si>
    <t>306/ 405 - LE</t>
  </si>
  <si>
    <t>AL-1223</t>
  </si>
  <si>
    <t xml:space="preserve">CITROEN - C3 1.4 8V ; </t>
  </si>
  <si>
    <t>C3 - LE</t>
  </si>
  <si>
    <t>AL-1224</t>
  </si>
  <si>
    <t xml:space="preserve">CITROEN - Xsara 1.8 1999 &gt;; ZX 1.8 1999 &gt;; PEUGEOT - 405 1.8 1999 &gt;; Partner 1.8 1999 &gt;; </t>
  </si>
  <si>
    <t>XSARA/405</t>
  </si>
  <si>
    <t>AL-1225</t>
  </si>
  <si>
    <t xml:space="preserve">CITROEN - Xsara  1999 &gt;; ZX  1999 &gt;; </t>
  </si>
  <si>
    <t>XSARA/ ZX</t>
  </si>
  <si>
    <t>AL-1226</t>
  </si>
  <si>
    <t xml:space="preserve">HONDA - Fit 1.4/ 1.5 - Mecânico/ Automático ; New Civic EXL - autom. 2007 &gt;; </t>
  </si>
  <si>
    <t>FIT - 1.4</t>
  </si>
  <si>
    <t>AL-1227</t>
  </si>
  <si>
    <t xml:space="preserve">HONDA - Accord  ; </t>
  </si>
  <si>
    <t>ACCORD</t>
  </si>
  <si>
    <t>AL-1228</t>
  </si>
  <si>
    <t xml:space="preserve">HONDA - Civic 1.6 - LX/ EX -  automat. 1996 &gt;; </t>
  </si>
  <si>
    <t>CIVIC - LX/ EX</t>
  </si>
  <si>
    <t>AL-1229</t>
  </si>
  <si>
    <t xml:space="preserve">TOYOTA - Corolla 1.8 / 16V - 1.6/16V 1993 &gt; 1997; </t>
  </si>
  <si>
    <t>COROLLA</t>
  </si>
  <si>
    <t>AL-123</t>
  </si>
  <si>
    <t xml:space="preserve">HONDA - Fit 2015&gt;2017; City 2015&gt;2017 </t>
  </si>
  <si>
    <t>44600T5NM01</t>
  </si>
  <si>
    <t>AL-1230</t>
  </si>
  <si>
    <t xml:space="preserve">TOYOTA - Corolla 1.8 / 16V &lt;2002; </t>
  </si>
  <si>
    <t>AL-1231</t>
  </si>
  <si>
    <t xml:space="preserve">TOYOTA - Camry  ; </t>
  </si>
  <si>
    <t>CAMRY</t>
  </si>
  <si>
    <t>AL-1232</t>
  </si>
  <si>
    <t>AUDI - A3</t>
  </si>
  <si>
    <t>AUDI</t>
  </si>
  <si>
    <t>A3</t>
  </si>
  <si>
    <t>AL-1233</t>
  </si>
  <si>
    <t xml:space="preserve">AUDI - A4  ; A6  ; VOLKSWAGEN - Passat  1995 &gt; 1999; </t>
  </si>
  <si>
    <t>A4/ A6/ PASSAT</t>
  </si>
  <si>
    <t>AL-1234</t>
  </si>
  <si>
    <t xml:space="preserve">KIA - Sephia  ; </t>
  </si>
  <si>
    <t>KIA</t>
  </si>
  <si>
    <t>SEPHIA</t>
  </si>
  <si>
    <t>AL-1235</t>
  </si>
  <si>
    <t xml:space="preserve">FORD - Focus 2.0 Mecânico / Automático 2000 &gt; 2009; </t>
  </si>
  <si>
    <t>XS4C 3C092 BA</t>
  </si>
  <si>
    <t>AL-1237</t>
  </si>
  <si>
    <t xml:space="preserve">RENAULT - Clio  ; Megane  ; RN  ; RT-16  ; Scenic  ; Twingo  ; </t>
  </si>
  <si>
    <t>AL-1238</t>
  </si>
  <si>
    <t xml:space="preserve">AUDI - A3 Tiptronic ; VOLKSWAGEN - Golf 2.0 Automático ; Passat Alemão  ; </t>
  </si>
  <si>
    <t>A3 - TIPTRONIC</t>
  </si>
  <si>
    <t>AL-1239</t>
  </si>
  <si>
    <t xml:space="preserve">HONDA - Accord Mecânico 1994&gt;1997; CRV Mecânico / Automatico 2000/2001; </t>
  </si>
  <si>
    <t>ACCORD/ CR-V</t>
  </si>
  <si>
    <t>AL-1240</t>
  </si>
  <si>
    <t xml:space="preserve">AUDI - A3 Tiptronic - 180 cv ; VOLKSWAGEN - Golf Tiptronic - 1.8/ 2.0 - 180 cv ; Passat Alemão 1.8/ 2.0 - 180 cv ; </t>
  </si>
  <si>
    <t>AL-1241</t>
  </si>
  <si>
    <t xml:space="preserve">HONDA - Accord LX/ EX - Automático 1992 &gt; 2000; </t>
  </si>
  <si>
    <t>AL-1242</t>
  </si>
  <si>
    <t>HONDA - Accord LX 1998&gt;2002; CRV 2009&gt;2011;</t>
  </si>
  <si>
    <t>AL-1243</t>
  </si>
  <si>
    <t xml:space="preserve">HONDA - Accord LX 2003 &gt;; </t>
  </si>
  <si>
    <t>AL-1244</t>
  </si>
  <si>
    <t xml:space="preserve">FORD - Fusion 2.3/ 2.5 2006 &gt;01. 02.2009; </t>
  </si>
  <si>
    <t>FUSION - 2.3/2.5</t>
  </si>
  <si>
    <t>AL-1245</t>
  </si>
  <si>
    <t xml:space="preserve">FORD - Mondeo 2.0 ; </t>
  </si>
  <si>
    <t>93BG 3C092 CA</t>
  </si>
  <si>
    <t>AL-1246</t>
  </si>
  <si>
    <t xml:space="preserve">HONDA - Civic Automático &lt; 2006; </t>
  </si>
  <si>
    <t>44310 S5D A11</t>
  </si>
  <si>
    <t>AL-1247</t>
  </si>
  <si>
    <t xml:space="preserve">TOYOTA - Corolla 1.8 Automatico &lt;2002; </t>
  </si>
  <si>
    <t>COROLLA 1.8</t>
  </si>
  <si>
    <t>AL-1248</t>
  </si>
  <si>
    <t xml:space="preserve">FIAT - Stilo Abarth - 2.4 ; </t>
  </si>
  <si>
    <t>STILO ABARTH</t>
  </si>
  <si>
    <t>AL-1249</t>
  </si>
  <si>
    <t xml:space="preserve">HONDA - New Civic LXS - Mecânico - LD 2007 &gt;; New Fit Mecânico/ Automático - LE/ LD 2009 &gt;; </t>
  </si>
  <si>
    <t>NEW FIT/ NEW CIVIC</t>
  </si>
  <si>
    <t>AL-125</t>
  </si>
  <si>
    <t xml:space="preserve">MERCEDES BENZ - OM-352 Todos ; </t>
  </si>
  <si>
    <t>AL-1250</t>
  </si>
  <si>
    <t xml:space="preserve">TOYOTA - Hilux 2.8 SOHC Diesel - 4x4 - (Semi-Eixo DANA) s/ ABS 1997/2008; </t>
  </si>
  <si>
    <t>471-719</t>
  </si>
  <si>
    <t>AL-1251</t>
  </si>
  <si>
    <t xml:space="preserve">CITROEN - C3 1.6 16V 2004 &gt;; </t>
  </si>
  <si>
    <t>C3 1.4</t>
  </si>
  <si>
    <t>AL-1252</t>
  </si>
  <si>
    <t xml:space="preserve">FORD - Ranger 4x4 2004&gt;; </t>
  </si>
  <si>
    <t>RANGER 4x4</t>
  </si>
  <si>
    <t>AL-1253</t>
  </si>
  <si>
    <t xml:space="preserve">FORD - Ranger 4x4 2004; </t>
  </si>
  <si>
    <t>AL-1254</t>
  </si>
  <si>
    <t xml:space="preserve">CHEVROLET / GM - Blazer  &lt; 2011; S10  &lt; 2011; </t>
  </si>
  <si>
    <t>S10/BLAZER</t>
  </si>
  <si>
    <t>AL-1255</t>
  </si>
  <si>
    <t>AL-1256</t>
  </si>
  <si>
    <t xml:space="preserve">TOYOTA - Hilux SRV Turbo/Diesel 2006 &gt;; Hilux SW 3.0 - Turbo/Diesel 2005 &gt;; Hilux SW4 2.5 - Turbo/Diesel 2005 &gt;; </t>
  </si>
  <si>
    <t>HILUX SW 3.0/ SW4</t>
  </si>
  <si>
    <t>AL-1257</t>
  </si>
  <si>
    <t xml:space="preserve">HONDA - Fit 1.4 / 1.5 Mecânico / Automático ; </t>
  </si>
  <si>
    <t>AL-1258</t>
  </si>
  <si>
    <t xml:space="preserve">CITROEN - Jumper 2.3 - Aro 15 e 16 ; FIAT - Ducato 2.3/2.8 - Aro15/16 2010&gt;; PEUGEOT - Boxer 2.3 - Aro 15 e 16 2010&gt;; </t>
  </si>
  <si>
    <t>DUCATO ARO 15/16</t>
  </si>
  <si>
    <t>AL-1259</t>
  </si>
  <si>
    <t xml:space="preserve">FORD - Focus 2.0 Mecânico / Automático 2003&gt;2013; </t>
  </si>
  <si>
    <t>2M55 3K177 AA</t>
  </si>
  <si>
    <t>AL-126</t>
  </si>
  <si>
    <t xml:space="preserve">MERCEDES BENZ -  Motor OM-352 rds (menos 608D) ; </t>
  </si>
  <si>
    <t>AL-1260</t>
  </si>
  <si>
    <t xml:space="preserve">FORD - Fusion 2.5 - 4cc 02/2009 &gt;; </t>
  </si>
  <si>
    <t>FUSION 2.5</t>
  </si>
  <si>
    <t>AL-1261</t>
  </si>
  <si>
    <t xml:space="preserve">VOLKSWAGEN - Bora 2.0 - Automatico 2004&gt;; Golf 2.5 Automático 2004&gt;; Jetta 2.5 Automático 2004&gt;; Passat Alemão 2.8 Automático 2004&gt;; </t>
  </si>
  <si>
    <t>GOLF/JETTA</t>
  </si>
  <si>
    <t>AL-1262</t>
  </si>
  <si>
    <t xml:space="preserve">FIAT - Bravo e.torq 2011 &gt; 2015; Idea E.torq 2011 &gt; 2016; Linea e.torq 2009 &gt; 2014; Punto E.torq 2008 &gt; 2012; Siena E.torq 2008 &gt; 2012; Strada E.torq 2008 &gt; 2012; </t>
  </si>
  <si>
    <t>PALIO/ STRADA</t>
  </si>
  <si>
    <t>AL-1263</t>
  </si>
  <si>
    <t xml:space="preserve">PEUGEOT - 207  ; 307  ; Escapade  ; </t>
  </si>
  <si>
    <t>207/307</t>
  </si>
  <si>
    <t>AL-1264</t>
  </si>
  <si>
    <t xml:space="preserve">TOYOTA - Corolla 1.8 - Automático 2002 &gt; 2008; Fielder 1.8 - Automático 2002 &gt; 2008; </t>
  </si>
  <si>
    <t>COROLLA- 1.8</t>
  </si>
  <si>
    <t>AL-1265</t>
  </si>
  <si>
    <t xml:space="preserve">FORD - Focus 2.0 16V 2010&gt;; </t>
  </si>
  <si>
    <t>FOCUS 2.0</t>
  </si>
  <si>
    <t>AL-1266</t>
  </si>
  <si>
    <t xml:space="preserve">CITROEN - Jumper 2.3 - Aro 15 e 16 2010&gt;; FIAT - Ducato 2.3  - Aro 15/16 2010&gt;; PEUGEOT - Boxer 2.3 - Aro 15 e 16 2010&gt;; </t>
  </si>
  <si>
    <t>AL-1267</t>
  </si>
  <si>
    <t xml:space="preserve">FORD - Fusion 2.5 - 4cc 02.02.2009 &gt;; </t>
  </si>
  <si>
    <t>AL-1268</t>
  </si>
  <si>
    <t>206</t>
  </si>
  <si>
    <t>AL-1269</t>
  </si>
  <si>
    <t xml:space="preserve">FORD - Focus 2.0 - Mecânico / Automático 2003&gt;2013; </t>
  </si>
  <si>
    <t>2M55 3C092 AA</t>
  </si>
  <si>
    <t>AL-127</t>
  </si>
  <si>
    <t xml:space="preserve">MERCEDES BENZ -  Motor OM-352 ; </t>
  </si>
  <si>
    <t>AL-1270</t>
  </si>
  <si>
    <t xml:space="preserve">HONDA - CRV 4X4 2009&gt;2011; </t>
  </si>
  <si>
    <t>TU - Suv</t>
  </si>
  <si>
    <t>CR-V 4x4</t>
  </si>
  <si>
    <t>AL-1271</t>
  </si>
  <si>
    <t xml:space="preserve">FIAT - Stilo Abarth 2.4 ; </t>
  </si>
  <si>
    <t>AL-1272</t>
  </si>
  <si>
    <t xml:space="preserve">CHEVROLET / GM - Cobalt 1.4 - Mecânico 2012 &gt;; Onix 1.4 - Mecanico 2012 &gt;; Prisma 1.4  -  Mecanico 2012 &gt;; </t>
  </si>
  <si>
    <t>COBALT 1.4</t>
  </si>
  <si>
    <t>AL-1273</t>
  </si>
  <si>
    <t xml:space="preserve">CHEVROLET / GM - Onix 1.4 - 8V - Automático 2012&gt;; Prisma 1.4 - 8V - Automático 2012&gt;; Sonic 1.6 16V - Automático 2012&gt;; </t>
  </si>
  <si>
    <t>PRISMA/ONIX</t>
  </si>
  <si>
    <t>AL-1274</t>
  </si>
  <si>
    <t xml:space="preserve">CHEVROLET / GM - Onix 1.4 - 8V - Automático 2012&gt;; Prisma 1.4 - 8V  Automático 2012&gt;; Sonic 1.6 16V - Automático 2012&gt;; </t>
  </si>
  <si>
    <t>AL-1275</t>
  </si>
  <si>
    <t>AL-1276</t>
  </si>
  <si>
    <t xml:space="preserve">PEUGEOT - 205  ; RENAULT - Clio  ; Megane  ; RN  ; RT-16  ; Scenic  ; Twingo  ; </t>
  </si>
  <si>
    <t>CLIO/MEGANE</t>
  </si>
  <si>
    <t>AL-1277</t>
  </si>
  <si>
    <t xml:space="preserve">RENAULT - Megane  ; Scenic  ; </t>
  </si>
  <si>
    <t>MEGANE/SCENIC</t>
  </si>
  <si>
    <t>AL-1278</t>
  </si>
  <si>
    <t xml:space="preserve">CITROEN - C3 1.6 16V 2004&gt;; </t>
  </si>
  <si>
    <t>AL-1279</t>
  </si>
  <si>
    <t xml:space="preserve">PEUGEOT - 106  ; </t>
  </si>
  <si>
    <t>106</t>
  </si>
  <si>
    <t>AL-128</t>
  </si>
  <si>
    <t>FREIO/DIREÇÃO</t>
  </si>
  <si>
    <t xml:space="preserve">MERCEDES BENZ - 1113  ; 1313  ; 1513  ; 2013  ; </t>
  </si>
  <si>
    <t>AL-1280</t>
  </si>
  <si>
    <t xml:space="preserve">CITROEN - C3 1.4 8V - Mecanico 2008&gt;; </t>
  </si>
  <si>
    <t>AL-1281</t>
  </si>
  <si>
    <t>AL-1282</t>
  </si>
  <si>
    <t xml:space="preserve">HONDA - City  2010&gt;; </t>
  </si>
  <si>
    <t>CITY</t>
  </si>
  <si>
    <t>AL-1283</t>
  </si>
  <si>
    <t xml:space="preserve">RENAULT - Duster 1.6 16V - Mecanico 2010&gt;; </t>
  </si>
  <si>
    <t>DUSTER 1.6</t>
  </si>
  <si>
    <t>AL-1284</t>
  </si>
  <si>
    <t>AL-1285</t>
  </si>
  <si>
    <t xml:space="preserve">CHEVROLET / GM - Cobalt 1.8 8V - Automático 2013&gt;; Onix 1.4 8V - Automatico 2013&gt;; Prisma 1.4 8V - Automatico 2013&gt;; Spin 1.8 8V Automatico 2013&gt;; </t>
  </si>
  <si>
    <t>AL-1286</t>
  </si>
  <si>
    <t xml:space="preserve">CHEVROLET / GM - Cobalt 1.8 8V - Automatico 2013&gt;; Onix 1.4 8V - Automatico 2013&gt;; Prisma 1.4 8V - Automatico 2013&gt;; Spin 1.8 8V - Automatico 2013&gt;; </t>
  </si>
  <si>
    <t>AL-1287</t>
  </si>
  <si>
    <t xml:space="preserve">CHEVROLET / GM - Cobalt 1.8 8V - Mecanico 2012&gt;; Spin 1.8 8V - Mecanico 2012&gt;; </t>
  </si>
  <si>
    <t>COBALT/SPIN</t>
  </si>
  <si>
    <t>AL-1288</t>
  </si>
  <si>
    <t>307 2.0</t>
  </si>
  <si>
    <t>AL-1289</t>
  </si>
  <si>
    <t>AL-129</t>
  </si>
  <si>
    <t xml:space="preserve">MERCEDES BENZ - 608D  ; </t>
  </si>
  <si>
    <t>AL-1290</t>
  </si>
  <si>
    <t xml:space="preserve">FIAT - Bravo e.torq 2011 &gt; 2015; Idea E.torq. 2011 &gt; 2016; Linea e.torq 2009 &gt; 2014; Punto E.torq 2008 &gt;2012; Siena E.torq 2008 &gt; 2012; Strada E.torq 2008 &gt; 2012; </t>
  </si>
  <si>
    <t>PALIO/STRADA</t>
  </si>
  <si>
    <t>AL-1291</t>
  </si>
  <si>
    <t xml:space="preserve">FORD - Mondeo 2.0 16V ; </t>
  </si>
  <si>
    <t>MONDEO</t>
  </si>
  <si>
    <t>AL-1292</t>
  </si>
  <si>
    <t xml:space="preserve">RENAULT - Kangoo 1.6 8V ; </t>
  </si>
  <si>
    <t>KANGOO 1.6</t>
  </si>
  <si>
    <t>AL-1293</t>
  </si>
  <si>
    <t xml:space="preserve">RENAULT - Clio antigo ; </t>
  </si>
  <si>
    <t>AL-1294</t>
  </si>
  <si>
    <t>AL-1295</t>
  </si>
  <si>
    <t xml:space="preserve">RENAULT - Scenic 2.0 16V 2005&gt;; </t>
  </si>
  <si>
    <t>SCENIC 2.0</t>
  </si>
  <si>
    <t>AL-1296</t>
  </si>
  <si>
    <t xml:space="preserve">HYUNDAI - i30 2.0 16V - Mecanico ; </t>
  </si>
  <si>
    <t>i30</t>
  </si>
  <si>
    <t>AL-1297</t>
  </si>
  <si>
    <t>AL-1298</t>
  </si>
  <si>
    <t xml:space="preserve">TOYOTA - RAV4 2.0 - 4X4 - Mecanico/ Automatico 05/2000&gt;11/2005; </t>
  </si>
  <si>
    <t>RAV-4 2.0</t>
  </si>
  <si>
    <t>AL-1299</t>
  </si>
  <si>
    <t xml:space="preserve">TOYOTA - RAV4 2.0 - 4X4 - Mecanico / Automatico 05/2000&gt;11/2005; </t>
  </si>
  <si>
    <t>AL-13</t>
  </si>
  <si>
    <t xml:space="preserve">FORD - Belina  1971/1977; Corcel  1971/1977; </t>
  </si>
  <si>
    <t>AL-130</t>
  </si>
  <si>
    <t>AL-1300</t>
  </si>
  <si>
    <t xml:space="preserve">FIAT - Bravo 1.8 / 16V - E.torq - fase 1 2010&gt;; Doblo 1.8 / 16V - E.torq - fase 1 2010&gt;; Grand Siena 1.6 / 1.8 - 16V - E.torq. - fase1 2011&gt;; Idea Adventure - 1.6/ 1.8 -16V - E.torq. - fase 1 2011&gt;; Novo Palio 1.6/ 1.8 - 16V - E.torq - fase 1,3 e 4 2011&gt;; Palio Adventure 1.6 / 1.8 - 16V - E.torq. fase 3 e 4 2011&gt;; Palio Weekend 1.6 / 1.8 - 16V - E.torq fase 3 e 4 2011&gt;; Strada Aventure - 1.6 /1.8 - 16V - E.torq. fase 3 e 4 2011&gt;; </t>
  </si>
  <si>
    <t>AL-1301</t>
  </si>
  <si>
    <t xml:space="preserve">RENAULT - Duster 2.0 16V - Automático ; </t>
  </si>
  <si>
    <t>DUSTER 2.0</t>
  </si>
  <si>
    <t>AL-1302</t>
  </si>
  <si>
    <t>AL-1303</t>
  </si>
  <si>
    <t xml:space="preserve">HYUNDAI - HB20 1.6 / 16V - Automático 2012&gt;; KIA - Soul 1.6  / 16V 2009&gt;; </t>
  </si>
  <si>
    <t>HB20/SOUL</t>
  </si>
  <si>
    <t>AL-1304</t>
  </si>
  <si>
    <t xml:space="preserve">HYUNDAI - Tucson 2.0 / 16V - Mecânico 2010&gt;; KIA - Sportage 2.0 / 16V - Mecânico 2010&gt;; </t>
  </si>
  <si>
    <t>TUCSON</t>
  </si>
  <si>
    <t>AL-1305</t>
  </si>
  <si>
    <t xml:space="preserve">HYUNDAI - i30 2.0/16V - Automatico - c/abs 2009 &gt;; Tucson 2.0 / 16V - Automático 2010&gt;; KIA - Sportage 2.0 / 16V - Automático 2010&gt;; </t>
  </si>
  <si>
    <t>AL-1306</t>
  </si>
  <si>
    <t xml:space="preserve">HYUNDAI - HB20 1.0 12V - 3cc 2012&gt;; </t>
  </si>
  <si>
    <t>HB20 1.0</t>
  </si>
  <si>
    <t>AL-1307</t>
  </si>
  <si>
    <t xml:space="preserve">CHEVROLET / GM - Cruze 1.8 /16V - Automático 2012&gt;; </t>
  </si>
  <si>
    <t>CRUZE</t>
  </si>
  <si>
    <t>AL-1308</t>
  </si>
  <si>
    <t xml:space="preserve">CHEVROLET / GM - Cruze 1.8 / 16V - Automático 2012&gt;; </t>
  </si>
  <si>
    <t>AL-1309</t>
  </si>
  <si>
    <t xml:space="preserve">HYUNDAI - Tucson 2.7 V6 - Automático 2002&gt;2009; KIA - Sportage 2.7 V6 Automático 2005&gt;2009; </t>
  </si>
  <si>
    <t>AL-131</t>
  </si>
  <si>
    <t>AL-1310</t>
  </si>
  <si>
    <t xml:space="preserve">HYUNDAI - Tucson 2.7 V6 - Automático 2002&gt;2009; KIA - Sportage 2.7 V6 - Automático 2005&gt;2009; </t>
  </si>
  <si>
    <t>AL-1311</t>
  </si>
  <si>
    <t xml:space="preserve">CITROEN - Air Cross 1.6 / 8V - Automático 2010&gt;; C3 1.4 8V -  Automático 2010&gt;; </t>
  </si>
  <si>
    <t>C3 - 1.4</t>
  </si>
  <si>
    <t>AL-1312</t>
  </si>
  <si>
    <t xml:space="preserve">CITROEN - Air Cross 1.6 / 8V - Automático 2010&gt;; C3 1.4 8V - Automático 2010&gt;; </t>
  </si>
  <si>
    <t>AL-1313</t>
  </si>
  <si>
    <t xml:space="preserve">HYUNDAI - Azera 3.0 V6 - Automático 2010&gt;; Sonata 3.0 V6 - Automático 2010&gt;; </t>
  </si>
  <si>
    <t>AZERA</t>
  </si>
  <si>
    <t>AL-1314</t>
  </si>
  <si>
    <t xml:space="preserve">HYUNDAI - Azera 3.0 V6 - Automático 2010&gt;; Sonata Sonata 3.0 V6 - Automático 2010&gt;; </t>
  </si>
  <si>
    <t>AL-1315</t>
  </si>
  <si>
    <t xml:space="preserve">CHEVROLET / GM - Cruze 1.8 16V - Mecânico 2012&gt;; </t>
  </si>
  <si>
    <t>AL-1316</t>
  </si>
  <si>
    <t>RENAULT - Master</t>
  </si>
  <si>
    <t>MASTER</t>
  </si>
  <si>
    <t>AL-1317</t>
  </si>
  <si>
    <t>FIAT - Fiorino; Uno</t>
  </si>
  <si>
    <t>FIORINO/UNO</t>
  </si>
  <si>
    <t>AL-1318</t>
  </si>
  <si>
    <t>FIAT - Doblo; Siena; Idea; Mobi; Fiorino; Palio; Strada; Uno; Punto</t>
  </si>
  <si>
    <t>DOBLO/SIENA</t>
  </si>
  <si>
    <t>AL-1319</t>
  </si>
  <si>
    <t>AL-132</t>
  </si>
  <si>
    <t xml:space="preserve">MERCEDES BENZ - 1113  ; 1313  ; 1513  ; 2013  ; 2213  ; </t>
  </si>
  <si>
    <t>AL-1320</t>
  </si>
  <si>
    <t xml:space="preserve">PEUGEOT - 306 XS - 2.0 16V 1995&gt;; Berlingo 1.8 1999&gt;; Partner 1.8 1999&gt;; </t>
  </si>
  <si>
    <t>306/PARTNER</t>
  </si>
  <si>
    <t>AL-1321</t>
  </si>
  <si>
    <t xml:space="preserve">HONDA - Civic Automático &lt;2006; </t>
  </si>
  <si>
    <t>CIVIC AUTOM.</t>
  </si>
  <si>
    <t>AL-1322</t>
  </si>
  <si>
    <t xml:space="preserve">FORD - Courier 1.6  -  Zetec Rocam 2000  &gt;; Ecosport 1.0/1.6 - 8V -  Zetec Rocam 2004 &gt; 2012; Fiesta 1.0/16V  -  Zetec Rocam 2003 &gt; 2013; Focus 1.6   Zetec Rocam 2000  &gt;; </t>
  </si>
  <si>
    <t>51889289</t>
  </si>
  <si>
    <t>AL-1323</t>
  </si>
  <si>
    <t xml:space="preserve">HONDA - Civic Mecanico 2001  &gt;  2006; </t>
  </si>
  <si>
    <t>AL-1324</t>
  </si>
  <si>
    <t>FIAT - Argo – 1.8 – 2017 &gt; / Bravo - 1.8 16V E.torq – 2010 &gt; / Cronos – 1.8 – 2018 &gt; / Doblò 1.8 16V E.torq – 2010 &gt; / Grand Siena 1.6/1.8 16V E.torq – 2011 &gt; / Idea Adventure - 1.6/1.8 16V E.torq – 2011 &gt; / Linea 1.8 - câmbio manual/automatizado – 2011 &gt; 2016 / Palio 1.6/1.8 16V E.torq – 2011 &gt; / Palio Adventure 1.6/1.8 16V E.torq – 2011 &gt; / Palio Weekend 1.6/1.8 16V E.torq – 2011 &gt; / Strada Adventure 1.6/1.8 16V E.torq – 2011 &gt;</t>
  </si>
  <si>
    <t>AL-1332</t>
  </si>
  <si>
    <t>HONDA - Civic 1.8 Automático - LE 2008 &gt;; City/ Fit 1.4/ 1.5 8V Mecânico -LD 2009 &gt; 2014; City/ Fit 1.4/ 1.5 8V Automático - LE 2009 &gt; 2014</t>
  </si>
  <si>
    <t>AL-134</t>
  </si>
  <si>
    <t>HONDA - Civic G10 2017&gt;;</t>
  </si>
  <si>
    <t>44600TEKM00</t>
  </si>
  <si>
    <t>AL-136</t>
  </si>
  <si>
    <t>HYUNDAI - HB20 1.0 - 2012 &gt; 2019</t>
  </si>
  <si>
    <t>4143002700</t>
  </si>
  <si>
    <t>AL-137</t>
  </si>
  <si>
    <t xml:space="preserve">MERCEDES BENZ - MB 180 D ; </t>
  </si>
  <si>
    <t>AL-138</t>
  </si>
  <si>
    <t>CAMBIO/DIF./CARDAN</t>
  </si>
  <si>
    <t>01.999.00</t>
  </si>
  <si>
    <t>AL-139</t>
  </si>
  <si>
    <t xml:space="preserve">MERCEDES BENZ -  Motor OM-321/352 ; </t>
  </si>
  <si>
    <t>AL-14</t>
  </si>
  <si>
    <t xml:space="preserve">FORD - Mondeo todos 1994 &gt; 2001; </t>
  </si>
  <si>
    <t>93BB-1104-AF</t>
  </si>
  <si>
    <t>AL-140</t>
  </si>
  <si>
    <t>AL-1400</t>
  </si>
  <si>
    <t xml:space="preserve">FORD - Novo Focus 1.6 - Mec. 30.11.2009/...; </t>
  </si>
  <si>
    <t>AM55 3B436 DB</t>
  </si>
  <si>
    <t>AL-1401</t>
  </si>
  <si>
    <t>AM55 3B437 DB</t>
  </si>
  <si>
    <t>AL-1402</t>
  </si>
  <si>
    <t xml:space="preserve">FORD - Fusion 2.3 - c/ ABS 2006/01.02.2009; Fusion 2.5 - c/ ABS 2006/01.02.2009; </t>
  </si>
  <si>
    <t>8E5Z 3A428 B</t>
  </si>
  <si>
    <t>AL-1403</t>
  </si>
  <si>
    <t>8E5Z 3A427 B</t>
  </si>
  <si>
    <t>AL-1404</t>
  </si>
  <si>
    <t xml:space="preserve">FORD - Fusion 2.5 - 4 cilindros - c/ ABS 02.02.2009 &gt; 12.08.2012; </t>
  </si>
  <si>
    <t>AE5Z 3A427 E</t>
  </si>
  <si>
    <t>AL-1405</t>
  </si>
  <si>
    <t>AE5Z 3A428 B</t>
  </si>
  <si>
    <t>AL-1406</t>
  </si>
  <si>
    <t xml:space="preserve">HONDA - New Civic 1.8 Automático 2007&gt;2011; </t>
  </si>
  <si>
    <t>44305SNJM01</t>
  </si>
  <si>
    <t>AL-1407</t>
  </si>
  <si>
    <t xml:space="preserve">HONDA - New Civic 1.8 - Automático 2007/2011; </t>
  </si>
  <si>
    <t>44306SNEA01</t>
  </si>
  <si>
    <t>AL-1408</t>
  </si>
  <si>
    <t xml:space="preserve">VOLKSWAGEN - Golf 2.5 Automático 2004&gt;; Jetta 2.5 - Automático 2004&gt;; Passat Alemão 2.8 Automático 2004&gt;; </t>
  </si>
  <si>
    <t>1K0407271EE</t>
  </si>
  <si>
    <t>AL-1409</t>
  </si>
  <si>
    <t xml:space="preserve">VOLKSWAGEN - Golf 2.5 Automático 2004; Jetta 2.5 Automático 2004&gt;; Passat Alemão 2.8  Automático 2004&gt;; </t>
  </si>
  <si>
    <t>1K0407272JC</t>
  </si>
  <si>
    <t>AL-141</t>
  </si>
  <si>
    <t xml:space="preserve">MERCEDES BENZ - 1111 c/ Dir. Mec. ; 1113 c/ Dir. Mec. ; 1313 c/ Dir. Mec. ; 608D c/ Dir. Mec. ; </t>
  </si>
  <si>
    <t>AL-1410</t>
  </si>
  <si>
    <t xml:space="preserve">VOLKSWAGEN - Bora 2.5 Automático 2004/...; Golf 2.5 Automático 2004/...; Jetta 2.5 Automático 2004&gt;2010; Passat Alemão 2.8 -  Automático 2004/...; </t>
  </si>
  <si>
    <t>GOLF/JETTA-2.5</t>
  </si>
  <si>
    <t>AL-1411</t>
  </si>
  <si>
    <t xml:space="preserve">TOYOTA - RAV4 2.0 4x4 - Autom. c/ ABS 2000/2005; </t>
  </si>
  <si>
    <t>4233042031</t>
  </si>
  <si>
    <t>AL-1412</t>
  </si>
  <si>
    <t xml:space="preserve">TOYOTA - RAV4 2.0 4x4 - Autom. c/ ABS Traseiro 2000/2005; </t>
  </si>
  <si>
    <t>4234012062</t>
  </si>
  <si>
    <t>AL-1413</t>
  </si>
  <si>
    <t xml:space="preserve">HONDA - CR-V 4x4 2009/...; CR-V 4x4 2009/...; </t>
  </si>
  <si>
    <t>42310SXSA01</t>
  </si>
  <si>
    <t>AL-1414</t>
  </si>
  <si>
    <t xml:space="preserve">HONDA - CR-V 4x4 Traseiro 2009/...; CR-V 4x4 Traseiro 2009/...; </t>
  </si>
  <si>
    <t>42311SXSA01</t>
  </si>
  <si>
    <t>AL-1415</t>
  </si>
  <si>
    <t xml:space="preserve">MITSUBISHI - L200 Triton 3.2 - 4x4 - c/ ABS 2008/...; L200 Triton 3.5 - 4x4 - c/ ABS 2008/...; Pajero Dakar 2010/...; </t>
  </si>
  <si>
    <t>3815A308 /310</t>
  </si>
  <si>
    <t>AL-1416</t>
  </si>
  <si>
    <t>3815A307 /309</t>
  </si>
  <si>
    <t>AL-1417</t>
  </si>
  <si>
    <t xml:space="preserve">HYUNDAI - Santa Fé 2.7 V6 - c/ ABS 2000/2004; </t>
  </si>
  <si>
    <t>4950126510/511</t>
  </si>
  <si>
    <t>AL-1418</t>
  </si>
  <si>
    <t>4950126561/560</t>
  </si>
  <si>
    <t>AL-1419</t>
  </si>
  <si>
    <t xml:space="preserve">RENAULT - Master 2.5 - s/ABS 2005 &gt; 2013; Master 2.8 s/ ABS 2005 &gt; 2013; </t>
  </si>
  <si>
    <t>MASTER - 2.5</t>
  </si>
  <si>
    <t>AL-142</t>
  </si>
  <si>
    <t xml:space="preserve">MERCEDES BENZ - 1111  ; 1113  ; </t>
  </si>
  <si>
    <t>AL-1420</t>
  </si>
  <si>
    <t xml:space="preserve">RENAULT - Master 2.5  e 2.8 Aro 16  c/ Abs 2005 &gt; 2013; </t>
  </si>
  <si>
    <t>AL-1421</t>
  </si>
  <si>
    <t xml:space="preserve">FORD - Novo Focus 1.6 16V - Mec. 11.2009/...; </t>
  </si>
  <si>
    <t>AM55 4K258 DA</t>
  </si>
  <si>
    <t>AL-1422</t>
  </si>
  <si>
    <t xml:space="preserve">FORD - Fusion 2.3 2006&gt;; Fusion 2.5 - 4 cilindros - c/ ABS 2006&gt;; Fusion 2.5 2006&gt;; </t>
  </si>
  <si>
    <t>FUSION-2.3/2.5</t>
  </si>
  <si>
    <t>AL-1423</t>
  </si>
  <si>
    <t xml:space="preserve">CHEVROLET / GM - Agile 1.4 8V - Mecânico - s/ ABS 2009/...; Celta 1.0 8V - Mecânico - s/ ABS 2013/...; Corsa 1.0 8V Classic - Mecânico - s/ ABS 2009/...; Corsa 1.4 8V - Mecânico - s/ ABS 2010/...; </t>
  </si>
  <si>
    <t>1345-909</t>
  </si>
  <si>
    <t>AL-1424</t>
  </si>
  <si>
    <t xml:space="preserve">FIAT - Punto 1.4 8V 2008/...; </t>
  </si>
  <si>
    <t>2211-1409</t>
  </si>
  <si>
    <t>AL-1425</t>
  </si>
  <si>
    <t xml:space="preserve">FIAT - Mobi - 1.0 2015&gt;; Novo Palio 1.0 8V - Fire 2012/...; Novo Uno 1.0 8V - Fire 2011/...; </t>
  </si>
  <si>
    <t>2231-2029</t>
  </si>
  <si>
    <t>AL-1426</t>
  </si>
  <si>
    <t xml:space="preserve">FIAT - Grand Siena 1.4 8V 2012/...; Nova Fiorino 1.4 8V 2014/...; Novo Palio 1.4 8V 2012/...; Novo Uno 1.4 8V 2011/...; Uno Furgoneta 1.4 8V 2014/...; </t>
  </si>
  <si>
    <t>2221-1409</t>
  </si>
  <si>
    <t>AL-1427</t>
  </si>
  <si>
    <t xml:space="preserve">FIAT - Bravo 1.8 16V - E.torq 2011/...; </t>
  </si>
  <si>
    <t>46308794</t>
  </si>
  <si>
    <t>AL-1428</t>
  </si>
  <si>
    <t xml:space="preserve">FORD - Ecosport 2.0 16V - automático 4x2  (Lado Direito) - 2003 &gt; 18.06.2012 2003&gt; 18.06.2012; </t>
  </si>
  <si>
    <t>7N15 3B436 AB</t>
  </si>
  <si>
    <t>AL-1429</t>
  </si>
  <si>
    <t xml:space="preserve">FORD - Ecosport 2.0 16V - automático  4 x 2 (Lado Esquerdo)-2003 &gt; 18.06.2012 2003 &gt; 18.06.2012; </t>
  </si>
  <si>
    <t>7N15 3B437 AA</t>
  </si>
  <si>
    <t>AL-1430</t>
  </si>
  <si>
    <t xml:space="preserve">FORD - Fusion 3.0 V6 - 4x2/ 4x4 - c/ABS 02.02.2009 &gt; 12.08.2012; </t>
  </si>
  <si>
    <t>AE5Z 3A427 F</t>
  </si>
  <si>
    <t>AL-1431</t>
  </si>
  <si>
    <t>AE5Z 3A428 C</t>
  </si>
  <si>
    <t>AL-1432</t>
  </si>
  <si>
    <t xml:space="preserve">TOYOTA - Corolla 1.8 Automático - c/ ABS - Lado Direito 2002/2008; Fielder 1.8 Automático - c/ ABS - Lado Direito 2002/2008; </t>
  </si>
  <si>
    <t>4341002410</t>
  </si>
  <si>
    <t>AL-1433</t>
  </si>
  <si>
    <t xml:space="preserve">TOYOTA - Corolla 1.8 Automático - c/ ABS - Lado Esquerdo 2002/2008; Fielder 1.8 Automático - c/ ABS - Lado Esquerdo 2002/2008; </t>
  </si>
  <si>
    <t>4342002440</t>
  </si>
  <si>
    <t>AL-1434</t>
  </si>
  <si>
    <t xml:space="preserve">TOYOTA - Corolla 1.8 Automático - c/ ABS 2002/2008; Fielder 1.8 Automático - c/ ABS 2002/2008; </t>
  </si>
  <si>
    <t>COROLLA-1.8</t>
  </si>
  <si>
    <t>AL-1435</t>
  </si>
  <si>
    <t xml:space="preserve">VOLKSWAGEN - Fox 1.6 8V - s/ ABS 08.2008/...; Gol G V - 1.6 8V - s/ ABS 08.2008/...; Saveiro G V - 1.6 8V - s/ ABS 08.2008/...; Voyage 1.6 8V - s/ ABS 08/2008 &gt; 2013; </t>
  </si>
  <si>
    <t>2605.1829</t>
  </si>
  <si>
    <t>AL-1436</t>
  </si>
  <si>
    <t xml:space="preserve">CHEVROLET / GM - Corsa Hatch 1.8 Flex - s/ ABS 2007/2011; Corsa Sedan 1.8 Flex - s/ ABS 2007/2011; Meriva 1.8 - s/ ABS 2003/2012; Montana 1.8 - s/ ABS 2004/2011; </t>
  </si>
  <si>
    <t>93329221</t>
  </si>
  <si>
    <t>AL-1437</t>
  </si>
  <si>
    <t xml:space="preserve">FIAT - Palio Fire - ELX/ Attractive - 1.0 8V - Fase 3 2008 &gt; 2009; Palio Fire - ELX/ Attractive - 1.4 8V - Fase 3 e 4 2008 &gt;; Palio Fire Economy - 1.4 8V - Fase 2 2009 &gt;; Palio Weekend - Trekking/ Attractive/ ELX - 1.4 8V - Fase 3 2009 &gt;; Siena Fire - ELX/ Attractive/ EL - 1.0/ 1.4 - 8V - Fase 2 2007 &gt; 2013; Siena Fire - ELX/ Attractive/ EL - 1.0/ 1.4 - 8V - Fase 3 e 4 2008 &gt; 2012; Strada Trekk./ Work. - 1.4 8V - Fase 4 2009 &gt;; Strada Work. - 1.3 16V - Fase 3 2011 &gt; 2012; </t>
  </si>
  <si>
    <t>7087179</t>
  </si>
  <si>
    <t>AL-1438</t>
  </si>
  <si>
    <t xml:space="preserve">RENAULT - Logan 1.0 16V 2007 &gt; 2009; Sandero 1.0 16V 2007 &gt; 2012; </t>
  </si>
  <si>
    <t>8201045819</t>
  </si>
  <si>
    <t>AL-1439</t>
  </si>
  <si>
    <t>391016391R</t>
  </si>
  <si>
    <t>AL-144</t>
  </si>
  <si>
    <t xml:space="preserve">MERCEDES BENZ -  Todos ; </t>
  </si>
  <si>
    <t>AL-1440</t>
  </si>
  <si>
    <t xml:space="preserve">TOYOTA - Corolla 1.8 16V - Automático - c/ABS 2009 &gt; 2014; </t>
  </si>
  <si>
    <t>4341002710</t>
  </si>
  <si>
    <t>AL-1441</t>
  </si>
  <si>
    <t>4352002701</t>
  </si>
  <si>
    <t>AL-1442</t>
  </si>
  <si>
    <t xml:space="preserve">TOYOTA - Corolla 2.0 16V - Automático - c/ABS 03/2011 &gt;; </t>
  </si>
  <si>
    <t>4341002770</t>
  </si>
  <si>
    <t>AL-1443</t>
  </si>
  <si>
    <t>4342002830</t>
  </si>
  <si>
    <t>AL-1444</t>
  </si>
  <si>
    <t xml:space="preserve">FORD - Ranger 4x4 / 4x2  -  2.2 / 3.2 2013&gt;; </t>
  </si>
  <si>
    <t>AB393A427CA</t>
  </si>
  <si>
    <t>AL-1445</t>
  </si>
  <si>
    <t xml:space="preserve">FORD - Ranger  2013 &gt;; </t>
  </si>
  <si>
    <t>AB393A428CA</t>
  </si>
  <si>
    <t>AL-1446</t>
  </si>
  <si>
    <t xml:space="preserve">VOLKSWAGEN - Amarok  2010&gt;; </t>
  </si>
  <si>
    <t>2H0407271E</t>
  </si>
  <si>
    <t>AL-1447</t>
  </si>
  <si>
    <t xml:space="preserve">MITSUBISHI - Pajero io 1.8 / 16V 1999 &gt; 2001; Pajero TR4 - 2.0 16V - Mecânico - c/ABS 2002 &gt; 2011; </t>
  </si>
  <si>
    <t>MR-515196</t>
  </si>
  <si>
    <t>AL-1448</t>
  </si>
  <si>
    <t xml:space="preserve">MITSUBISHI - Pajero io - 1.8 / 16V 1999 &gt; 2001; Pajero TR4 - 2.0 16V - Mecânico - c/ ABS 2002&gt;; </t>
  </si>
  <si>
    <t>MR-515195</t>
  </si>
  <si>
    <t>AL-1449</t>
  </si>
  <si>
    <t xml:space="preserve">NISSAN - Frontier 2.5 - TDI-SEL - 4x4 08/2008 &gt;; </t>
  </si>
  <si>
    <t>39100 EB70C</t>
  </si>
  <si>
    <t>AL-145</t>
  </si>
  <si>
    <t xml:space="preserve">MERCEDES BENZ -  Todos .../1984; </t>
  </si>
  <si>
    <t>AL-1450</t>
  </si>
  <si>
    <t xml:space="preserve">CHEVROLET / GM - S10  2013&gt;; </t>
  </si>
  <si>
    <t>94713061</t>
  </si>
  <si>
    <t>AL-1451</t>
  </si>
  <si>
    <t xml:space="preserve">HONDA - CR-V 4x4 2009 &gt; 2011; </t>
  </si>
  <si>
    <t>44305 SYG A10</t>
  </si>
  <si>
    <t>AL-1452</t>
  </si>
  <si>
    <t>44306 SXS A10</t>
  </si>
  <si>
    <t>AL-1453</t>
  </si>
  <si>
    <t xml:space="preserve">HONDA - CRV 4x4 2009&gt;; </t>
  </si>
  <si>
    <t>PH - Suv</t>
  </si>
  <si>
    <t>CRV - 4x4</t>
  </si>
  <si>
    <t>AL-1454</t>
  </si>
  <si>
    <t xml:space="preserve">CITROEN - BX  ; ZX  ; PEUGEOT - 305  2008 &gt;; 405  2008 &gt;; Partner  2008 &gt;; </t>
  </si>
  <si>
    <t>PARTNER - 08/...</t>
  </si>
  <si>
    <t>AL-1455</t>
  </si>
  <si>
    <t xml:space="preserve">TOYOTA - RAV4 2.0 - 4X4 - Automático/ Mecânico - c/ ABS 05/2000&gt;11/2005; </t>
  </si>
  <si>
    <t>43410 42060</t>
  </si>
  <si>
    <t>AL-1456</t>
  </si>
  <si>
    <t>43420 42120</t>
  </si>
  <si>
    <t>AL-1457</t>
  </si>
  <si>
    <t xml:space="preserve">CHEVROLET / GM - Cobalt 1.8/8V  - -  Mecanico - 2012&gt;; Onix 1.0 8V - Mecânico 2012&gt;; Prisma 1.0 8V - Mecânico 2012&gt;; Spin 1.8 8V - Mecânico 2012&gt;; </t>
  </si>
  <si>
    <t>52036481</t>
  </si>
  <si>
    <t>AL-1458</t>
  </si>
  <si>
    <t xml:space="preserve">CHEVROLET / GM - Cobalt 1.4 8V - Mecânico 2012&gt;; </t>
  </si>
  <si>
    <t>94760582</t>
  </si>
  <si>
    <t>AL-1459</t>
  </si>
  <si>
    <t xml:space="preserve">CHEVROLET / GM - Onix 1.4 - 8V - Automático 2012&gt;; Prisma 1.4 - Automático 2012&gt;; Sonic 1.6 - 16V - Automático 2012&gt;; Spin 1.8/8V - mecanico 2012 &gt;; </t>
  </si>
  <si>
    <t>95288684</t>
  </si>
  <si>
    <t>AL-146</t>
  </si>
  <si>
    <t xml:space="preserve">MERCEDES BENZ - 1113 Freio à AR 1982/...; 1313  1982/...; 1513  1982/...; 2013  1982/...; 2213  1982/...; </t>
  </si>
  <si>
    <t>AL-1460</t>
  </si>
  <si>
    <t xml:space="preserve">CHEVROLET / GM - Cobalt 1.4 8V -  Mecânico 2012&gt;; Onix 1.4 8V - Mecânico 2012&gt;; Prisma 1.4 8V - Mecânico 2012&gt;; </t>
  </si>
  <si>
    <t>52036357</t>
  </si>
  <si>
    <t>AL-1461</t>
  </si>
  <si>
    <t xml:space="preserve">CHEVROLET / GM - Cobalt 1.4 8V - Mecânico 2012&gt;; Onix 1.4 8V - Mecânico 2012&gt;; Prisma 1.4 8V - Mecânico 2012&gt;; </t>
  </si>
  <si>
    <t>52036358</t>
  </si>
  <si>
    <t>AL-1462</t>
  </si>
  <si>
    <t xml:space="preserve">CHEVROLET / GM - Onix 1.4 - 8V Automático 2012&gt;; Prisma 1.4 - 8V -  Automático 2012&gt;; Sonic 1.6 16V - Automático 2012&gt;; </t>
  </si>
  <si>
    <t>94750310</t>
  </si>
  <si>
    <t>AL-1463</t>
  </si>
  <si>
    <t xml:space="preserve">CHEVROLET / GM - Onix 1.4 - 8V - Automático 2012&gt;; Prisma 1.4- 8V - Automático 2012&gt;; Sonic 1.6 16V - Automático 2012&gt;; </t>
  </si>
  <si>
    <t>94750309</t>
  </si>
  <si>
    <t>AL-1464</t>
  </si>
  <si>
    <t xml:space="preserve">RENAULT - Logan Mecânico 1.6 16V 2008 &gt;; Sandero Mecânico 1.6 - 8V/16V 2008 &gt;; </t>
  </si>
  <si>
    <t>391006435 R</t>
  </si>
  <si>
    <t>AL-1465</t>
  </si>
  <si>
    <t>391018492 R</t>
  </si>
  <si>
    <t>AL-1466</t>
  </si>
  <si>
    <t xml:space="preserve">VOLKSWAGEN - Fox 1.0 8V 2009&gt;; Gol 1.0 8V - G5 2008&gt;; Voyage 1.0 8V 2009&gt;; </t>
  </si>
  <si>
    <t>5UO 407272</t>
  </si>
  <si>
    <t>AL-1467</t>
  </si>
  <si>
    <t>5UO 407271</t>
  </si>
  <si>
    <t>AL-1468</t>
  </si>
  <si>
    <t xml:space="preserve">HONDA - Civic 1.7 - Mecanico 2001 &gt; 2006; </t>
  </si>
  <si>
    <t>44306 S53M11</t>
  </si>
  <si>
    <t>AL-1469</t>
  </si>
  <si>
    <t>44305 S5DA11</t>
  </si>
  <si>
    <t>AL-147</t>
  </si>
  <si>
    <t xml:space="preserve">MERCEDES BENZ - 1111 Direção Mecânica .../1983; 1113 Direção Mecânica .../1983; </t>
  </si>
  <si>
    <t>AL-1472</t>
  </si>
  <si>
    <t xml:space="preserve">CHEVROLET / GM - Cobalt 1.4 8V - Mecânico 2012&gt;; Onix 1.4 8V Mecânico 2012&gt;; Prisma 1.4 8V Mecânico 2012&gt;; </t>
  </si>
  <si>
    <t>94760583</t>
  </si>
  <si>
    <t>AL-1473</t>
  </si>
  <si>
    <t xml:space="preserve">CHEVROLET / GM - Cobalt 1.8 8V - Automático 2012&gt;; Onix 1.4 8V - Automático 2012&gt;; Prisma 1.4 8V - Autmático 2012&gt;; Spin 1.8 8V - Automático 2012&gt;; </t>
  </si>
  <si>
    <t>52036362</t>
  </si>
  <si>
    <t>AL-1474</t>
  </si>
  <si>
    <t xml:space="preserve">CHEVROLET / GM - Cobalt 1.8 8V - Automático 2012&gt;; Onix 1.4 8V - Automático 2012&gt;; Prisma 1.4 8V - Automático 2012&gt;; Spin 1.8 8V - Automático 2012&gt;; </t>
  </si>
  <si>
    <t>52036361</t>
  </si>
  <si>
    <t>AL-1475</t>
  </si>
  <si>
    <t xml:space="preserve">RENAULT - Duster 1.6 16V - Mecânico 2011&gt;; </t>
  </si>
  <si>
    <t>3910081 65R</t>
  </si>
  <si>
    <t>AL-1476</t>
  </si>
  <si>
    <t>3910150 61R</t>
  </si>
  <si>
    <t>AL-1477</t>
  </si>
  <si>
    <t>94760580</t>
  </si>
  <si>
    <t>AL-1478</t>
  </si>
  <si>
    <t xml:space="preserve">KIA - Soul 1.6 16V - Mecânico - c/ ABS 2009&gt;; </t>
  </si>
  <si>
    <t>KIA SOUL ESQ.</t>
  </si>
  <si>
    <t>AL-1479</t>
  </si>
  <si>
    <t>KIA SOUL DIR.</t>
  </si>
  <si>
    <t>AL-148</t>
  </si>
  <si>
    <t xml:space="preserve">MERCEDES BENZ - 1113 Dir.Hidr. / Freio Hidráulico ; 1313 Dir.Hidr. / Freio Hidráulico ; 1513 Dir.Hidr. / Freio Hidráulico ; 2213 Dir.Hidr. / Freio Hidráulico ; </t>
  </si>
  <si>
    <t>AL-1480</t>
  </si>
  <si>
    <t xml:space="preserve">CHEVROLET / GM - Cobalt 1.8 8V - Mecânico 2012&gt;; Spin 1.8 8V - Mecânico 2012&gt;; </t>
  </si>
  <si>
    <t>52036359</t>
  </si>
  <si>
    <t>AL-1481</t>
  </si>
  <si>
    <t xml:space="preserve">CHEVROLET / GM - Cobalt 1.8/ 8V - Mecânico 2012&gt;; Spin 1.8/8V - Mecânico 2012&gt;; </t>
  </si>
  <si>
    <t>52049225</t>
  </si>
  <si>
    <t>AL-1482</t>
  </si>
  <si>
    <t xml:space="preserve">HYUNDAI - i30 2.0 16V - Mecânico - c/ ABS 2009&gt;2012; Tucson 2.0 16V - Mecânico - c/ ABS 2005&gt;2009; KIA - Sportage 2.0 16V - Mecânico - C/ ABS 2005&gt;2009; </t>
  </si>
  <si>
    <t>49500 2L110</t>
  </si>
  <si>
    <t>AL-1483</t>
  </si>
  <si>
    <t xml:space="preserve">HYUNDAI - i30 2.0 16V - Mecânico - c/ ABS 2009&gt;2012; Tucson 2.0 16V - Mecânico - c/ ABS 2005&gt;2009; </t>
  </si>
  <si>
    <t>49501 2L110</t>
  </si>
  <si>
    <t>AL-1484</t>
  </si>
  <si>
    <t xml:space="preserve">HYUNDAI - i30 2.0 16V - Mecânico - c/ ABS 2009&gt;; Tucson 2.0 16V - Mecânico - c/ ABS 2005&gt;2009; KIA - Sportage 2.0 16V Mecânico c/ ABS 2005&gt;2009; </t>
  </si>
  <si>
    <t>AL-1485</t>
  </si>
  <si>
    <t xml:space="preserve">RENAULT - Duster 1.6/2.0 - 16V - Mecânico/  Automático 2011&gt;; </t>
  </si>
  <si>
    <t>AL-1486</t>
  </si>
  <si>
    <t xml:space="preserve">TOYOTA - RAV4 2.0 - 4x4 - Mecânico/ Automático c/ ABS 05/2000&gt;11/2005; </t>
  </si>
  <si>
    <t>AL-1487</t>
  </si>
  <si>
    <t xml:space="preserve">CHEVROLET / GM - Cruze 1.8 16V - Automático 2012&gt;; </t>
  </si>
  <si>
    <t>13386323</t>
  </si>
  <si>
    <t>AL-1488</t>
  </si>
  <si>
    <t xml:space="preserve">CHEVROLET / GM - Cruze 1.8 - 16V - Automático 2012&gt;; </t>
  </si>
  <si>
    <t>13367624</t>
  </si>
  <si>
    <t>AL-1489</t>
  </si>
  <si>
    <t xml:space="preserve">CHEVROLET / GM - Cruze 1.8 16V - Mecânico - c/ ABS 2012&gt;; </t>
  </si>
  <si>
    <t>13366782</t>
  </si>
  <si>
    <t>AL-149</t>
  </si>
  <si>
    <t xml:space="preserve">MERCEDES BENZ - 1313  ; 1513  ; 2013  ; 2213  ; Ônibus OF - 1315 ; Ônibus OF - 1318 ; </t>
  </si>
  <si>
    <t>AL-1490</t>
  </si>
  <si>
    <t xml:space="preserve">CHEVROLET / GM - Cruze 1.8 16V - Mecânico - c/ABS 2012&gt;; </t>
  </si>
  <si>
    <t>13366783</t>
  </si>
  <si>
    <t>AL-1491</t>
  </si>
  <si>
    <t>AL-1492</t>
  </si>
  <si>
    <t xml:space="preserve">RENAULT - Duster 4x2  2.0 16V - Automático 2011&gt;; </t>
  </si>
  <si>
    <t>AL-1493</t>
  </si>
  <si>
    <t xml:space="preserve">RENAULT - Duster 4 x 2 2.0 16V - Automático 2011&gt;; </t>
  </si>
  <si>
    <t>AL-1495</t>
  </si>
  <si>
    <t xml:space="preserve">HYUNDAI - HB20 1.6 16V - Automático - c/ ABS 2012&gt;; </t>
  </si>
  <si>
    <t>HB20 1.6 - LE</t>
  </si>
  <si>
    <t>AL-1496</t>
  </si>
  <si>
    <t>HB20 1.6 - LD</t>
  </si>
  <si>
    <t>AL-1497</t>
  </si>
  <si>
    <t xml:space="preserve">HYUNDAI - HB20 1,6 16V - Automático c/ ABS 2012&gt;; </t>
  </si>
  <si>
    <t xml:space="preserve">HB20 1.6 </t>
  </si>
  <si>
    <t>AL-1498</t>
  </si>
  <si>
    <t xml:space="preserve">HYUNDAI - Tucson 2.0 16V - Mecânico c/ ABS 2010&gt;; KIA - Sportage 2.0 16V - Mecânico c/ ABS 2010&gt;; </t>
  </si>
  <si>
    <t>AL-1499</t>
  </si>
  <si>
    <t xml:space="preserve">HYUNDAI - Tucson 2.0 16V - Mecânico c/ ABS 2010&gt;; KIA - Sportage 2.0 16V - Mecânico - c/ ABS 2010&gt;; </t>
  </si>
  <si>
    <t>AL-15</t>
  </si>
  <si>
    <t xml:space="preserve">FORD - Ecosport 4x2 - s/ ABS 2003&gt;2012; Escort Hatch - s/ ABS 1997/2002; Escort Sedan - s/ ABS 1997/2002; Escort SW s/ ABS 1997/2002; Fiesta 1.0 - s/ ABS 1996&gt;2013; Focus c/ Freio à Tambor Traseiro - s/ ABS 03.2005/11.2009; Ka s/ ABS &lt; 2014; </t>
  </si>
  <si>
    <t>96FB4A492BB</t>
  </si>
  <si>
    <t>AL-150</t>
  </si>
  <si>
    <t xml:space="preserve">MERCEDES BENZ - 1113  ; 1313  ; 1316  ; 1318 LPO ; </t>
  </si>
  <si>
    <t>AL-1502</t>
  </si>
  <si>
    <t xml:space="preserve">HYUNDAI - i30 2.0/16v - Automatico - c/ abs 2009 &gt;; Tucson 2.0 16V - Mecânico / AutomátIco - c/ ABS 2010&gt;; KIA - Sportage 2.0 16V - Mecânico/ Automático - c/ ABS 2010&gt;; </t>
  </si>
  <si>
    <t>AL-1503</t>
  </si>
  <si>
    <t xml:space="preserve">HYUNDAI - HB20 1.0 12V - 3cc - C/ABS 2012&gt;; </t>
  </si>
  <si>
    <t>AL-1504</t>
  </si>
  <si>
    <t xml:space="preserve">HYUNDAI - HB20 1.0 12V - 3cc - c/ ABS 2012&gt;; </t>
  </si>
  <si>
    <t>AL-1505</t>
  </si>
  <si>
    <t xml:space="preserve">HYUNDAI - HB20 1.0 12V 3cc c/ ABS 2012&gt;; </t>
  </si>
  <si>
    <t>AL-1506</t>
  </si>
  <si>
    <t xml:space="preserve">HYUNDAI - Tucson 2.7 V6 - Automático - c/ ABS 2002&gt;2009; </t>
  </si>
  <si>
    <t>TUCSON 2.7</t>
  </si>
  <si>
    <t>AL-1507</t>
  </si>
  <si>
    <t xml:space="preserve">HYUNDAI - Tucson 2.7 V6 Automático  - c/ ABS 2002&gt;2009; </t>
  </si>
  <si>
    <t>AL-1508</t>
  </si>
  <si>
    <t xml:space="preserve">HYUNDAI - Azera 3.0 V6 C/ ABS - Automático 2010&gt;; Sonata 3.0 V6 - C/ ABS - Automático 2010&gt;; </t>
  </si>
  <si>
    <t>AZERA 3.0</t>
  </si>
  <si>
    <t>AL-1509</t>
  </si>
  <si>
    <t xml:space="preserve">HYUNDAI - Azera 3.0 V6 - c/ ABS - Automático 2010&gt;; Sonata 3.0 V6 - C/ ABS - Automático 2010&gt;; </t>
  </si>
  <si>
    <t>AL-151</t>
  </si>
  <si>
    <t xml:space="preserve">MERCEDES BENZ - 608D Todos ; </t>
  </si>
  <si>
    <t>AL-1510</t>
  </si>
  <si>
    <t xml:space="preserve">HYUNDAI - Tucson 2.7 V6 - Automático - c/ ABS 2002&gt;2009; Sportage 2,7 V6 - Automático c/ ABS 2005&gt;2009; </t>
  </si>
  <si>
    <t>AL-1511</t>
  </si>
  <si>
    <t xml:space="preserve">CITROEN - Air Cross 1.6 /  8V - Automático - s/ ABS 2010&gt;; C3 1.4 8V Automático - s/ ABS 2010&gt;; </t>
  </si>
  <si>
    <t>AL-1512</t>
  </si>
  <si>
    <t xml:space="preserve">CITROEN - Air Cross 1.6 /  8V - Automático - s/ ABS 2010&gt;; C3 1.4 / 8V - Automático - s/ ABS 2010&gt;; </t>
  </si>
  <si>
    <t>C3</t>
  </si>
  <si>
    <t>AL-1513</t>
  </si>
  <si>
    <t xml:space="preserve">CITROEN - Air Cross 1.6 / 8V - Automático s/ ABS 2010&gt;; C3 1.4 8V - Automático - s/ ABS 2010&gt;; </t>
  </si>
  <si>
    <t>AL-1514</t>
  </si>
  <si>
    <t xml:space="preserve">HYUNDAI - Azera 3.0 V6 c/ ABS 2010&gt;; Sonata 3.0 V6 c/ ABS 2010&gt;; </t>
  </si>
  <si>
    <t>AL-1515</t>
  </si>
  <si>
    <t xml:space="preserve">HONDA - City 1.5 - 16V - Mecânico c/ ABS 2009&gt; 12.2014; New Fit 1.4 8V / 1.5 16V Mecânico c/ ABS 2009&gt; 06.2014; </t>
  </si>
  <si>
    <t>1622 1549</t>
  </si>
  <si>
    <t>AL-1516</t>
  </si>
  <si>
    <t xml:space="preserve">CHEVROLET / GM - Agile 1.4 8V - Mec. c/ ABS 2009&gt;; Celta 1.0 8V - Mec c/ ABS 2013&gt;; Corsa 1.4 8V - Mec. c/ ABS 2013 &gt;; Corsa Classic 1.0/ 8V  - Mec c/ ABS 2013&gt;; Corsa Sedan 1.4 8V - Mec. c/ ABS 2010 &gt;; </t>
  </si>
  <si>
    <t>1345 909A</t>
  </si>
  <si>
    <t>AL-1517</t>
  </si>
  <si>
    <t>CRUZE MEC.</t>
  </si>
  <si>
    <t>AL-1518</t>
  </si>
  <si>
    <t>HONDA - Civic Automático/ Mecânico c/ ABS e s/ ABS 2001 &gt; 2006;</t>
  </si>
  <si>
    <t>44014S5DA00</t>
  </si>
  <si>
    <t>AL-1519</t>
  </si>
  <si>
    <t xml:space="preserve">HONDA - Civic Automatico -  c/abs  e  s/abs 2001  &gt;  2006; </t>
  </si>
  <si>
    <t>AL-1520</t>
  </si>
  <si>
    <t xml:space="preserve">HONDA - Civic Automatico  -  c/abs  -  s/abs 2001  &gt;  2006; </t>
  </si>
  <si>
    <t>AL-1521</t>
  </si>
  <si>
    <t>FIAT - Ducato 2.3 Multijet Aro 15 2010 &gt;</t>
  </si>
  <si>
    <t>AL-1524</t>
  </si>
  <si>
    <t xml:space="preserve">FORD - Courier 1.6 - 8V  -  Zetec rocam 2000  &gt;  2013; Ecosport 1.6 - 8V  -  Zetec rocam 2004  &gt;  2012; Fiesta 1.6 - 8V - Zete rocam 2003  &gt;  2013; Focus 1.6  -  8V - Zetec rocam 2000  &gt;; </t>
  </si>
  <si>
    <t>FIESTA</t>
  </si>
  <si>
    <t>AL-1525</t>
  </si>
  <si>
    <t xml:space="preserve">FORD - Courier 1.6 - 8V - Zetec rocam 2000  &gt;  2013; Ecosport 1.6 - 8V - Zetec rocam 2004  &gt;  2012; Fiesta 1.6 - 8V - Zetec rocam 2003  &gt;  2013; Focus 1.6  -  8V  - Zetec rocam 2000  &gt;; </t>
  </si>
  <si>
    <t>AL-1529</t>
  </si>
  <si>
    <t>RENAULT - Master - 2.3 - 14/...</t>
  </si>
  <si>
    <t>391005187R</t>
  </si>
  <si>
    <t>AL-1530</t>
  </si>
  <si>
    <t>391012675 R</t>
  </si>
  <si>
    <t>AL-1531</t>
  </si>
  <si>
    <t>AL-1532</t>
  </si>
  <si>
    <t>HONDA - Fit 2014 &gt;;</t>
  </si>
  <si>
    <t>AL-1533</t>
  </si>
  <si>
    <t>MITSUBISHI - ASX 2.0 CVT 2010 &gt;;</t>
  </si>
  <si>
    <t>CD260020</t>
  </si>
  <si>
    <t>AL-1534</t>
  </si>
  <si>
    <t>CD260022</t>
  </si>
  <si>
    <t>AL-1535</t>
  </si>
  <si>
    <t>AL-1536</t>
  </si>
  <si>
    <t>HONDA - HRV</t>
  </si>
  <si>
    <t>44305T7WA030M1</t>
  </si>
  <si>
    <t>AL-1537</t>
  </si>
  <si>
    <t>44306T8NT030M1</t>
  </si>
  <si>
    <t>AL-1538</t>
  </si>
  <si>
    <t>AL-1539</t>
  </si>
  <si>
    <t>HONDA - Civic 2012 &gt; 2016;</t>
  </si>
  <si>
    <t>44305TT4M010M1</t>
  </si>
  <si>
    <t>AL-1540</t>
  </si>
  <si>
    <t>44306TT4M010M1</t>
  </si>
  <si>
    <t>AL-1541</t>
  </si>
  <si>
    <t>AL-1544</t>
  </si>
  <si>
    <t>TOYOTA - Corolla 2015;</t>
  </si>
  <si>
    <t>AL-1545</t>
  </si>
  <si>
    <t>FORD - Ecosport 1.6 16V - 2012 &gt; manual</t>
  </si>
  <si>
    <t>CN153B436LB</t>
  </si>
  <si>
    <t>AL-1546</t>
  </si>
  <si>
    <t>CN153B437HB</t>
  </si>
  <si>
    <t>AL-1547</t>
  </si>
  <si>
    <t>FORD - Ecosport 2.0 4x4 / Ecosport 1.6 - 2012 &gt; manual</t>
  </si>
  <si>
    <t>CN153B436BD</t>
  </si>
  <si>
    <t>AL-1548</t>
  </si>
  <si>
    <t>CN153B437BD</t>
  </si>
  <si>
    <t>AL-1549</t>
  </si>
  <si>
    <t xml:space="preserve">FIAT - Toro 2.0 4x4 - 2016 &gt;; </t>
  </si>
  <si>
    <t>AL-1550</t>
  </si>
  <si>
    <t>AL-1551</t>
  </si>
  <si>
    <t>FIAT - Toro 1.8 4x2 - 2016 &gt;; JEEP - Renegade 1.8 4x2 - 2016 &gt;;</t>
  </si>
  <si>
    <t>AL-1552</t>
  </si>
  <si>
    <t>AL-156</t>
  </si>
  <si>
    <t xml:space="preserve">MERCEDES BENZ - 1313  ; 1513  ; 2013  ; 2213  ; </t>
  </si>
  <si>
    <t>3522540040</t>
  </si>
  <si>
    <t>AL-1560</t>
  </si>
  <si>
    <t>FORD - Ecosport 2.0 manual - 2012 &gt;</t>
  </si>
  <si>
    <t>CN153B437BD, CN153B436BD</t>
  </si>
  <si>
    <t>AL-1561</t>
  </si>
  <si>
    <t>JEEP - Renegade 1.8 automatico - 2015 &gt;; FIAT - Toro 1.8/2.0 (AT/MT-4WD/FWD) 2016 &gt;;</t>
  </si>
  <si>
    <t>52043357</t>
  </si>
  <si>
    <t>AL-1562</t>
  </si>
  <si>
    <t>VW - Up - 1.0 automático 2014 &gt;;</t>
  </si>
  <si>
    <t>1SB407762C</t>
  </si>
  <si>
    <t>AL-1563</t>
  </si>
  <si>
    <t>RENAULT - Kwid - 1.0 3cc 12V 2017 &gt; manual</t>
  </si>
  <si>
    <t>391008228R / 391018618R</t>
  </si>
  <si>
    <t>AL-1564</t>
  </si>
  <si>
    <t>FORD - KA 1.0/1.5 (5MT-FWD) - 2014 &gt;</t>
  </si>
  <si>
    <t>E3B53B436BB, E3B53B437CA, E3B54K258AA</t>
  </si>
  <si>
    <t>AL-1565</t>
  </si>
  <si>
    <t>FORD - Ecosport 1.6 - 2012 &gt; manual</t>
  </si>
  <si>
    <t>CN153B437HB, CN153B436LB</t>
  </si>
  <si>
    <t>AL-1566</t>
  </si>
  <si>
    <t>VOLKSWAGEN - Up - 1.0 2012 &gt;</t>
  </si>
  <si>
    <t>1S0498099X</t>
  </si>
  <si>
    <t>AL-1568</t>
  </si>
  <si>
    <t>RENAULT - Sandero 1.0/1.6 (MT) 2014 &gt;</t>
  </si>
  <si>
    <t>391019117R</t>
  </si>
  <si>
    <t>AL-157</t>
  </si>
  <si>
    <t>A6312930311</t>
  </si>
  <si>
    <t>AL-1570</t>
  </si>
  <si>
    <t>TOYOTA - Etios 1.3/1.5 - 2012 &gt;</t>
  </si>
  <si>
    <t>43420-0D290, 43410-0D270</t>
  </si>
  <si>
    <t>AL-1575</t>
  </si>
  <si>
    <t>CHEVROLET -S10 / Trailblazer 2.8 4x4  - 2016 &gt;</t>
  </si>
  <si>
    <t>SE - PickUp</t>
  </si>
  <si>
    <t>52083441</t>
  </si>
  <si>
    <t>AL-1576</t>
  </si>
  <si>
    <t>AL-1579</t>
  </si>
  <si>
    <t xml:space="preserve">TOYOTA - Hilux 2.8 4x4 2016 &gt;; </t>
  </si>
  <si>
    <t>434300K060</t>
  </si>
  <si>
    <t>AL-1580</t>
  </si>
  <si>
    <t>RENAULT - Master 2013 &gt; 2013</t>
  </si>
  <si>
    <t>AL-1581</t>
  </si>
  <si>
    <t>AL-159</t>
  </si>
  <si>
    <t xml:space="preserve">MERCEDES BENZ - Sprinter  1998&gt;; </t>
  </si>
  <si>
    <t>A90125000021</t>
  </si>
  <si>
    <t>AL-16</t>
  </si>
  <si>
    <t xml:space="preserve">FORD - Courier  1997&gt;; </t>
  </si>
  <si>
    <t>PE - Pickup</t>
  </si>
  <si>
    <t>97FB4A492AC</t>
  </si>
  <si>
    <t>AL-160</t>
  </si>
  <si>
    <t xml:space="preserve">MERCEDES BENZ - 1115  ; 1214  ; 1218  ; 1315  ; 1318  ; 1418  ; </t>
  </si>
  <si>
    <t>AL-1603</t>
  </si>
  <si>
    <t>HYUNDAI - Tucson 2.0 Autom. - 2005 &gt; 2009</t>
  </si>
  <si>
    <t>495082EC00</t>
  </si>
  <si>
    <t>AL-161</t>
  </si>
  <si>
    <t xml:space="preserve">MERCEDES BENZ - 1313  ; 1513  ; 2013  ; 2213  ; L-608 Embreagem Hidráulica ; </t>
  </si>
  <si>
    <t>AL-162</t>
  </si>
  <si>
    <t>AL-1623</t>
  </si>
  <si>
    <t>NISSAN - Livina 1.6 16V 2010 &gt; / March - 1.6 16V 2010 &gt; / Tiida 1.6 16V 2010 &gt; / Versa 1.6 16V 2010 &gt;</t>
  </si>
  <si>
    <t>OM 39100-1HB/ C9211EL10A</t>
  </si>
  <si>
    <t>AL-163</t>
  </si>
  <si>
    <t>AL-164</t>
  </si>
  <si>
    <t>AL-165</t>
  </si>
  <si>
    <t>AL-166</t>
  </si>
  <si>
    <t xml:space="preserve">MERCEDES BENZ - 1111  ; 1113  ; 1313  ; 1513  ; 2013  ; 2213  ; </t>
  </si>
  <si>
    <t>AL-167</t>
  </si>
  <si>
    <t>AL-168</t>
  </si>
  <si>
    <t xml:space="preserve">MERCEDES BENZ - 1519 Ou eixo HL5-1313 Reduzido ; </t>
  </si>
  <si>
    <t>AL-169</t>
  </si>
  <si>
    <t xml:space="preserve">MERCEDES BENZ - 0-364  ; O-321  ; O-352  ; O-362  ; OH-1313  ; OHL Monobloco ; </t>
  </si>
  <si>
    <t>3212930111</t>
  </si>
  <si>
    <t>AL-172</t>
  </si>
  <si>
    <t>RENAULT - Kwid - 2017&gt;;</t>
  </si>
  <si>
    <t>402023026R</t>
  </si>
  <si>
    <t>AL-173</t>
  </si>
  <si>
    <t>430423141R</t>
  </si>
  <si>
    <t>AL-174</t>
  </si>
  <si>
    <t>CHEVROLET - S10 2.5/ 2.8 4x4 2017 &gt; ; Trailblazer  2.8/ 3.6 4x4 2017 &gt;;</t>
  </si>
  <si>
    <t>52081087</t>
  </si>
  <si>
    <t>AL-176</t>
  </si>
  <si>
    <t xml:space="preserve">VOLVO - XC60 (2.0T, 3.0L, 3.2L) FWD e AWD 2009 &gt; 2017; XC70 II (2.0T, 2.5T, 3.2L) FWD e AWD 2008 &gt; 2017; S60 II FWD e AWD (1.5T, 1.6T, 2.0L, 2.0T) 2011 &gt; 2017; V60 FWD e AWD (1.5T, 1.6T, 2.0L, 2.0T) 2011 &gt; 2017 ; S80 II FWD e AWD (2.5T, 3.2L) 2008 &gt; 2017; S80 II FWD (2.0T) 2008 &gt; 2017; S80 II AWD (4.4L) 2008 &gt; 2017; V70 III FWD e AWD (2.0T, 2.5T, 3.2L) 2008 &gt; 2017; </t>
  </si>
  <si>
    <t>CR - Suv</t>
  </si>
  <si>
    <t>VOLVO</t>
  </si>
  <si>
    <t>30736501</t>
  </si>
  <si>
    <t>AL-177</t>
  </si>
  <si>
    <t>RENAULT - Master 2.3 (nova) 2013&gt;;</t>
  </si>
  <si>
    <t>8200688970</t>
  </si>
  <si>
    <t>AL-178</t>
  </si>
  <si>
    <t xml:space="preserve">MERCEDES BENZ -  Motor OM - 314 ;  Motor OM - 352 ;  Motor OM - 352A ; </t>
  </si>
  <si>
    <t>AL-179</t>
  </si>
  <si>
    <t>AL-18</t>
  </si>
  <si>
    <t xml:space="preserve">FORD - Corcel  Todos; </t>
  </si>
  <si>
    <t>CORCEL</t>
  </si>
  <si>
    <t>AL-180</t>
  </si>
  <si>
    <t>AL-181</t>
  </si>
  <si>
    <t>000.9902555</t>
  </si>
  <si>
    <t>AL-186</t>
  </si>
  <si>
    <t>01.030.00</t>
  </si>
  <si>
    <t>AL-187</t>
  </si>
  <si>
    <t>AL-189</t>
  </si>
  <si>
    <t>AL-190</t>
  </si>
  <si>
    <t>3521441613/0314</t>
  </si>
  <si>
    <t>AL-191</t>
  </si>
  <si>
    <t>VOLKSWAGEN - Polo/Virtus 1.0 6v 1.8 8v - 2018&gt;;</t>
  </si>
  <si>
    <t>POLO</t>
  </si>
  <si>
    <t>AL-192</t>
  </si>
  <si>
    <t>AL-194</t>
  </si>
  <si>
    <t>AL-195</t>
  </si>
  <si>
    <t xml:space="preserve">MERCEDES BENZ -  Todos (Freio à AR) (1519 - reduzido) ; </t>
  </si>
  <si>
    <t>AL-196</t>
  </si>
  <si>
    <t>TOYOTA - Hilux - 4x2 2005&gt;2017;</t>
  </si>
  <si>
    <t>435020K050</t>
  </si>
  <si>
    <t>AL-198</t>
  </si>
  <si>
    <t>FORD - Focus - 2.0 16V Fastback - 2016 &gt; / Focus - 2.0 16V Titanium - 2014 &gt; / Focus - 2.0 Sedan - 2014 &gt; / Focus - 1.6 Hatch - 2014 &gt; / Focus - 1.6 Sedan - 2014 &gt; / Focus - 2.0 Hatch - 2014 &gt;</t>
  </si>
  <si>
    <t>BV61/ 2C299/AA/H</t>
  </si>
  <si>
    <t>AL-199</t>
  </si>
  <si>
    <t>MERCEDES BENZ - Sprinter 2.0 2013 &gt; 2016;</t>
  </si>
  <si>
    <t>20000294</t>
  </si>
  <si>
    <t>AL-20</t>
  </si>
  <si>
    <t xml:space="preserve">FORD - Escort  1993/1996; Verona  1993/1996; VOLKSWAGEN - Logus  1993&gt;; Pointer  1995&gt;; </t>
  </si>
  <si>
    <t>547501117-E</t>
  </si>
  <si>
    <t>AL-2000</t>
  </si>
  <si>
    <t>SENSOR ABS</t>
  </si>
  <si>
    <t>CHEVROLET / GM - Blazer 4x4 1998 &gt; 2011 ; S10 4x4 1998 &gt; 2011;</t>
  </si>
  <si>
    <t>SA - Pickup</t>
  </si>
  <si>
    <t>15997039</t>
  </si>
  <si>
    <t>AL-2001</t>
  </si>
  <si>
    <t>CHEVROLET / GM - Astra 1.8/2.0 8V 1999 &gt;; Astra 2.0 8V/ 2.0 16V 1999 &gt;; Vectra - 2.0; Vectra GT 2.0 8V; Vectra 2.4; Zafira 1.8/ 2.0 8V 1999 &gt;; Zafira 2.0 8V/ 2.0 16V 1999 &gt;;</t>
  </si>
  <si>
    <t>SA - Leve</t>
  </si>
  <si>
    <t>ASTRA</t>
  </si>
  <si>
    <t>AL-2002</t>
  </si>
  <si>
    <t>FORD - Ranger 4x4 2005 &gt; 2012; Explorer 4x4 1995 &gt; 2000;</t>
  </si>
  <si>
    <t>AL-2003</t>
  </si>
  <si>
    <t>FORD - F250 2006 &gt;;</t>
  </si>
  <si>
    <t>F250</t>
  </si>
  <si>
    <t>AL-2004</t>
  </si>
  <si>
    <t>DODGE - Journey 2.7 24V V6 2009; FIAT - Freemont 2.4 16V 2012 &gt;;</t>
  </si>
  <si>
    <t>SA - SUV</t>
  </si>
  <si>
    <t>056029339AB</t>
  </si>
  <si>
    <t>AL-2005</t>
  </si>
  <si>
    <t>CHEVROLET/GM - Captiva 2.4 4 Cilindros 2008 &gt;; Capitiva 3.6 6 Cilindros 2008 &gt;;</t>
  </si>
  <si>
    <t>96626079</t>
  </si>
  <si>
    <t>AL-2006</t>
  </si>
  <si>
    <t>96626080</t>
  </si>
  <si>
    <t>AL-2007</t>
  </si>
  <si>
    <t>NISSAN - Frontier 2.5 4x2 2008 &gt;; Frontier 2.5 4x4 2008 &gt;;</t>
  </si>
  <si>
    <t>47900JS90A/47910EA025</t>
  </si>
  <si>
    <t>AL-2009</t>
  </si>
  <si>
    <t>FIAT - Palio - Weekend/ Adventure - 2013 &gt;</t>
  </si>
  <si>
    <t xml:space="preserve">51918275/ 51918272 </t>
  </si>
  <si>
    <t>AL-201</t>
  </si>
  <si>
    <t>FORD - F4000</t>
  </si>
  <si>
    <t>AL-2010</t>
  </si>
  <si>
    <t xml:space="preserve">51918274/ 51918273 </t>
  </si>
  <si>
    <t>AL-2011</t>
  </si>
  <si>
    <t>RENAULT - Duster - 2.0 4x4 - 2011 &gt;</t>
  </si>
  <si>
    <t xml:space="preserve">479501102R </t>
  </si>
  <si>
    <t>AL-2012</t>
  </si>
  <si>
    <t>FIAT - Idea - 1.4/1.6 - 09/2013 &gt;</t>
  </si>
  <si>
    <t>AL-2013</t>
  </si>
  <si>
    <t>AL-2014</t>
  </si>
  <si>
    <t>FIAT - Strada - Trekking/ Working - 2012 &gt; / Palio Weekend - 2013 &gt; / Siena - 2013&gt; / Idea Attractive/ Essence - 2011 &gt;</t>
  </si>
  <si>
    <t>AL-2015</t>
  </si>
  <si>
    <t>51918222/ 51918222/ 46783184</t>
  </si>
  <si>
    <t>AL-2018</t>
  </si>
  <si>
    <t>FIAT - Fiorino - 2011 &gt; / Strada Adventure/ Trekking/ Working - 2012 &gt;</t>
  </si>
  <si>
    <t xml:space="preserve">51918286/ 51918271 </t>
  </si>
  <si>
    <t>AL-2019</t>
  </si>
  <si>
    <t xml:space="preserve">51918287/ 51918288 </t>
  </si>
  <si>
    <t>AL-202</t>
  </si>
  <si>
    <t xml:space="preserve">RENAULT - Logan/ Sandero 2014&gt;; </t>
  </si>
  <si>
    <t>430423671 R</t>
  </si>
  <si>
    <t>AL-2020</t>
  </si>
  <si>
    <t>CHEVROLET - S10 - 2.8 4x4 Diesel 2008 &gt; 01/2012</t>
  </si>
  <si>
    <t>AL-2021</t>
  </si>
  <si>
    <t>FIAT - Siena - 2013 &gt;</t>
  </si>
  <si>
    <t xml:space="preserve">51918270/ 51918677 </t>
  </si>
  <si>
    <t>AL-2022</t>
  </si>
  <si>
    <t>CHEVROLET - S10 - 2.4 4x2 Flex - 2008 &gt; 2012</t>
  </si>
  <si>
    <t>AL-2023</t>
  </si>
  <si>
    <t>CITROEN - CITROEN - C3 - 2002 &gt; / Aircross - 2010 &gt; / C3 Picasso - 2009 &gt; / DS3 - 2009 &gt; 2015 / PEUGEOT - 2008 - 2013 &gt; / 207 - 2008 &gt; / 208 - 2008 &gt;</t>
  </si>
  <si>
    <t>454597/ 9665455580/ 4545J9</t>
  </si>
  <si>
    <t>AL-2024</t>
  </si>
  <si>
    <t>FIAT - Idea - 1.4/1.6/1.8 - 09/2013 &gt;</t>
  </si>
  <si>
    <t>AL-2025</t>
  </si>
  <si>
    <t>AL-2028</t>
  </si>
  <si>
    <t>FIAT - Uno/ Fiorino  - 1.0/1.4  - 09/2013 &gt;</t>
  </si>
  <si>
    <t>AL-2029</t>
  </si>
  <si>
    <t>FIAT - Idea - Adventure/ Attractive/ Essence - 2011 &gt; / Palio - Adventure/ Weekend - 2013 &gt; / Strada - Adventure - 2012&gt; / Strada - Trekking/ Working (Dianteiro direito) - 2013&gt; / Siena - 2013&gt; / Uno - 2011 &gt; / Fiorino - 2011&gt; / Grand Siena - 2012 &gt; / Palio - 2012 &gt; / Bravo Essence/ Sporting - 2011 &gt; 2016 / Mobi - 2017 &gt; / Cronos - 2018 &gt; / Argo - 2017 &gt;</t>
  </si>
  <si>
    <t>51918224/ 51743698/ 5918226/ 51770449/ 51743697</t>
  </si>
  <si>
    <t>AL-2030</t>
  </si>
  <si>
    <t>FIAT - Uno/ Fiorino - 1.0/1.4 09/2013 &gt;</t>
  </si>
  <si>
    <t>AL-2032</t>
  </si>
  <si>
    <t>TOYOTA - Corolla - 1.8/2.0 - 2008 &gt;</t>
  </si>
  <si>
    <t>AL-2033</t>
  </si>
  <si>
    <t>AL-2034</t>
  </si>
  <si>
    <t>FIAT - Strada - Trekking/ Working/ Adventure - 2013 &gt;</t>
  </si>
  <si>
    <t>AL-2036</t>
  </si>
  <si>
    <t>RENAULT - Duster - 4x2/ 4x4 - 2011 &gt; / Fluence - 2009 &gt; / Megane - 2010 &gt; / Scenic - 2010 &gt; / Oroch - 2015 &gt;</t>
  </si>
  <si>
    <t>479109155R</t>
  </si>
  <si>
    <t>AL-2037</t>
  </si>
  <si>
    <t>FORD - KA - 1.0 09/2014 &gt;</t>
  </si>
  <si>
    <t>AL-2038</t>
  </si>
  <si>
    <t>RENAULT - Fluence - 2009 &gt; / Megane - 2010 &gt; / Scenic - 2010 &gt;</t>
  </si>
  <si>
    <t xml:space="preserve">479006271R </t>
  </si>
  <si>
    <t>AL-2039</t>
  </si>
  <si>
    <t>FORD - Fiesta - 1.5/1.6 - 05/2013 &gt;</t>
  </si>
  <si>
    <t>AL-204</t>
  </si>
  <si>
    <t>FORD - Edge 2011 &gt; 2014;</t>
  </si>
  <si>
    <t>BT4Z-1104-A</t>
  </si>
  <si>
    <t>AL-2040</t>
  </si>
  <si>
    <t>TOYOTA - Corolla - 1.8/2.0 2002 &gt; 2008</t>
  </si>
  <si>
    <t>4545E8/ 96536631</t>
  </si>
  <si>
    <t>AL-2041</t>
  </si>
  <si>
    <t>AL-2042</t>
  </si>
  <si>
    <t xml:space="preserve">FIAT - FIAT  Ducato - 1994 &gt; 2017 / PEUGEOT Boxer - 1998 &gt; 2017 </t>
  </si>
  <si>
    <t>SA - Utilitario</t>
  </si>
  <si>
    <t>46776188/ 59232005/ 1320327080</t>
  </si>
  <si>
    <t>AL-2043</t>
  </si>
  <si>
    <t>RENAULT - Logan - 2007 &gt; 2014 / Sandero - 2007 &gt; 2014 / Duster 4x2 - 2011 &gt; / Oroch - 2015 &gt;</t>
  </si>
  <si>
    <t>8200752604/ 8200752605/ 479007637R/ 479000527R/ 0265008297/ 0265008946/ 0265008937/ 0265008229</t>
  </si>
  <si>
    <t>AL-2044</t>
  </si>
  <si>
    <t>479007380R/ 479505873R/ 8200752605/ 0265008947/ 0265008298/ 0265008936</t>
  </si>
  <si>
    <t>AL-2045</t>
  </si>
  <si>
    <t>FORD - Fiesta/ KA/ Ecosport - 2012 &gt;</t>
  </si>
  <si>
    <t>AL-2046</t>
  </si>
  <si>
    <t>MERCEDES - Sprinter - CDI 06/2011 &gt;</t>
  </si>
  <si>
    <t>A9065401117/ 9065401117/ A9065404317/ 9065404317/ A9069051001/ 9069051001</t>
  </si>
  <si>
    <t>AL-2048</t>
  </si>
  <si>
    <t>CITROEN - PEUGEOT Hoggar - 2010 &gt; 2014 / CITROEN Xsara Picasso - 2000 &gt; 2012</t>
  </si>
  <si>
    <t>4545E6/ 4545E0/ 96585998</t>
  </si>
  <si>
    <t>AL-2049</t>
  </si>
  <si>
    <t>AL-205</t>
  </si>
  <si>
    <t>FORD - Edge 2008 &gt; 2010;</t>
  </si>
  <si>
    <t>7T4Z-1104-A</t>
  </si>
  <si>
    <t>AL-2050</t>
  </si>
  <si>
    <t xml:space="preserve">CITROEN - Aircross - 2010 &gt; / C3 Picasso - 2009 &gt; / C3 - 2012 &gt; / PEUGEOT  207 - 2008 &gt; / 208 - 2008 &gt; / 2008 - 2013 &gt; </t>
  </si>
  <si>
    <t>4545J8/ 4545E5/ 9805066080/ 9805083380/ 0265008485/ 0265007707</t>
  </si>
  <si>
    <t>AL-2052</t>
  </si>
  <si>
    <t>VW - Audi TT 2000 a 2006
New Beetle 1998 à 2010
Golf 1993 à 2006
Jetta 1999 à 2004</t>
  </si>
  <si>
    <t>VW</t>
  </si>
  <si>
    <t>1J0927807B
0986594004
ARBS224</t>
  </si>
  <si>
    <t>AL-2053</t>
  </si>
  <si>
    <t>AUDI - AUDI A3 (Dianteiro direito e Traseiro direito) - 2003 &gt; 2015/ Q3 (Dianteiro direito e Traseiro direito) - 2011 &gt; / Q7 (Dianteiro direito e Traseiro direito) - 2006 &gt; 2015/ RS3 (Dianteiro direito e Traseiro direito) - 2011 &gt; / TT (Dianteiro direito e Traseiro direito) - 2006 &gt; /  VW Amarok (Dianteiro esquerdo) - 2010 &gt; / Beetle (Dianteiro direito) - 2011 &gt; / Bora (Dianteiro direito) - 2007 &gt; 2010/ Golf (Dianteiro direito e Traseiro direito) - 2003 &gt; 2017/ Jetta (Dianteiro direito) - 2005 &gt; / Passat (Dianteiro direito e Traseiro direito) - 2005 &gt; / Tiguan (Dianteiro direito e Traseiro direito) - 2007 &gt; / Toauareg (Dianteiro direito e Traseiro direito) - 2002 &gt; 2010</t>
  </si>
  <si>
    <t>7H0927804/ 7L0927808A/ 7L0927808B/ WHT003856/ WHT003856B/ WHT003856A</t>
  </si>
  <si>
    <t>AL-2054</t>
  </si>
  <si>
    <t>AUDI - AUDI A3 (Dianteiro esquerdo e Traseiro esquerdo) - 2003 &gt; 2015 / Q3 (Dianteiro esquerdo e Traseiro esquerdo) - 2011 &gt; / Q7 (Dianteiro esquerdo e Traseiro esquerdo) - 2006 &gt; 2015/ RS3 (Dianteiro esquerdo e Traseiro esquerdo) - 2011 &gt; / TT (Dianteiro esquerdo e Traseiro esquerdo) - 2006 &gt; /  VW Amarok (Dianteiro direito) - 2010 &gt; / Beetle (Dianteiro esquerdo) - 2011 &gt; / Bora (Dianteiro esquerdo) - 2007 &gt; 2010/ Golf (Dianteiro esquerdo e Traseiro esquerdo) - 2003 &gt; 2017/ Jetta (Dianteiro esquerdo) - 2005 &gt; / Passat (Dianteiro esquerdo e Traseiro esquerdo) - 2005 &gt; / Tiguan (Dianteiro esquerdo e Traseiro esquerdo) - 2007 &gt; / Touareg (Dianteiro esquerdo e Traseiro esquerdo) - 2002 &gt; 2010</t>
  </si>
  <si>
    <t>7H0927803/ 7L0927807A/ 7L0927807B/ WHT003857</t>
  </si>
  <si>
    <t>AL-2055</t>
  </si>
  <si>
    <t>AUDI - AUDI A3 - 2003 &gt; 2015/ Q3 - 2011 &gt; / TT - 2006 &gt; / VW Beetle - 2011 &gt; / Bora - 2007 &gt; 2010/ Golf - 2003 &gt; 2017/ Jetta - 2005 &gt; / Passat - 2005 &gt;</t>
  </si>
  <si>
    <t>1K0927807/ WHT003859A</t>
  </si>
  <si>
    <t>AL-2056</t>
  </si>
  <si>
    <t>1K0927808/ WHT003858A</t>
  </si>
  <si>
    <t>AL-2058</t>
  </si>
  <si>
    <t>VW - AUDI A2 - 1999 &gt; 2005/ VW Crossfox - 2005 &gt; / Fox - 2003 &gt; / Polo - 2001 &gt; / Space Cross - 2011 &gt; 2014/ Spacefox - 2006 &gt; 2014/ Up - 2011 &gt; / Saveiro - 2009 &gt; 2016 / Gol - 2008 &gt; / Voyage - 2008 &gt;</t>
  </si>
  <si>
    <t>6Q0927808B/ WHT003862/ 5U7927808</t>
  </si>
  <si>
    <t>AL-2059</t>
  </si>
  <si>
    <t>6Q0927807B/ WHT003863/ 5U7927807/ 5U0927753</t>
  </si>
  <si>
    <t>AL-2062</t>
  </si>
  <si>
    <t>VW - AUDI A3  - 1996 &gt; 2006 / TT  - 1998 &gt; 2006/  VW  Bora - 1998 &gt; 2006/ Golf - 1991 &gt; 2008/ Jetta - 1991 &gt; 2005/ New Beetle - 1998 &gt; 2010</t>
  </si>
  <si>
    <t>1H0927808/ 1J0927804</t>
  </si>
  <si>
    <t>AL-2063</t>
  </si>
  <si>
    <t>1H0927807/ 1J0927803</t>
  </si>
  <si>
    <t>AL-2064</t>
  </si>
  <si>
    <t>VW - AUDI A2 - 1999 &gt; 2005/ A3 - 2016 &gt; / VW Crossfox - 2005 &gt; / Fox - 2003 &gt; / Gol - 2008 &gt; / Golf - 2003 &gt; 2017/ Passat - 2005 &gt; / Polo - 2001 &gt; / Saveiro - 2009 &gt; 16/ Space Cross - 2011 &gt; 2014/ Spacefox - 2006 &gt; 2014/ Tiguan - 2007 &gt; / Voyage - 2008 &gt; / Up - 2011 &gt;</t>
  </si>
  <si>
    <t>6Q0927803B/ WHT003861</t>
  </si>
  <si>
    <t>AL-2065</t>
  </si>
  <si>
    <t>6Q0927804B/ WHT003860</t>
  </si>
  <si>
    <t>AL-2068</t>
  </si>
  <si>
    <t>BMW 116i / 118i / 120i / 316i / 318i / 320i</t>
  </si>
  <si>
    <t>BMW</t>
  </si>
  <si>
    <t>34526762465/ 0986594519</t>
  </si>
  <si>
    <t>AL-2069</t>
  </si>
  <si>
    <t>BMW X5 - 07&gt;17/ X6 - 08&gt;17</t>
  </si>
  <si>
    <t>AL-207</t>
  </si>
  <si>
    <t>VW - Virtus/Polo</t>
  </si>
  <si>
    <t>2QB-501-611-1</t>
  </si>
  <si>
    <t>AL-2071</t>
  </si>
  <si>
    <t>BMW 116i / 118i / 125i / 140i / 228i / 316i</t>
  </si>
  <si>
    <t>AL-2072</t>
  </si>
  <si>
    <t>AL-2073</t>
  </si>
  <si>
    <t>BMW X1 - &gt;09&gt;15</t>
  </si>
  <si>
    <t>34526784991/ 0265008240</t>
  </si>
  <si>
    <t>AL-2074</t>
  </si>
  <si>
    <t>34526789111/ 0265008238</t>
  </si>
  <si>
    <t>AL-2076</t>
  </si>
  <si>
    <t>CITROEN C3 - 02&gt;12</t>
  </si>
  <si>
    <t>454598/ 0986594552</t>
  </si>
  <si>
    <t>AL-2078</t>
  </si>
  <si>
    <t>CITROEN  C4 / PEUGEOT  307 / 3008 / 5008</t>
  </si>
  <si>
    <t>4545C1/ 9635384780</t>
  </si>
  <si>
    <t>AL-2079</t>
  </si>
  <si>
    <t>CITROEN  Berlingo / C4 Grand Picasso/ PEUGEOT  Partner</t>
  </si>
  <si>
    <t>4545E7/ 96552700</t>
  </si>
  <si>
    <t>AL-208</t>
  </si>
  <si>
    <t>RENAULT - Kangoo c/ABS 2017 &gt;;</t>
  </si>
  <si>
    <t>7701208075</t>
  </si>
  <si>
    <t>AL-2080</t>
  </si>
  <si>
    <t>CITROEN  Berlingo / C4 Grand Picasso/ PEUGEOT 3008</t>
  </si>
  <si>
    <t>AL-2083</t>
  </si>
  <si>
    <t>FORD Edge - 07&gt;14</t>
  </si>
  <si>
    <t>7T4Z2C205A</t>
  </si>
  <si>
    <t>AL-2088</t>
  </si>
  <si>
    <t>JEEP Renegade - 15&gt;17/ FIAT Toro 4x2/ 4x4 - 17&gt;</t>
  </si>
  <si>
    <t>68246922AA</t>
  </si>
  <si>
    <t>AL-2089</t>
  </si>
  <si>
    <t>JEEP Renegade - 15&gt;17</t>
  </si>
  <si>
    <t>68246762AA</t>
  </si>
  <si>
    <t>AL-209</t>
  </si>
  <si>
    <t xml:space="preserve">TOYOTA - Hilux 2016 &gt;; </t>
  </si>
  <si>
    <t>HILUX</t>
  </si>
  <si>
    <t>AL-2092</t>
  </si>
  <si>
    <t>FIAT Doblo HLX/ ELX/ Adventure - 02&gt;</t>
  </si>
  <si>
    <t>46740217/ 46811205</t>
  </si>
  <si>
    <t>AL-2097</t>
  </si>
  <si>
    <t>FIAT Palio Adventure / Marea / Marea Weekend</t>
  </si>
  <si>
    <t>51796983/ 46441569</t>
  </si>
  <si>
    <t>AL-2098</t>
  </si>
  <si>
    <t>46539832/ 46441568</t>
  </si>
  <si>
    <t>AL-2099</t>
  </si>
  <si>
    <t>FIAT Doblo - HLX/ ELX/ Adventure - 2002 &gt;</t>
  </si>
  <si>
    <t>46814965/ 51717165</t>
  </si>
  <si>
    <t>AL-21</t>
  </si>
  <si>
    <t xml:space="preserve">FORD - Escort  1993&gt;1996; Verona  1993&gt;1996; VOLKSWAGEN - Logus  ; Pointer  ; </t>
  </si>
  <si>
    <t>547501117-D</t>
  </si>
  <si>
    <t>AL-210</t>
  </si>
  <si>
    <t>AL-2100</t>
  </si>
  <si>
    <t>FIAT Ducato - 2018 &gt;</t>
  </si>
  <si>
    <t>51725099/ K04727624AA</t>
  </si>
  <si>
    <t>AL-2101</t>
  </si>
  <si>
    <t>FIAT  Strada Trekking/ Working / Palio Weekend</t>
  </si>
  <si>
    <t>46783183/ 51743697</t>
  </si>
  <si>
    <t>AL-2102</t>
  </si>
  <si>
    <t>AL-2103</t>
  </si>
  <si>
    <t>FIAT  Ducato - 06&gt;/ PEUGEOT Boxer - 98&gt;17</t>
  </si>
  <si>
    <t>51764254/ 51782787</t>
  </si>
  <si>
    <t>AL-2104</t>
  </si>
  <si>
    <t>FIAT Doblo HLX/ ELX - 02&gt;</t>
  </si>
  <si>
    <t>46740213/ 0986594577</t>
  </si>
  <si>
    <t>AL-2106</t>
  </si>
  <si>
    <t>FIAT Siena - 13&gt;</t>
  </si>
  <si>
    <t>46545467/ 0265007051</t>
  </si>
  <si>
    <t>AL-2107</t>
  </si>
  <si>
    <t>FIAT Strada Trekking/ Working/ Adventure - 13&gt;</t>
  </si>
  <si>
    <t>46540025/ 51799534</t>
  </si>
  <si>
    <t>AL-2109</t>
  </si>
  <si>
    <t>FIAT 500 - 10&gt;</t>
  </si>
  <si>
    <t>K68073206AD</t>
  </si>
  <si>
    <t>AL-211</t>
  </si>
  <si>
    <t>AL-2111</t>
  </si>
  <si>
    <t>FIAT - Toro 4x2 - 17&gt;</t>
  </si>
  <si>
    <t>51966686</t>
  </si>
  <si>
    <t>AL-2113</t>
  </si>
  <si>
    <t>FIAT  Grand Siena - 12&gt;/ Punto - 08&gt;17/ Linea - 09&gt;16</t>
  </si>
  <si>
    <t>51782490/ 52090316</t>
  </si>
  <si>
    <t>AL-2114</t>
  </si>
  <si>
    <t>68073058AA</t>
  </si>
  <si>
    <t>AL-2116</t>
  </si>
  <si>
    <t>FORD Ranger 4x2 - 98&gt;12</t>
  </si>
  <si>
    <t>3L5Z2C204AA</t>
  </si>
  <si>
    <t>AL-2117</t>
  </si>
  <si>
    <t>FORD Mondeo - 94&gt;01/ Focus - 01&gt;08/ Fiesta 02&gt;14</t>
  </si>
  <si>
    <t>97BG2B372AA</t>
  </si>
  <si>
    <t>AL-2119</t>
  </si>
  <si>
    <t>FORD  Focus / VOLVO C30 / C70 / S40 / S60 / S80</t>
  </si>
  <si>
    <t>3M5T2B372AB/ 30748149/ 9475557</t>
  </si>
  <si>
    <t>AL-212</t>
  </si>
  <si>
    <t>3122511002</t>
  </si>
  <si>
    <t>AL-2120</t>
  </si>
  <si>
    <t>FORD Transit - 06&gt;14</t>
  </si>
  <si>
    <t>6C112B372BB/ 6C112B372BC</t>
  </si>
  <si>
    <t>AL-2121</t>
  </si>
  <si>
    <t>6C112B372CB/ 6C112B372CC</t>
  </si>
  <si>
    <t>AL-2122</t>
  </si>
  <si>
    <t>6C112B372AA/ 6C112B372AB</t>
  </si>
  <si>
    <t>AL-2123</t>
  </si>
  <si>
    <t>FORD Ranger - 13&gt;</t>
  </si>
  <si>
    <t>DB392C204AD/DB392C204BD</t>
  </si>
  <si>
    <t>AL-2124</t>
  </si>
  <si>
    <t>DB392C205AD/ DB392C205AB</t>
  </si>
  <si>
    <t>AL-2125</t>
  </si>
  <si>
    <t>DB392C190AC</t>
  </si>
  <si>
    <t>AL-2126</t>
  </si>
  <si>
    <t>AB312C216AD</t>
  </si>
  <si>
    <t>AL-213</t>
  </si>
  <si>
    <t>3812510102</t>
  </si>
  <si>
    <t>AL-2130</t>
  </si>
  <si>
    <t>FORD Fusion (4x4) - 13&gt;</t>
  </si>
  <si>
    <t>DG9Z1104U</t>
  </si>
  <si>
    <t>AL-2131</t>
  </si>
  <si>
    <t>FORD Fusion - 06&gt;12</t>
  </si>
  <si>
    <t>AE5Z2C204A</t>
  </si>
  <si>
    <t>AL-2132</t>
  </si>
  <si>
    <t>AL-2133</t>
  </si>
  <si>
    <t>FORD Fusion 4x2 - 06&gt;12</t>
  </si>
  <si>
    <t xml:space="preserve"> AE5Z2C182A</t>
  </si>
  <si>
    <t>AL-2134</t>
  </si>
  <si>
    <t>AE5Z2C182C</t>
  </si>
  <si>
    <t>AL-2139</t>
  </si>
  <si>
    <t>FORD Ecosport (4x2) - 03&gt;12</t>
  </si>
  <si>
    <t>2N152B372BA</t>
  </si>
  <si>
    <t>AL-214</t>
  </si>
  <si>
    <t xml:space="preserve">MERCEDES BENZ - 608D  ; 708  ; 709  ; 912  ; </t>
  </si>
  <si>
    <t>3082517002</t>
  </si>
  <si>
    <t>AL-2143</t>
  </si>
  <si>
    <t>FORD Fusion eletrico - 13&gt;</t>
  </si>
  <si>
    <t>DG9Z2C190K</t>
  </si>
  <si>
    <t>AL-2149</t>
  </si>
  <si>
    <t>GM Montana - 14&gt;19</t>
  </si>
  <si>
    <t>AL-215</t>
  </si>
  <si>
    <t>AL-2152</t>
  </si>
  <si>
    <t>GM Cobalt - 12&gt;18/ Onix - 13&gt;18/ Prisma - 13&gt;18/ Sonic - 12&gt;14/ Spin - 13&gt;18</t>
  </si>
  <si>
    <t>95164926</t>
  </si>
  <si>
    <t>AL-2153</t>
  </si>
  <si>
    <t>95164925</t>
  </si>
  <si>
    <t>AL-2156</t>
  </si>
  <si>
    <t>Chevrolet - S10 - 2012 &gt;</t>
  </si>
  <si>
    <t>52015310</t>
  </si>
  <si>
    <t>AL-2157</t>
  </si>
  <si>
    <t>GM Tracker - 14&gt;18</t>
  </si>
  <si>
    <t>95490814</t>
  </si>
  <si>
    <t>AL-216</t>
  </si>
  <si>
    <t xml:space="preserve">MERCEDES BENZ - 1111  ; LP-321  ; </t>
  </si>
  <si>
    <t>AL-217</t>
  </si>
  <si>
    <t>CHEVROLET - S10 2.5/ 2.8 4x2 2017 &gt;; Trailblazer 2.8/ 3.6 2017 &gt;;</t>
  </si>
  <si>
    <t>52088409</t>
  </si>
  <si>
    <t>AL-218</t>
  </si>
  <si>
    <t>CITROEN - Jumper - 2.3 - 2010 &gt; / Ducato 2.3 - 2010 &gt; / Boxer - 2.3 - 2010 &gt;</t>
  </si>
  <si>
    <t>AL-2204</t>
  </si>
  <si>
    <t>HYUNDAI  Azera - 07&gt;11/ Sonata - 06&gt;10</t>
  </si>
  <si>
    <t>598103K000</t>
  </si>
  <si>
    <t>AL-2205</t>
  </si>
  <si>
    <t>598303K000</t>
  </si>
  <si>
    <t>AL-2211</t>
  </si>
  <si>
    <t>HYUNDAI Tucson - 10&gt;14/ IX 35 - 10&gt;15/  KIA Sportage - 11&gt;</t>
  </si>
  <si>
    <t>956702S300</t>
  </si>
  <si>
    <t>AL-2212</t>
  </si>
  <si>
    <t>956712S300</t>
  </si>
  <si>
    <t>AL-223</t>
  </si>
  <si>
    <t>FIAT - Toro - 1.8 - 2016 &gt; / Toro - 2.0 4x2 - 2016 &gt; / Toro - 2.4 - 2017 &gt;</t>
  </si>
  <si>
    <t>52055583</t>
  </si>
  <si>
    <t>AL-2232</t>
  </si>
  <si>
    <t>HYUNDAI Veracruz - 07&gt;12</t>
  </si>
  <si>
    <t>956713J000</t>
  </si>
  <si>
    <t>AL-2233</t>
  </si>
  <si>
    <t>956703J000</t>
  </si>
  <si>
    <t>AL-2241</t>
  </si>
  <si>
    <t>HYUNDAI Santa Fé - 13&gt;17/ KIA Sorento - 13&gt;16</t>
  </si>
  <si>
    <t>956712W000</t>
  </si>
  <si>
    <t>AL-2242</t>
  </si>
  <si>
    <t>956702W000</t>
  </si>
  <si>
    <t>AL-225</t>
  </si>
  <si>
    <t>HYUNDAI - Tucson - 1.6 16V - 2017 &gt; / Sportage - 2.0 - 2016 &gt;</t>
  </si>
  <si>
    <t>52730C1100</t>
  </si>
  <si>
    <t>AL-2258</t>
  </si>
  <si>
    <t>HYUNDAI HB20 - 12&gt;</t>
  </si>
  <si>
    <t>527511G101FFF</t>
  </si>
  <si>
    <t>AL-226</t>
  </si>
  <si>
    <t xml:space="preserve">MERCEDES BENZ - 1924  ; 1929  ; 1932  ; 1935  ; </t>
  </si>
  <si>
    <t>AL-2260</t>
  </si>
  <si>
    <t>JAC J3 - 10&gt;15</t>
  </si>
  <si>
    <t>JAC</t>
  </si>
  <si>
    <t>3630400U8010</t>
  </si>
  <si>
    <t>AL-2261</t>
  </si>
  <si>
    <t>3630300U8010</t>
  </si>
  <si>
    <t>AL-227</t>
  </si>
  <si>
    <t xml:space="preserve">MERCEDES BENZ - 1111  ; 1113  ; 1313  ; 1513  ; 2013  ; </t>
  </si>
  <si>
    <t>AL-228</t>
  </si>
  <si>
    <t xml:space="preserve">MERCEDES BENZ - 1525  ; 2225  ; 2318  ; 2418  ; </t>
  </si>
  <si>
    <t>AL-2282</t>
  </si>
  <si>
    <t>LAND ROVER Freelander - 07&gt;14</t>
  </si>
  <si>
    <t>LAND</t>
  </si>
  <si>
    <t>LR001057</t>
  </si>
  <si>
    <t>AL-2283</t>
  </si>
  <si>
    <t>LAND ROVER  Freelander - 07&gt;14/ Ranger Evoque - 11&gt;</t>
  </si>
  <si>
    <t>LR001056/ LR024202</t>
  </si>
  <si>
    <t>AL-2284</t>
  </si>
  <si>
    <t>LAND ROVER Discovery - 09&gt;</t>
  </si>
  <si>
    <t>0265008266/ LR013783</t>
  </si>
  <si>
    <t>AL-2285</t>
  </si>
  <si>
    <t>LAND ROVER Ranger Evoque - 11&gt;</t>
  </si>
  <si>
    <t>LR024203</t>
  </si>
  <si>
    <t>AL-2286</t>
  </si>
  <si>
    <t>LAND ROVER Ranger Rover - 13&gt;/ Ranger Rover Sport - 15&gt;</t>
  </si>
  <si>
    <t>LR033457</t>
  </si>
  <si>
    <t>AL-2287</t>
  </si>
  <si>
    <t>LAND ROVER Ranger Rover - 13&gt;/ Range Rover Sport - 15&gt;</t>
  </si>
  <si>
    <t>LR033461</t>
  </si>
  <si>
    <t>AL-2288</t>
  </si>
  <si>
    <t>LAND ROVER Range Rover Sport - 05&gt;13/ Discovery - 09&gt;</t>
  </si>
  <si>
    <t>SSB500100/ SSB500133</t>
  </si>
  <si>
    <t>AL-229</t>
  </si>
  <si>
    <t>AL-23</t>
  </si>
  <si>
    <t xml:space="preserve">FORD - Belina  .../1978; Corcel I .../1978; Corcel II .../1978; </t>
  </si>
  <si>
    <t>AL-230</t>
  </si>
  <si>
    <t>AL-2302</t>
  </si>
  <si>
    <t>MERCEDES-BENZ  C180 - 00&gt;08/ C200 - 00&gt;08/ C230 - 01&gt;08/ C240 - 00&gt;05/ C280 - 05&gt;07/ C320 - 00&gt;07/ C350 - 05&gt;08/ CLK 320 - 02&gt;09/ CLK 500 - 03&gt;09/ SLK 300 - 09&gt;/ SLK 350 - 04&gt;/ SLK 200 - 11&gt;/ SLK 250 - 11&gt;</t>
  </si>
  <si>
    <t>2035400117</t>
  </si>
  <si>
    <t>AL-2303</t>
  </si>
  <si>
    <t>2035401417</t>
  </si>
  <si>
    <t>AL-2314</t>
  </si>
  <si>
    <t>MERCEDES-BENZ Sprinter série 200 / 300 / 400 / 500</t>
  </si>
  <si>
    <t>9065400317/ A9065400317</t>
  </si>
  <si>
    <t>AL-233/D</t>
  </si>
  <si>
    <t>DOBRADIÇA</t>
  </si>
  <si>
    <t>AL-233/E</t>
  </si>
  <si>
    <t>AL-2335</t>
  </si>
  <si>
    <t>MITSUBISHI Pajero - 07&gt;/ Pajero Full - 06&gt;</t>
  </si>
  <si>
    <t>4670A189</t>
  </si>
  <si>
    <t>AL-2336</t>
  </si>
  <si>
    <t>4670A190</t>
  </si>
  <si>
    <t>AL-2337</t>
  </si>
  <si>
    <t>MITSUBISHI L-200 Triton - 11&gt;15/ Pajero Dakar - 11&gt;15</t>
  </si>
  <si>
    <t>4670A595</t>
  </si>
  <si>
    <t>AL-2338</t>
  </si>
  <si>
    <t>4670A596</t>
  </si>
  <si>
    <t>AL-2339</t>
  </si>
  <si>
    <t>4670A597</t>
  </si>
  <si>
    <t>AL-234</t>
  </si>
  <si>
    <t>FIAT - Toro - 2.0 4x4 - 2016 &gt;</t>
  </si>
  <si>
    <t>52055584</t>
  </si>
  <si>
    <t>AL-2340</t>
  </si>
  <si>
    <t>4670A598</t>
  </si>
  <si>
    <t>AL-2341</t>
  </si>
  <si>
    <t>MITSUBISHI L-200 Triton - 07&gt;11/ Pajero Dakar - 08&gt;11</t>
  </si>
  <si>
    <t xml:space="preserve"> MN102573</t>
  </si>
  <si>
    <t>AL-2342</t>
  </si>
  <si>
    <t>MN102574</t>
  </si>
  <si>
    <t>AL-235</t>
  </si>
  <si>
    <t>CITROEN - C6 - 3.0 - 2006 &gt; 2008 / Jumpy - 1.6 Turbo - 2018 &gt; / PEUGEOT - 407 - 2.0 - 2005 &gt; 2009 / 407 - 3.0 - 2005 &gt; 2009 / 407 - SW 2.0 - 2006 &gt; 2009 / 407 - SW 2.0 - 2004 &gt; 2009 / 508 - 1.6 Turbo - 2012 &gt; 2014 / Expert - 1.6 Turbo - 2018 &gt;</t>
  </si>
  <si>
    <t>AL-2366</t>
  </si>
  <si>
    <t>NISSAN Versa - 07&gt;12/ Tiida - 07&gt;14</t>
  </si>
  <si>
    <t>47910EL00A/ 47910ZR70A</t>
  </si>
  <si>
    <t>AL-2369</t>
  </si>
  <si>
    <t>NISSAN Versa - 12&gt;17/ March - 12&gt;17</t>
  </si>
  <si>
    <t>479001HA0A</t>
  </si>
  <si>
    <t>AL-237</t>
  </si>
  <si>
    <t>CITROEN - Jumpy - 1.6 Turbo - 2018 &gt; / Expert - 1.6 Turbo - 2018 &gt;</t>
  </si>
  <si>
    <t>AL-2370</t>
  </si>
  <si>
    <t>479011HA0A</t>
  </si>
  <si>
    <t>AL-2371</t>
  </si>
  <si>
    <t>NISSAN Sentra - 13&gt;17</t>
  </si>
  <si>
    <t>479103DA0A</t>
  </si>
  <si>
    <t>AL-2372</t>
  </si>
  <si>
    <t>479013DA0A</t>
  </si>
  <si>
    <t>AL-238</t>
  </si>
  <si>
    <t xml:space="preserve">MERCEDES BENZ - 1214 Motor OM-355 - Cara Chata ; 1720 Motor OM-355 - Cara Chata ; </t>
  </si>
  <si>
    <t>AL-2385</t>
  </si>
  <si>
    <t>RENAULT Master - 02&gt;13</t>
  </si>
  <si>
    <t>8200274801/ 8200037443</t>
  </si>
  <si>
    <t>AL-239</t>
  </si>
  <si>
    <t xml:space="preserve">MERCEDES BENZ - 1723 Motor OM-366-A/LA - 1723 - Cara Chata ; </t>
  </si>
  <si>
    <t>AL-2393</t>
  </si>
  <si>
    <t>RENAULT Logan - 07&gt;14 Sandero - 07&gt;14</t>
  </si>
  <si>
    <t>8200195825/ 8200419177</t>
  </si>
  <si>
    <t>AL-240</t>
  </si>
  <si>
    <t>AL-2400</t>
  </si>
  <si>
    <t>AL-241</t>
  </si>
  <si>
    <t xml:space="preserve">MERCEDES BENZ -  Motor OM-501/LA - 1521/6 ; </t>
  </si>
  <si>
    <t>AL-2413</t>
  </si>
  <si>
    <t>TOYOTA Hilux - 15&gt;/ Hilux SW4 - 16&gt;</t>
  </si>
  <si>
    <t>895430K061</t>
  </si>
  <si>
    <t>AL-2414</t>
  </si>
  <si>
    <t>895420K020</t>
  </si>
  <si>
    <t>AL-242</t>
  </si>
  <si>
    <t>SUZUKI - Grand Vitara - 2.0 4x4 - 2009 &gt; 2016 / Grand Vitara - 3.2 4x4 - 2009 &gt; 2011</t>
  </si>
  <si>
    <t>SUZUKI</t>
  </si>
  <si>
    <t>43401-65J00</t>
  </si>
  <si>
    <t>AL-2426</t>
  </si>
  <si>
    <t>TOYOTA  Hilux - 15&gt;</t>
  </si>
  <si>
    <t>895460K240</t>
  </si>
  <si>
    <t>AL-2427</t>
  </si>
  <si>
    <t>895450K240</t>
  </si>
  <si>
    <t>AL-2428</t>
  </si>
  <si>
    <t>TOYOTA  Hilux - 11&gt;15/ Hilux SW4 - 11&gt;15</t>
  </si>
  <si>
    <t>AL-2429</t>
  </si>
  <si>
    <t>895420K060</t>
  </si>
  <si>
    <t>AL-244</t>
  </si>
  <si>
    <t>JEEP - Compass - 2.0 4x2 - 2012 &gt; 2016 / ASX - 2.0 4x2 - 2010 &gt; 2012 / Lancer - 2.0 - 2010 &gt;</t>
  </si>
  <si>
    <t>3785A008</t>
  </si>
  <si>
    <t>AL-245</t>
  </si>
  <si>
    <t>AL-246</t>
  </si>
  <si>
    <t>CHEVROLET - Tracker - 1.4 Turbo 4x2 - 2017 &gt; / Tracker - 1.8 16V 4x2 - 2014 &gt;</t>
  </si>
  <si>
    <t>AL-247</t>
  </si>
  <si>
    <t xml:space="preserve">MERCEDES BENZ - 1313  1984/...; 1513  1984/...; 2013  1984/...; 2213  1984/...; </t>
  </si>
  <si>
    <t>AL-248</t>
  </si>
  <si>
    <t>AL-249</t>
  </si>
  <si>
    <t>13500592</t>
  </si>
  <si>
    <t>AL-250</t>
  </si>
  <si>
    <t>AL-252</t>
  </si>
  <si>
    <t>IVECO - Daily - 35S14 - 2008 &gt;</t>
  </si>
  <si>
    <t>IVECO</t>
  </si>
  <si>
    <t>AL-2527</t>
  </si>
  <si>
    <t>CHRYSLER - DODGE – JEEP Neon - 00&gt;05/ PT Cruiser - 01&gt;10</t>
  </si>
  <si>
    <t>CHRYSLER</t>
  </si>
  <si>
    <t>5273333/ 5273333AB</t>
  </si>
  <si>
    <t>AL-2528</t>
  </si>
  <si>
    <t>5273332/ 5273332AC</t>
  </si>
  <si>
    <t>AL-253</t>
  </si>
  <si>
    <t xml:space="preserve">MERCEDES BENZ - Ônibus LPO motor rebaixado OF-1113/ 1313 ; </t>
  </si>
  <si>
    <t>AL-254</t>
  </si>
  <si>
    <t xml:space="preserve">MERCEDES BENZ - Ônibus Motor OM-362/364 ; </t>
  </si>
  <si>
    <t>AL-255</t>
  </si>
  <si>
    <t xml:space="preserve">MERCEDES BENZ - 1111 Antigo - Dir.Mec. ; 1113 Antigo - Dir.Mec. ; </t>
  </si>
  <si>
    <t>AL-2556</t>
  </si>
  <si>
    <t>Todas Carretas</t>
  </si>
  <si>
    <t>SA - Pesada</t>
  </si>
  <si>
    <t>CARRETA</t>
  </si>
  <si>
    <t>4410328090</t>
  </si>
  <si>
    <t>AL-256</t>
  </si>
  <si>
    <t xml:space="preserve">MERCEDES BENZ - 1113  ; 1313  ; 1513  ; 1516  ; 2013  ; 2213  ; </t>
  </si>
  <si>
    <t>AL-257</t>
  </si>
  <si>
    <t>AL-258</t>
  </si>
  <si>
    <t>AL-259</t>
  </si>
  <si>
    <t>AL-26</t>
  </si>
  <si>
    <t xml:space="preserve">FORD - Escort Zetec Rocam 1997/...; Fiesta Import 1993/1995; </t>
  </si>
  <si>
    <t>90AG-4635AA</t>
  </si>
  <si>
    <t>AL-261</t>
  </si>
  <si>
    <t xml:space="preserve">MERCEDES BENZ - 1519 Motor OM-326/355 ; </t>
  </si>
  <si>
    <t>AL-262/D</t>
  </si>
  <si>
    <t>AL-262/E</t>
  </si>
  <si>
    <t>AL-263</t>
  </si>
  <si>
    <t>AL-265</t>
  </si>
  <si>
    <t>CHERY - Tiggo - 2.0 - 2006 &gt; 2015</t>
  </si>
  <si>
    <t>CHERY</t>
  </si>
  <si>
    <t>AL-267</t>
  </si>
  <si>
    <t>FORD - Fusion - 2.0 Hybrid - 2013 &gt; / Fusion - 2.5 - 2013 &gt; / Fusion - 2.5 Hybrid - 2013 &gt;</t>
  </si>
  <si>
    <t>AL-269</t>
  </si>
  <si>
    <t>CHERY - Tiggo - 2.0 - 2006 &gt; 2015 / Lifan X60 1.8 16V - 2013 &gt;</t>
  </si>
  <si>
    <t>3301210ba</t>
  </si>
  <si>
    <t>AL-27</t>
  </si>
  <si>
    <t xml:space="preserve">FORD - Courier 1.6 Zetec Rocam 1999/...; Ecosport 1.6 ; Fiesta 1.0 Zetec Rocam 2000/2012; Fiesta 1.6 Zetec Rocam 1999/...; Focus 1.6 2004/...; Focus 1.8 ; Ka 1.6 Zetec Rocam 1999/...; RENAULT - Clio Todos - LD ; TOYOTA - Etios 1.3 / 1.5 -  16V 2012&gt;; </t>
  </si>
  <si>
    <t>XS61-4K258AA</t>
  </si>
  <si>
    <t>AL-270</t>
  </si>
  <si>
    <t xml:space="preserve">MERCEDES BENZ - 1113  ; 1313  ; 1513  ; 708  ; 709  ; 912  ; </t>
  </si>
  <si>
    <t>AL-271</t>
  </si>
  <si>
    <t xml:space="preserve">MERCEDES BENZ - 1318  ; 1418  ; 1519  ; 1520  ; 2219  ; 2220  ; </t>
  </si>
  <si>
    <t>AL-272</t>
  </si>
  <si>
    <t xml:space="preserve">MERCEDES BENZ - 1113  ; 1313  ; 1513  ; 1516  ; 2016  ; 608D  ; </t>
  </si>
  <si>
    <t>AL-275</t>
  </si>
  <si>
    <t xml:space="preserve">MERCEDES BENZ - 1633 Motor OM-501/LA-447/449 ; 1638 Motor OM-501/LA-447/449 ; 1935 Motor OM-501/LA-447/449 ; 1941 Motor OM-501/LA-447/449 ; Ônibus O - 400 Motor OM-501/LA-447/449 ; </t>
  </si>
  <si>
    <t>AL-276</t>
  </si>
  <si>
    <t>AL-277</t>
  </si>
  <si>
    <t xml:space="preserve">MERCEDES BENZ - 1519  ; </t>
  </si>
  <si>
    <t>AL-278</t>
  </si>
  <si>
    <t>AL-279</t>
  </si>
  <si>
    <t xml:space="preserve">MERCEDES BENZ - 1111 Motor OM-321 ; 1113 Motor OM-321 ; 1116 Motor OM-321 ; Ônibus LPO - 352 Motor OM-321 ; </t>
  </si>
  <si>
    <t>AL-280</t>
  </si>
  <si>
    <t>AL-281</t>
  </si>
  <si>
    <t xml:space="preserve">MERCEDES BENZ - 1313 Motor OM-355 ; 1316 Motor OM-355 ; 1516 Motor OM-355 ; 2013 Motor OM-355 ; 2213 Motor OM-355 ; </t>
  </si>
  <si>
    <t>AL-282</t>
  </si>
  <si>
    <t xml:space="preserve">MERCEDES BENZ - 2013  ; 2016  ; 2213  ; 2216  ; </t>
  </si>
  <si>
    <t>AL-283</t>
  </si>
  <si>
    <t>AL-284</t>
  </si>
  <si>
    <t xml:space="preserve">MERCEDES BENZ - 1313 Motor OM-355 ; 1316 Motor OM-355 ; 1513 Motor OM-355 ; 1516 Motor OM-355 ; 1519 Motor OM-355 ; 2013 Motor OM-355 ; 2016 Motor OM-355 ; 2213 Motor OM-355 ; 2216 Motor OM-355 ; 2219 Motor OM-355 ; </t>
  </si>
  <si>
    <t>AL-285</t>
  </si>
  <si>
    <t>53104100</t>
  </si>
  <si>
    <t>AL-286</t>
  </si>
  <si>
    <t xml:space="preserve">MERCEDES BENZ - 1313  ; 1316  ; 1513  ; 1516  ; 2013  ; 2016  ; 2213  ; </t>
  </si>
  <si>
    <t>AL-287</t>
  </si>
  <si>
    <t xml:space="preserve">MERCEDES BENZ - 1513  ; 1516  ; 1517  ; 1519  ; 2219  ; </t>
  </si>
  <si>
    <t>AL-288</t>
  </si>
  <si>
    <t xml:space="preserve">MERCEDES BENZ - 608D  ; 708D  ; </t>
  </si>
  <si>
    <t>AL-289</t>
  </si>
  <si>
    <t>AL-29</t>
  </si>
  <si>
    <t>FORD - Corcel Todos</t>
  </si>
  <si>
    <t>AL-290</t>
  </si>
  <si>
    <t xml:space="preserve">MERCEDES BENZ - 1519 Motor OM-355 ; </t>
  </si>
  <si>
    <t>AL-291</t>
  </si>
  <si>
    <t>SUZUKI - S Cross - 1.4 Turbo - 2017 &gt; / S Cross - 1.6 - 2017 &gt; / Vitara - 1.4 Turbo - 2017 &gt; / Vitara - 1.6 - 2017 &gt;</t>
  </si>
  <si>
    <t>AL-295</t>
  </si>
  <si>
    <t>BMW/MINI - 220i Active Tourer 2.0 Turbo - 2016 &gt; / 225i Active Tourer 2.0 Turbo - 2015 &gt; 2016 / X5 3.0 2001 &gt; 2010 / X5 3.0 xDrive 30d 2015 &gt; / X5 3.0 xDrive 35i 2011 &gt; / X5 4.4 xDrive 50i 2011 &gt; 2016 / X6 3.0 xDrive 35i 2008 &gt; / X6 4.4 M 2010 &gt; / X6 4.4 xDrive 50i 2008 &gt; 2015 / Cooper 1.5 Turbo 2014 &gt; / Cooper 1.5 Turbo Countryman 2017 &gt; / Cooper 1.6 Cabrio S Highgate 2013 &gt; 2014 / Cooper 1.6 Countryman S 2013 &gt; 2016 / Cooper 1.6 John Cabrio Works 2014 &gt; / Cooper 1.6 John Country Works 2014 &gt; 2016 / Cooper 1.6 John Coupe Works 2014 &gt; 2014 / Cooper 1.6 Paceman S 2013 &gt; 2015 / Cooper 1.6 Paceman S John Works 2014 &gt; 2016 / Cooper 1.6 Roadster 2012 &gt; 2014 / Cooper 2.0 Cabrio S 2016 &gt; / Cooper 2.0 John Works 2016 &gt; / Cooper 2.0 S Clubman 2016 &gt; / Cooper 2.0 Turbo Countryman S 2017 &gt; / Cooper 2.0 Turbo S 2014 &gt;</t>
  </si>
  <si>
    <t>31206779735</t>
  </si>
  <si>
    <t>AL-296</t>
  </si>
  <si>
    <t>AUDI - A4 2.0 TFSI 2007 &gt; 2014 / A4 3.2 FSI 2007 &gt; 2012 / A4 3.2 FSI Quattro 2009 &gt; 2012 / A4 Avant 1.8 TFSI 2015 &gt; 2016 / A4 Avant 2.0 TFSI 2007 &gt; 2014 / A4 Avant 3.2 FSI 2007 &gt; 2012 / A5 1.8 2015 &gt; / A5 2.0 TFSI 2010 &gt; 2016 / A5 3.2 2009 &gt; 2011 / A6 2.4 1998 &gt; 2003 / A6 2.7 2000 &gt; 2004 / A6 2.8 1995 &gt; 2001 / A6 3.2 2007 &gt; 2008 / A6 4.2 2000 &gt; 2008 / A6 Avant 2.4 1999 &gt; 2003 / A6 Avant 2.7 2000 &gt; 2002 / A6 Avant 2.8 1995 &gt; 2001 / A6 Avant 4.2 2000 &gt; 2006 / A7 2.0 TFSI 2015 &gt; 2016 / A7 3.0 TFSI 2011 &gt; 2016 / A8 3.0 TFSI 2015 &gt; 2016 / A8 4.0 TFSI 2013 &gt; 2016 / A8 4.2 Quattro 2009 &gt; 2013 / A8 6.3 Quattro 2012 &gt; 2016 / Q5 2.0 TFSI Quattro 2013 &gt; 2016 / Q5 3.0 TFSI Quattro 2013 &gt; 2016 / Q5 3.2 FSI Quattro 2009 &gt; 2012 / SQ5 3.0 TFSI Quattro 2014 &gt; 2016</t>
  </si>
  <si>
    <t>4H0498625</t>
  </si>
  <si>
    <t>AL-30</t>
  </si>
  <si>
    <t xml:space="preserve">FORD - Ecosport 2.0 16V Automático/ Mecânico 2003/...; Focus 2.0 - Automatico 2005/2008; Focus 2.0 Mecânico 2000/2003; TOYOTA - Corolla 1.8 16V Automático / Mecânico 2003&gt;; Fielder 1.8 16V Automático/ Macânico 2003&gt;; </t>
  </si>
  <si>
    <t>XS4C3W007BA</t>
  </si>
  <si>
    <t>AL-300</t>
  </si>
  <si>
    <t>MITSUBISHI - ASX - 2.0 4x4 - 2013 &gt; / Outlander - 2.2 4x4 - 2016 &gt; / Outlander - 3.0 4x4 - 2013 &gt; / Outlander - 3.0 4x4 GT - 2013 &gt;</t>
  </si>
  <si>
    <t>AL-301</t>
  </si>
  <si>
    <t>MITSUBISHI - Lancer - 2.0 - 2010 &gt; / Outlander - 2.4 4x2 - 2009 &gt; 2009 / Outlander - 2.4 4x4 - 2009 &gt; 2009 / Outlander - 3.0 4x4 - 2008 &gt; 2009 / Outlander - 3.0 4x4 GT - 2008 &gt; 2009</t>
  </si>
  <si>
    <t>AL-302</t>
  </si>
  <si>
    <t xml:space="preserve">MERCEDES BENZ -  Motor OM-355/362/364 ; </t>
  </si>
  <si>
    <t>AL-303</t>
  </si>
  <si>
    <t>AL-304</t>
  </si>
  <si>
    <t xml:space="preserve">MERCEDES BENZ - Ônibus LPO - 1113 Rebaixado Dir.Hidr. ; </t>
  </si>
  <si>
    <t>AL-305</t>
  </si>
  <si>
    <t>AL-308</t>
  </si>
  <si>
    <t xml:space="preserve">MERCEDES BENZ - 1924  ; 1929  ; 1932  ; 1933  ; 1938  ; Ônibus O-370 ; Ônibus O-371 ; </t>
  </si>
  <si>
    <t>AL-311</t>
  </si>
  <si>
    <t>000.937032000</t>
  </si>
  <si>
    <t>AL-312</t>
  </si>
  <si>
    <t xml:space="preserve">MERCEDES BENZ - 1113  ; 1313  ; 1513 LPO ; </t>
  </si>
  <si>
    <t>000.937035000</t>
  </si>
  <si>
    <t>AL-313</t>
  </si>
  <si>
    <t>MITSUBISHI - ASX - 2.0 4x4 2010 &gt; 2013 / Outlander 2.4 4x2 2009 &gt; 2011 / Outlander 2.4 4x4 2009 &gt; 2011 / Outlander 3.0 4x4 2009 &gt; 2013 / Outlander 3.0 4x4 GT 2009 &gt; 2013</t>
  </si>
  <si>
    <t>3785A009</t>
  </si>
  <si>
    <t>AL-315</t>
  </si>
  <si>
    <t>AL-316</t>
  </si>
  <si>
    <t>AL-317</t>
  </si>
  <si>
    <t>AL-32</t>
  </si>
  <si>
    <t xml:space="preserve">FORD - Corcel Todos Todos; </t>
  </si>
  <si>
    <t>AL-323</t>
  </si>
  <si>
    <t>AL-325</t>
  </si>
  <si>
    <t xml:space="preserve">AUDI - A4 2.0 TFSI 2007 &gt; 2014 / A4 2.0 TFSI 2016 &gt; / A4 3.2 FSI 2007 &gt; 2012 / A4 3.2 FSI Quattro 2009 &gt; 2012 / A4 Avant 1.8 TFSI 2015 &gt; 2016 / A4 Avant 2.0 TFSI 2007 &gt; 2014 / A4 Avant 2.0 TFSI 2017 &gt; / A4 Avant 3.2 FSI 2007 &gt; 2012 / A5 1.8 2015 &gt; / A5 2.0 TFSI 2010 &gt; 2016 / A5 3.2 2009 &gt; 2011 / A6 2.0 TFSI 2015 &gt; 2016 / A6 2.7 2000 &gt; 2004 / A6 3.0 TFSI 2013 &gt; 2016 / A6 3.2 2007 &gt; 2008 / A6 4.2 2000 &gt; 2008 / A6 Avant 2.7 2000 &gt; 2002 / A6 Avant 3.0 TFSI 2013 &gt; 2014 / A6 Avant 4.2 2000 &gt; 2006 / A7 2.0 TFSI 2015 &gt; 2016 / A7 3.0 TFSI 2011 &gt; 2016 / A8 3.0 TFSI 2015 &gt; 2016 / A8 4.0 TFSI 2013 &gt; 2016 / A8 6.0 Quattro 2006 &gt; 2006 / A8 6.3 Quattro 2012 &gt; 2016 / Q5 2.0 TFSI Quattro 2013 &gt; 2016 / Q5 3.0 TFSI Quattro 2013 &gt; 2016 / Q5 3.2 FSI Quattro 2009 &gt; 2012 / SQ5 3.0 TFSI Quattro 2014 &gt; 2016 </t>
  </si>
  <si>
    <t>8K0501611A</t>
  </si>
  <si>
    <t>AL-331</t>
  </si>
  <si>
    <t>BMW - X1 - 2.0 sDrive 18i - 2010 &gt; 2014 / X1 - 2.0 sDrive 20i - 2012 &gt; / X1 - 2.0 xDrive 25i - 2016 &gt; / X1 - 2.0 xDrive 28i - 2012 &gt; 2015 / X1 - 3.0 xDrive 28i - 2010 &gt; 2012</t>
  </si>
  <si>
    <t>CR - SUV</t>
  </si>
  <si>
    <t>31206789508</t>
  </si>
  <si>
    <t>AL-333</t>
  </si>
  <si>
    <t>33406789970</t>
  </si>
  <si>
    <t>AL-334</t>
  </si>
  <si>
    <t>CITROEN - C4 Picasso - 1.6 - 2016 &gt; / C4 Picasso - 2.0 - 2009 &gt; 2014 / Grand C4 Picasso - 1.6 - 2016 &gt; / Grand C4 Picasso - 2.0 - 2007 &gt; 2014 / PEUGEOT - 3008 - 1.6 - 2018 &gt; / 5008 - 1.6 - 2018 &gt;</t>
  </si>
  <si>
    <t>9803736180</t>
  </si>
  <si>
    <t>AL-34</t>
  </si>
  <si>
    <t xml:space="preserve">FORD - Corcel  .../1978; </t>
  </si>
  <si>
    <t>AL-344</t>
  </si>
  <si>
    <t>SUZUKI - S Cross - 1.4 Turbo - 2017 &gt; / S Cross - 1.6 - 2017 &gt; / Swift - 1.6 Sport - 2015 &gt; / Swift - 1.6 Sport R - 2015 &gt; / SX4 - 1.6 - 2015 &gt; 2016 / SX4 - 2.0 - 2015 &gt; 2016</t>
  </si>
  <si>
    <t>AL-345</t>
  </si>
  <si>
    <t xml:space="preserve">MERCEDES BENZ - 1113 Motor OM-362 ; 1313 Motor OM-362 ; 2013  ; 2213  ; 2214  ; 2217  ; </t>
  </si>
  <si>
    <t>AL-346</t>
  </si>
  <si>
    <t xml:space="preserve">MERCEDES BENZ - 1318 Motor OM-355 ; 2219 Motor OM-355 ; 2220 Motor OM-355 ; </t>
  </si>
  <si>
    <t>AL-347</t>
  </si>
  <si>
    <t xml:space="preserve">MERCEDES BENZ -  Motor OM-355/ OM-364 (antigo) ; </t>
  </si>
  <si>
    <t>AL-35</t>
  </si>
  <si>
    <t>DIREÇÃO</t>
  </si>
  <si>
    <t xml:space="preserve">FORD - Belina  .../1978; Corcel  .../1978; </t>
  </si>
  <si>
    <t>CORCEL/BELINA</t>
  </si>
  <si>
    <t>AL-350</t>
  </si>
  <si>
    <t xml:space="preserve">MERCEDES BENZ -  Motor OM-355/364 ; </t>
  </si>
  <si>
    <t>AL-353</t>
  </si>
  <si>
    <t xml:space="preserve">MERCEDES BENZ - 1113 s/ Direção Hidráulica ; </t>
  </si>
  <si>
    <t>AL-354</t>
  </si>
  <si>
    <t xml:space="preserve">MERCEDES BENZ - 608D c/ Fricção Hidráulica ; 708D c/ Fricção Hidráulica ; </t>
  </si>
  <si>
    <t>AL-355</t>
  </si>
  <si>
    <t xml:space="preserve">MERCEDES BENZ -  Todos c/Direção Hidráulica ; </t>
  </si>
  <si>
    <t>AL-356</t>
  </si>
  <si>
    <t>AL-357</t>
  </si>
  <si>
    <t>AL-359</t>
  </si>
  <si>
    <t xml:space="preserve">MERCEDES BENZ - 608D Moderno ; 708D Moderno ; </t>
  </si>
  <si>
    <t>AL-36</t>
  </si>
  <si>
    <t xml:space="preserve">FORD - Courier todos 1994&gt;2001; Mondeo s/ABS 1994&gt;2001; </t>
  </si>
  <si>
    <t>97FB2C299-AA</t>
  </si>
  <si>
    <t>AL-362</t>
  </si>
  <si>
    <t xml:space="preserve">MERCEDES BENZ -  Motor OM-355/ OM-364 ; </t>
  </si>
  <si>
    <t>AL-363</t>
  </si>
  <si>
    <t>6313340401</t>
  </si>
  <si>
    <t>AL-364</t>
  </si>
  <si>
    <t xml:space="preserve">MERCEDES BENZ - Sprinter 311/ 313 &lt;2011; </t>
  </si>
  <si>
    <t>AL-368</t>
  </si>
  <si>
    <t>COROA E PINHÃO</t>
  </si>
  <si>
    <t xml:space="preserve">HYUNDAI - HR  ; HR Pick-Up ; </t>
  </si>
  <si>
    <t>532104F 500</t>
  </si>
  <si>
    <t>AL-375</t>
  </si>
  <si>
    <t>VOLVO - XC40 - 2.0 - 2018 &gt;</t>
  </si>
  <si>
    <t>32221263</t>
  </si>
  <si>
    <t>AL-376</t>
  </si>
  <si>
    <t>BMW - X3 - 2.0 xDrive 20i - 2012 &gt; / X3 - 2.0 xDrive 28i - 2013 &gt; 2016 / X3 - 3.0 xDrive 28i - 2011 &gt; 2012 / X3 - 3.0 xDrive 35i - 2011 &gt; / X4 - 2.0 xDrive 28i - 2015 &gt; / X4 - 3.0 xDrive 35i - 2015 &gt;</t>
  </si>
  <si>
    <t>31206777757</t>
  </si>
  <si>
    <t>AL-38</t>
  </si>
  <si>
    <t xml:space="preserve">FORD - Ranger 4x4 1998/2003; </t>
  </si>
  <si>
    <t>TZ - Pickup</t>
  </si>
  <si>
    <t>F87A-3W007-A</t>
  </si>
  <si>
    <t>AL-381</t>
  </si>
  <si>
    <t>NISSAN - Sentra 2.0 2014 &gt;</t>
  </si>
  <si>
    <t>402023SH0A</t>
  </si>
  <si>
    <t>AL-382</t>
  </si>
  <si>
    <t>AL-385</t>
  </si>
  <si>
    <t>SUBARU - Forester 2.0 Turbo 2003 &gt; 2008 / Forester XT 2.5 Turbo 2006 &gt; 2008 / Imprenza 1.5 2008 &gt; 2009 / Imprenza 2.0 2008 &gt; 2016 / Imprenza 2.5 2006 &gt; 2016 / Legacy 2.0 2010 &gt; 2011 / Legacy 2.5 2010 &gt; 2014 / Legacy</t>
  </si>
  <si>
    <t>SUBARU</t>
  </si>
  <si>
    <t>28373-FG000</t>
  </si>
  <si>
    <t>AL-386</t>
  </si>
  <si>
    <t>SUBARU - Forester 2.0 Turbo 2003 &gt; 2008 / Forester XT 2.5 Turbo 2006 &gt; 2018 / Imprenza 1.5 2008 &gt; 2009 / Imprenza 2.0 2008 &gt; 2016 / Imprenza 2.5 2006 &gt; 2016 / Legacy 2.0 2010 &gt; 2011 / Legacy 2.5 2010 &gt; 2014 / Legacy</t>
  </si>
  <si>
    <t>28473-FG000</t>
  </si>
  <si>
    <t>AL-394</t>
  </si>
  <si>
    <t>TOYOTA - RAV4 - 2.0 4x2 - 2006 &gt; 2015 / RAV4 - 2.0 4x4 - 2006 &gt; 2015 / RAV4 - 2.4 4x2 - 2006 &gt; 2012 / RAV4 - 2.4 4x4 - 2006 &gt; 2012</t>
  </si>
  <si>
    <t>4355042010</t>
  </si>
  <si>
    <t>AL-395</t>
  </si>
  <si>
    <t>TOYOTA - LEXUS NX200T - 2.0 - 2015 &gt; / NX200T - 2.0 Sport - 2015 &gt; / RAV4 - 2.0 4x2 - 2006 &gt; 2015 / RAV4 - 2.4 4x2 - 2006 &gt; 2012</t>
  </si>
  <si>
    <t xml:space="preserve">	4245042040</t>
  </si>
  <si>
    <t>AL-40</t>
  </si>
  <si>
    <t xml:space="preserve">FORD - Ranger 4x4 s/ABS (roda Livre) &lt; 2000; </t>
  </si>
  <si>
    <t>F87Z 1104-BB</t>
  </si>
  <si>
    <t>AL-400</t>
  </si>
  <si>
    <t xml:space="preserve">FORD - Cargo 814 Cummins 1993/1998; Cargo 815 Cummins 1993/1998; F1000 Cummins 1993/1998; F1000 Cummins 1993/1998; F4000 Cummins 1993/1998; VOLKSWAGEN - 12.140T  1997/...; 13.150  ; 13.150  1997/...; 7.100  ; 7.100  1984/...; 8.100  ; 8.100  1984/...; 8.120  ; 8.120  1997/...; 8.140  1984/...; 8.150  ; 8.150  1997/...; 9.150  ; 9.150  1997/...; L80  ; L80  1984/...; </t>
  </si>
  <si>
    <t>GE - Pesada</t>
  </si>
  <si>
    <t>TPH 141857</t>
  </si>
  <si>
    <t>AL-4000</t>
  </si>
  <si>
    <t>VW - Bora/ Golf/ Passat - 2.5 Automático 2004 &gt;;</t>
  </si>
  <si>
    <t>AL-4001</t>
  </si>
  <si>
    <t>MITSUBISHI - Outlander 4X4 2.0/3.0 - 2010 &gt;;</t>
  </si>
  <si>
    <t>TZ - Suv</t>
  </si>
  <si>
    <t>AL-4002</t>
  </si>
  <si>
    <t>FIAT - Toro Volcano/ Hikux; JEEP - Compass/ Renegade - Manual/Automático 2016&gt;;</t>
  </si>
  <si>
    <t>AL-4003</t>
  </si>
  <si>
    <t>RENAULT - Kwid 1.0 3CC LD/LE - 2018&gt;;</t>
  </si>
  <si>
    <t>AL-4004</t>
  </si>
  <si>
    <t>HONDA - Fit 1.5 16V 2014; WRV 1.5 16V 2018&gt;;</t>
  </si>
  <si>
    <t>AL-4005</t>
  </si>
  <si>
    <t>NISSAN - Kicks 1.6 16V - 2017&gt;;</t>
  </si>
  <si>
    <t>AL-4006</t>
  </si>
  <si>
    <t>HYUNDAI - Vera Cruz/ Edge/ Optima/ Sorento/ Airtrek/ Outlander</t>
  </si>
  <si>
    <t>AL-4007</t>
  </si>
  <si>
    <t>AL-4008</t>
  </si>
  <si>
    <t>HYUNDAI - Creta 2.0 Automático LE 2017&gt;2019; Creta Automático LD/LE - 2019&gt;;</t>
  </si>
  <si>
    <t>AL-4009</t>
  </si>
  <si>
    <t>RENAULT - Fluence/ Lancer 2.0 - 2010&gt;;</t>
  </si>
  <si>
    <t>AL-401</t>
  </si>
  <si>
    <t xml:space="preserve">FORD - Cargo  1985/1991; Cargo 12/40 Ton ; Cargo 12/40 Tons 1985/1991; Cargo 1215  .../1997; Cargo 1217  .../1997; Cargo 1415  .../1997; Cargo 1417  .../1997; Cargo 1617  .../1997; Ônibus B1618 ; Ônibus B1621 ; SCANIA - LK  ; LKS  ; LKT141  ; VOLKSWAGEN - 14.150  1991/1997; 14.200  1991/1994; 14.220  1991/1994; 16.170  1991/1997; 16.220  1991/1999; 16.220 Leito 1991/1999; 16.300  1991/1999; 16.360  1995/1999; 17.300  1991/1999; 24.220  1991/1999; 24.250  1964/1992; 24.250  92/64; 35.300  1991/1999; 35.300 Leito 1991/1999; 40.300  1995/1999; </t>
  </si>
  <si>
    <t>TJG 141861</t>
  </si>
  <si>
    <t>AL-4010</t>
  </si>
  <si>
    <t>HYUNDAI - Tucson 2.0 16V LD - 2010&gt;;</t>
  </si>
  <si>
    <t>AL-4011</t>
  </si>
  <si>
    <t>HYUNDAI - Creta 2.0 LD - 2017&gt;;</t>
  </si>
  <si>
    <t>AL-4012</t>
  </si>
  <si>
    <t>NISSAN - Frontier/ Xterra 2.8 -2003&gt;/ RENAULT - Master 2.5 - 2005&gt;;</t>
  </si>
  <si>
    <t>AL-4013</t>
  </si>
  <si>
    <t>CHERY - Tiggo 2.0 16V manual - 2009&gt;;</t>
  </si>
  <si>
    <t>AL-4014</t>
  </si>
  <si>
    <t>SSANGYONG - Actyon/ Kyron/ Rexton 4X4 2.0 - 2007&gt;;</t>
  </si>
  <si>
    <t>SSANGYONG</t>
  </si>
  <si>
    <t>AL-4015</t>
  </si>
  <si>
    <t>KIA - Picanto 1.0 3CC - 2013&gt;;</t>
  </si>
  <si>
    <t>AL-4016</t>
  </si>
  <si>
    <t>TOYOTA - Hilux SW4 3.0 4X4 - 1997&gt;2005; Land Cruiser Prado 3.0 4X4 - 2009 &gt; 2012;</t>
  </si>
  <si>
    <t>AL-4017</t>
  </si>
  <si>
    <t>TOYOTA - RAV4 2.5 - 2013 &gt; 2015</t>
  </si>
  <si>
    <t>AL-4018</t>
  </si>
  <si>
    <t>RENAULT - Megane Grand Tour 2.0 16V - 2007 &gt; 2013;</t>
  </si>
  <si>
    <t>AL-4019</t>
  </si>
  <si>
    <t>CHERY - QQ 1.0/1.1 16v - 2011 &gt;;;</t>
  </si>
  <si>
    <t>AL-402</t>
  </si>
  <si>
    <t xml:space="preserve">FORD - F12000  1999/...; F14000  1999/...; F16000  1999/...; VOLKSWAGEN - 12.170BT  ; 12.180  ; 13.170  ; 13.180  ; 14.150  ; 14.170BT  ; 14.180  ; 14.220  ; 15.170  ; 15.180  ; 16.170  ; 16.200  ; 16.220  ; 16.300  ; 17.210  ; 17.220  ; 17.240OT  ; 17.300  ; 17.310  ; 18.310  ; 24.220  ; 24.250  ; 26.300  ; 26.310  ; 35.300  ; 40.300  ; </t>
  </si>
  <si>
    <t>XC357541.AA</t>
  </si>
  <si>
    <t>AL-4020</t>
  </si>
  <si>
    <t>CHERY - CELER 1.5 16V - 2013 &gt; ... / J5 1.5 16V - 2011 &gt; ...</t>
  </si>
  <si>
    <t>AL-4021</t>
  </si>
  <si>
    <t>HYUNDAI - SANTA FÉ 2.7 V6 4x4 ABS - 2005 &gt; 2010</t>
  </si>
  <si>
    <t>AL-4022</t>
  </si>
  <si>
    <t>EFFA - M100 1.0 8v - 2006 &gt; 2012</t>
  </si>
  <si>
    <t>EFFA</t>
  </si>
  <si>
    <t>AL-4023</t>
  </si>
  <si>
    <t xml:space="preserve">EFFA - 320 1.3 - 2011 &gt; </t>
  </si>
  <si>
    <t>AL-4024</t>
  </si>
  <si>
    <t>SUBARU - WRX 2.5 MANUAL - 2013 &gt; ...</t>
  </si>
  <si>
    <t>AL-4025</t>
  </si>
  <si>
    <t>MERCEDES BENZ - CLASSE A 160 / 190 - 1997 &gt; ... / FORTWO 1.0 T - 1999 &gt; ...</t>
  </si>
  <si>
    <t>AL-4026</t>
  </si>
  <si>
    <t>LADA - NIVA 1.6 4x4 - 1991 &gt; 1999</t>
  </si>
  <si>
    <t>LADA</t>
  </si>
  <si>
    <t>AL-4028</t>
  </si>
  <si>
    <t>CUBO</t>
  </si>
  <si>
    <t>TOYOTA - YARIS 1.3/1.5 Lado Direito - 2018 &gt; ...</t>
  </si>
  <si>
    <t>CR - Pesada</t>
  </si>
  <si>
    <t>435500D161</t>
  </si>
  <si>
    <t>AL-4029</t>
  </si>
  <si>
    <t>TOYOTA - YARIS 1.3/1.5 Lado Esquerdo - 2018 &gt; ...</t>
  </si>
  <si>
    <t>435600D111</t>
  </si>
  <si>
    <t>AL-403</t>
  </si>
  <si>
    <t xml:space="preserve">FORD - Cargo Motor 8.3 Série C 1998/...; </t>
  </si>
  <si>
    <t>BG1X-7544-AA</t>
  </si>
  <si>
    <t>AL-4030</t>
  </si>
  <si>
    <t>TOYOTA - YARIS 1.3/1.5 - 2018 &gt; ...</t>
  </si>
  <si>
    <t>424500D201</t>
  </si>
  <si>
    <t>AL-4037</t>
  </si>
  <si>
    <t>BMW - 116i 1.6 - 2012 &gt; 2015</t>
  </si>
  <si>
    <t>AL-4038</t>
  </si>
  <si>
    <t>CHEVROLET - Onix 1.0 Turbo Plus - 2020 &gt;</t>
  </si>
  <si>
    <t>AL-4039</t>
  </si>
  <si>
    <t>CHEVROLET - Cruze 1.4 Turbo - 2017 &gt;</t>
  </si>
  <si>
    <t>AL-404</t>
  </si>
  <si>
    <t xml:space="preserve">VOLKSWAGEN - 11.130 Motor MWM ; 11.130 MWM .../1991; 11.140 Motor MWM ; 11.140 MWM .../1991; 12.140 Motor MWM ; 12.140 MWM .../1991; 13.130 Motor MWM ; 13.130 MWM .../1991; 14.140 Motor MWM ; 14.140 MWM .../1991; 6.90 Motor MWM .../1991; 6.90 MWM .../1991; 7.110 Motor MWM ; 7.110 MWM .../1991; 7.90 Motor MWM ; 7.90 MWM .../1991; </t>
  </si>
  <si>
    <t>AL-4040</t>
  </si>
  <si>
    <t>AL-4041</t>
  </si>
  <si>
    <t>HONDA - CRV 2.0 4x2 - 2012 &gt;</t>
  </si>
  <si>
    <t>42200T0B951</t>
  </si>
  <si>
    <t>AL-4042</t>
  </si>
  <si>
    <t>HONDA - WRV 1.5 - 2017 &gt;</t>
  </si>
  <si>
    <t>42200TD4J51</t>
  </si>
  <si>
    <t>AL-4043</t>
  </si>
  <si>
    <t>AL-4044</t>
  </si>
  <si>
    <t>BMW - X3 Xdrive 2.0 / 3.0 - 2012 &gt;</t>
  </si>
  <si>
    <t>AL-4045</t>
  </si>
  <si>
    <t>MERCEDES BENZ - Sprinter 415 / 515 - 2012 &gt; 2019</t>
  </si>
  <si>
    <t>A9023340001</t>
  </si>
  <si>
    <t>AL-4046</t>
  </si>
  <si>
    <t>CHEVROLET - Equinox 2.0 Turbo - 2018 &gt;</t>
  </si>
  <si>
    <t>AL-4047</t>
  </si>
  <si>
    <t>JEEP - Compass 2.0 - 2012 &gt; 2016</t>
  </si>
  <si>
    <t>68088498AD</t>
  </si>
  <si>
    <t>AL-4048</t>
  </si>
  <si>
    <t xml:space="preserve">CHEVROLET - S10 2.5 / Trailblazer 2.8 4x2 / 4x4 - 2012 &gt; 2016 </t>
  </si>
  <si>
    <t>AL-405</t>
  </si>
  <si>
    <t xml:space="preserve">HYUNDAI - H100  2000&gt;; </t>
  </si>
  <si>
    <t>AL-406</t>
  </si>
  <si>
    <t xml:space="preserve">TOYOTA - Bandeirante  ; </t>
  </si>
  <si>
    <t>GE - Pickup</t>
  </si>
  <si>
    <t>AL-407</t>
  </si>
  <si>
    <t xml:space="preserve">AGRALE - Vollare Micro - Ônibus ; </t>
  </si>
  <si>
    <t>AGRALE</t>
  </si>
  <si>
    <t>60070033160006</t>
  </si>
  <si>
    <t>AL-408</t>
  </si>
  <si>
    <t xml:space="preserve">CHEVROLET / GM - Trafic  1995&gt;; RENAULT - Trafic  ; </t>
  </si>
  <si>
    <t>GE - Utilitario</t>
  </si>
  <si>
    <t>AL-409</t>
  </si>
  <si>
    <t xml:space="preserve">HYUNDAI - HR  2005/...; </t>
  </si>
  <si>
    <t>414134A000</t>
  </si>
  <si>
    <t>AL-41</t>
  </si>
  <si>
    <t xml:space="preserve">FORD - Ranger 4x4 s/ABS 2001 &gt; 2012; </t>
  </si>
  <si>
    <t>YL5Z 1104-BA</t>
  </si>
  <si>
    <t>AL-410</t>
  </si>
  <si>
    <t xml:space="preserve">TOYOTA - Hilux SW 2.8 1988/2001; Hilux SW 3.0 2001/2005; </t>
  </si>
  <si>
    <t>AL-411</t>
  </si>
  <si>
    <t xml:space="preserve">TOYOTA - Hilux 2.7 1988/2004; </t>
  </si>
  <si>
    <t>3120420071</t>
  </si>
  <si>
    <t>AL-412</t>
  </si>
  <si>
    <t xml:space="preserve">TOYOTA - Hilux 3.0 Turbo Diesel 2001/2005; </t>
  </si>
  <si>
    <t>3120460090</t>
  </si>
  <si>
    <t>AL-413</t>
  </si>
  <si>
    <t xml:space="preserve">FIAT - Doblo 1.6 / 16V 2004&gt;2005; Grand Siena 1.4 / 8V 2012&gt;; Novo Palio 1.4 / 8V 2012&gt;; Novo Uno 1.4 / 8V fase 1 2015&gt;; Palio 6M 1.0 /  8V 1999&gt;2000; Palio Essence 1.6 / 16V eTorq 2013&gt;; Palio Weekend 6M 1.0/ 8V 1999&gt;2000; Siena 6M - 1.0 / 8V 1999&gt;2000; </t>
  </si>
  <si>
    <t>55250936</t>
  </si>
  <si>
    <t>AL-414</t>
  </si>
  <si>
    <t>LUVA CARDAN</t>
  </si>
  <si>
    <t xml:space="preserve">HYUNDAI - H100  1993&gt;2004; HR  2005&gt;2012; </t>
  </si>
  <si>
    <t>49120 4F100</t>
  </si>
  <si>
    <t>AL-415</t>
  </si>
  <si>
    <t>JAC - J2 1.4 16V 2012&gt;</t>
  </si>
  <si>
    <t>2901520U9080</t>
  </si>
  <si>
    <t>AL-416</t>
  </si>
  <si>
    <t xml:space="preserve">JAC - J2 1.4 16V 2012&gt; c/ABS; </t>
  </si>
  <si>
    <t>2911400U9080</t>
  </si>
  <si>
    <t>AL-417</t>
  </si>
  <si>
    <t>JAC - J3 1.4/1.5 16V 2011&gt;; J3 1.4/1.5 16V TURIN 2011&gt;;</t>
  </si>
  <si>
    <t>2901510U810</t>
  </si>
  <si>
    <t>AL-418</t>
  </si>
  <si>
    <t>JAC - J3 1.4/1.5 16V c/ABS2011&gt;; J3 1.4/1.5 16V TURIN c/ABS 2011&gt;;</t>
  </si>
  <si>
    <t>2911510U8010</t>
  </si>
  <si>
    <t>AL-419</t>
  </si>
  <si>
    <t>JAC - J5 1.5 16V 2011 &gt;; J6 2.0 16V 2011 &gt;;</t>
  </si>
  <si>
    <t>3103110U2011XZ</t>
  </si>
  <si>
    <t>AL-42</t>
  </si>
  <si>
    <t xml:space="preserve">FORD - F4000 4x2 11/1998&gt;2012; </t>
  </si>
  <si>
    <t>3C35.2B669-AA</t>
  </si>
  <si>
    <t>AL-420</t>
  </si>
  <si>
    <t>JAC - J5 1.5 16V c/ABS 2011 &gt;; J6 - 2.0 16V c/ABS - 2011 &gt;;</t>
  </si>
  <si>
    <t>3104110U2011XZ</t>
  </si>
  <si>
    <t>AL-421</t>
  </si>
  <si>
    <t>JAC - T5 1.5 16V - JETFLEX - 2016&gt;</t>
  </si>
  <si>
    <t>3103110U2210</t>
  </si>
  <si>
    <t>AL-422</t>
  </si>
  <si>
    <t>JAC - T5 1.5 16V JETFLEX c/ABS 2016 &gt;;</t>
  </si>
  <si>
    <t>3104100U2210</t>
  </si>
  <si>
    <t>AL-424</t>
  </si>
  <si>
    <t>EMBUCHAMENTO</t>
  </si>
  <si>
    <t>VW - Kombi</t>
  </si>
  <si>
    <t>EM - Utilitario</t>
  </si>
  <si>
    <t>211498171-1</t>
  </si>
  <si>
    <t>AL-425</t>
  </si>
  <si>
    <t>PEUGEOT - 206 1.0/1.4 8V Mecanico 2002 &gt; 2008; CITROEN - C3 1.4 8V Automatico 2008 &gt;; NISSAN - March 1.6 16V Mecanico 2012 &gt;;</t>
  </si>
  <si>
    <t>AL-426</t>
  </si>
  <si>
    <t>TOYOTA - Corolla - 1.8 - 2015 &gt;</t>
  </si>
  <si>
    <t>AL-427</t>
  </si>
  <si>
    <t>KOMBI</t>
  </si>
  <si>
    <t>AL-428</t>
  </si>
  <si>
    <t xml:space="preserve">VW - Fusca/ Sedan 1200 1300; </t>
  </si>
  <si>
    <t>FUSCA</t>
  </si>
  <si>
    <t>AL-43</t>
  </si>
  <si>
    <t xml:space="preserve">FORD - Belina  Todos; Corcel II Todos; Del Rey  Todos; Pampa  Todos; </t>
  </si>
  <si>
    <t>AL-437</t>
  </si>
  <si>
    <t>FORD - Ranger 2.2/3.2 4x2 2012 &gt;;</t>
  </si>
  <si>
    <t>BAB31-1106-CF</t>
  </si>
  <si>
    <t>AL-438</t>
  </si>
  <si>
    <t xml:space="preserve">TOYOTA - Etios 1.3 / 1.5 - 2012&gt;; </t>
  </si>
  <si>
    <t>31204 52050</t>
  </si>
  <si>
    <t>AL-44</t>
  </si>
  <si>
    <t xml:space="preserve">FORD - Courier c/ABS 1994 &gt; 2001; Mondeo c/ABS 1994 &gt; 2001; </t>
  </si>
  <si>
    <t>97FB2C299-BA</t>
  </si>
  <si>
    <t>AL-441</t>
  </si>
  <si>
    <t xml:space="preserve">VW - Kombi 1967 &gt;; </t>
  </si>
  <si>
    <t>DV - Utilitario</t>
  </si>
  <si>
    <t>211415371</t>
  </si>
  <si>
    <t>AL-442</t>
  </si>
  <si>
    <t>MITSUBISHI - ASX 2.0 16V 4x2 2010&gt;; Outlander 2.4 16V 2010&gt;; Lancer 4x2 2010&gt;;</t>
  </si>
  <si>
    <t>3880A018</t>
  </si>
  <si>
    <t>AL-443</t>
  </si>
  <si>
    <t>MITSUBISHI - ASX 2.0 16V 4x2 2014&gt;; Outlander 2.4 16V 2014&gt;; Lancer 4x2 2014&gt;;</t>
  </si>
  <si>
    <t>3785A063</t>
  </si>
  <si>
    <t>AL-444</t>
  </si>
  <si>
    <t xml:space="preserve">TOYOTA - Corolla 2.0 16V - Automático - 2015&gt;; </t>
  </si>
  <si>
    <t>AL-445</t>
  </si>
  <si>
    <t>JAC - J3</t>
  </si>
  <si>
    <t>J3</t>
  </si>
  <si>
    <t>AL-446</t>
  </si>
  <si>
    <t>NISSAN - Frontier 2002 &gt; 2007;</t>
  </si>
  <si>
    <t>AL-447</t>
  </si>
  <si>
    <t>FIAT - Mobi - 2017 &gt; / Palio - 2012 &gt; / Uno/Uno Furgoneta - 2011 &gt; / c/ e s/ ABS</t>
  </si>
  <si>
    <t>51840649</t>
  </si>
  <si>
    <t>AL-448</t>
  </si>
  <si>
    <t xml:space="preserve">RENAULT - Master 2.3 2013 &gt;; </t>
  </si>
  <si>
    <t>AL-449</t>
  </si>
  <si>
    <t xml:space="preserve">CHEVROLET / GM - Captiva 3.6 V6 ; </t>
  </si>
  <si>
    <t>CAPTIVA</t>
  </si>
  <si>
    <t>AL-45</t>
  </si>
  <si>
    <t xml:space="preserve">FORD - Mondeo todos 2002 &gt;; </t>
  </si>
  <si>
    <t>1S7W-1104-AA</t>
  </si>
  <si>
    <t>AL-450</t>
  </si>
  <si>
    <t xml:space="preserve">FORD - Fusion 2.5 - 4 Cilindros 02.02.2009/...; </t>
  </si>
  <si>
    <t>FUSION-2.5/4cc</t>
  </si>
  <si>
    <t>AL-451</t>
  </si>
  <si>
    <t xml:space="preserve">VOLKSWAGEN - Bora Automático 2004/...; Golf Automático 2004/...; Jetta Automático 2004/...; New Beetle  ; Passat Alemão Automático 2004/...; </t>
  </si>
  <si>
    <t>JETTA-2.5/BORA</t>
  </si>
  <si>
    <t>AL-452</t>
  </si>
  <si>
    <t xml:space="preserve">FORD - Ecosport 4x2 - c/ ABS 2003/...; Fiesta Hatch c/ Abs 2002/...; Fiesta Sedan c/ Abs 2002/...; Focus Hatch / Sedan - c/ Abs - c/ Tambor Freio Traseiro - Ano 2000 &gt; 08.2008 2000/08.2008; </t>
  </si>
  <si>
    <t>98AB 4A492 AB</t>
  </si>
  <si>
    <t>AL-453</t>
  </si>
  <si>
    <t>SELO</t>
  </si>
  <si>
    <t xml:space="preserve">CHEVROLET / GM - Kadett  ; Monza  ; Rural Willys  ; </t>
  </si>
  <si>
    <t>Selos - Leve</t>
  </si>
  <si>
    <t>N0119043</t>
  </si>
  <si>
    <t>AL-454</t>
  </si>
  <si>
    <t xml:space="preserve">FIAT -  1.6 8V/16V ; </t>
  </si>
  <si>
    <t>AL-456</t>
  </si>
  <si>
    <t xml:space="preserve">MWM  ; </t>
  </si>
  <si>
    <t>Selos - Pesada</t>
  </si>
  <si>
    <t>AL-457</t>
  </si>
  <si>
    <t>18,20 mm</t>
  </si>
  <si>
    <t>AL-458</t>
  </si>
  <si>
    <t xml:space="preserve">Motor L-200 1996 &gt; 2006; </t>
  </si>
  <si>
    <t>Selos - Pickup</t>
  </si>
  <si>
    <t>7604289</t>
  </si>
  <si>
    <t>AL-459</t>
  </si>
  <si>
    <t xml:space="preserve">Motor Perkins ; </t>
  </si>
  <si>
    <t>AL-46</t>
  </si>
  <si>
    <t xml:space="preserve">FORD - Explorer 4x4 c/ABS 1995 &gt; 2000; Ranger 4x4 c/ABS 2005 &gt; 2011; </t>
  </si>
  <si>
    <t>6L5Z-1104 B</t>
  </si>
  <si>
    <t>AL-460</t>
  </si>
  <si>
    <t>AL-461</t>
  </si>
  <si>
    <t xml:space="preserve">FORD - 6600 Trator ; </t>
  </si>
  <si>
    <t>AL-462</t>
  </si>
  <si>
    <t xml:space="preserve">VOLKSWAGEN - Passat  ; </t>
  </si>
  <si>
    <t>N0119071</t>
  </si>
  <si>
    <t>AL-463</t>
  </si>
  <si>
    <t xml:space="preserve">CHEVROLET / GM - Chevette  ; </t>
  </si>
  <si>
    <t>AL-464</t>
  </si>
  <si>
    <t>N0119142</t>
  </si>
  <si>
    <t>AL-465</t>
  </si>
  <si>
    <t xml:space="preserve">Bloco D - 10/20 ;  PKS. Q - 208 ; </t>
  </si>
  <si>
    <t>AL-466</t>
  </si>
  <si>
    <t xml:space="preserve">Motor CHT ;  Motor MWM ; </t>
  </si>
  <si>
    <t>AL-467</t>
  </si>
  <si>
    <t xml:space="preserve">CHEVROLET / GM - Chevette  ;  Cabeçote Mitsubishi L-200 1996 &gt; 2006; </t>
  </si>
  <si>
    <t>02537723</t>
  </si>
  <si>
    <t>AL-468</t>
  </si>
  <si>
    <t xml:space="preserve">VOLKSWAGEN - Fusca Ar ; Kombi Ar ; </t>
  </si>
  <si>
    <t>N0119191</t>
  </si>
  <si>
    <t>AL-469</t>
  </si>
  <si>
    <t xml:space="preserve">VOLKSWAGEN - Passat  1985 &gt;; </t>
  </si>
  <si>
    <t>N0119192</t>
  </si>
  <si>
    <t>AL-47</t>
  </si>
  <si>
    <t xml:space="preserve">FORD - F250 4x4 c/ABS 2006 &gt;; </t>
  </si>
  <si>
    <t>3C3Z 1104 BA</t>
  </si>
  <si>
    <t>AL-470</t>
  </si>
  <si>
    <t>05910311</t>
  </si>
  <si>
    <t>AL-471</t>
  </si>
  <si>
    <t xml:space="preserve">FIAT -  Fire ; </t>
  </si>
  <si>
    <t>AL-472</t>
  </si>
  <si>
    <t>AL-473</t>
  </si>
  <si>
    <t xml:space="preserve">CHEVROLET / GM - Opala  ; </t>
  </si>
  <si>
    <t>AL-474</t>
  </si>
  <si>
    <t>FIAT - Todos</t>
  </si>
  <si>
    <t>7688978</t>
  </si>
  <si>
    <t>AL-475</t>
  </si>
  <si>
    <t>52,40 mm</t>
  </si>
  <si>
    <t>AL-476</t>
  </si>
  <si>
    <t>38,40 mm</t>
  </si>
  <si>
    <t>AL-477</t>
  </si>
  <si>
    <t>35,20 mm</t>
  </si>
  <si>
    <t>AL-478</t>
  </si>
  <si>
    <t>23,10 mm</t>
  </si>
  <si>
    <t>AL-479</t>
  </si>
  <si>
    <t>21,10 mm</t>
  </si>
  <si>
    <t>AL-48</t>
  </si>
  <si>
    <t xml:space="preserve">FORD - Explorer 4x4 c/ABS 2004 &gt; 2005; </t>
  </si>
  <si>
    <t>4L2Z 1104 AA</t>
  </si>
  <si>
    <t>AL-481</t>
  </si>
  <si>
    <t>JEEP - Compass - 2.0 16V - 4x2 - Flex/Diesel - Limited/ Longitude/ Sport - c/ABS - 2017 &gt;; Compass - 2.0 16V - 4x4 - Flex/Diesel - Limited/ Longitude/ Sport - c/ABS - 2017 &gt; Diant/Tras; Renegade - 1.8/2.0 - 4x4  - Limited/ Longitude/ Sport - c/ABS - 2016 &gt; Diant/Tras; Renegade - 1.8/2.0 - 4x2 - Limited/ Longitude/ Sport - c/ABS - 2016 &gt;; FIAT -  Toro - 1.8/2.0/2.4 - 4x2 c/ABS - 2016 &gt;   Toro - 2.0 - 4x4 - c/ABS - 2016 &gt; Diant/Tras</t>
  </si>
  <si>
    <t>53400367</t>
  </si>
  <si>
    <t>AL-482</t>
  </si>
  <si>
    <t>55,80 mm</t>
  </si>
  <si>
    <t>AL-483</t>
  </si>
  <si>
    <t>17,70 mm</t>
  </si>
  <si>
    <t>AL-484</t>
  </si>
  <si>
    <t xml:space="preserve">HONDA - HRV 1.8 /  16V 2015 &gt;; </t>
  </si>
  <si>
    <t>44600 T7T M00</t>
  </si>
  <si>
    <t>AL-485</t>
  </si>
  <si>
    <t>HONDA - HRV 1.8 16V c/ABS 2015 &gt;;</t>
  </si>
  <si>
    <t>42200 T7AJ 51</t>
  </si>
  <si>
    <t>AL-486</t>
  </si>
  <si>
    <t>FORD – FOCUS 1.6 16V 2015 &gt;;</t>
  </si>
  <si>
    <t>AV6Z 1104A</t>
  </si>
  <si>
    <t>AL-489</t>
  </si>
  <si>
    <t>NISSAN - Frontier 2.5 4x4 2008 &gt;;</t>
  </si>
  <si>
    <t>AL-49</t>
  </si>
  <si>
    <t xml:space="preserve">FORD - Fusion 4X2  -  4X4  (UTILIZA O MESMO CUBO NAS  4 RODAS) &lt; 2012; </t>
  </si>
  <si>
    <t>6E5Z 1104 AB</t>
  </si>
  <si>
    <t>AL-490</t>
  </si>
  <si>
    <t>NISSAN - Frontier 2.5 4x2 2008 &gt;;</t>
  </si>
  <si>
    <t>AL-491</t>
  </si>
  <si>
    <t>FIAT - Freemont - 2.4 16V - c/ABS 2012&gt;; DODGE - Journey - 2.7 - 24V V6 - c/ABS - 2009 &gt;</t>
  </si>
  <si>
    <t>FIAT/DODGE</t>
  </si>
  <si>
    <t>K04779797AA</t>
  </si>
  <si>
    <t>AL-492</t>
  </si>
  <si>
    <t>FIAT - Freemont - 2.4 16V - c/ABS - 2012&gt;. DODGE - Journey - 2.7 - 24V V6 - c/ABS - 2009 &gt;</t>
  </si>
  <si>
    <t>K68184748AA</t>
  </si>
  <si>
    <t>AL-493</t>
  </si>
  <si>
    <t>FORD - Ecosport - 1.6/2.0 - 4x2 - 2012 &gt;</t>
  </si>
  <si>
    <t>ACP1 2C299 A2D</t>
  </si>
  <si>
    <t>AL-494</t>
  </si>
  <si>
    <t>BMW - Mini Cooper 1.5/1.6/2.0 2016 &gt;;</t>
  </si>
  <si>
    <t>KOYO 68679/68595</t>
  </si>
  <si>
    <t>AL-495</t>
  </si>
  <si>
    <t>JEEP - Compass - 2.0 16V - 4x2 -Flex/ Diesel - Limited/ Longitude/ Sport - c/ABS - 2017 &gt;; Renegade - 1.8/2.0 - 4x2 - Limited/ Longitude/ Sport - c/ABS - 2016 &gt;; FIAT - Toro - 1.8/2.0/2.4 - 4x2 c/ABS - 2016 &gt;</t>
  </si>
  <si>
    <t>6824 6620 AA</t>
  </si>
  <si>
    <t>AL-496</t>
  </si>
  <si>
    <t xml:space="preserve">VOLKSWAGEN - Gol G5 2009 &gt;; Voyage G5 2009 &gt;; </t>
  </si>
  <si>
    <t>5U0 501117 A</t>
  </si>
  <si>
    <t>AL-497</t>
  </si>
  <si>
    <t>5U0 501118 A</t>
  </si>
  <si>
    <t>AL-498</t>
  </si>
  <si>
    <t xml:space="preserve">VOLKSWAGEN - Kombi 1500/ 1600 Furgão Todos; </t>
  </si>
  <si>
    <t>AL-499</t>
  </si>
  <si>
    <t xml:space="preserve">VOLKSWAGEN - Up  2014 &gt;; </t>
  </si>
  <si>
    <t>1SO 501611B</t>
  </si>
  <si>
    <t>AL-50</t>
  </si>
  <si>
    <t xml:space="preserve">FORD - Fusion 4X2  -   c/ABS &lt; 2012; </t>
  </si>
  <si>
    <t>6E5Z 1104 BA</t>
  </si>
  <si>
    <t>AL-500</t>
  </si>
  <si>
    <t>2114980412</t>
  </si>
  <si>
    <t>AL-501</t>
  </si>
  <si>
    <t xml:space="preserve">CHEVROLET / GM - Astra 1.8 8V s/ABS 1994 &gt;; Astra 2.0 8V s/ABS 1999 &gt;; Astra S.W s/ABS 1995 &gt; 1995; Vectra 2.0 s/ABS ; Vectra GT 2.0 8 s/ABS ; Zafira 1.8 8V s/ABS 1999 &gt;; Zafira 2.0 8V s/ABS 1999 &gt;; </t>
  </si>
  <si>
    <t>AL-502</t>
  </si>
  <si>
    <t xml:space="preserve">CHEVROLET / GM - Blazer 4x4 s/ABS 1998 &gt; 2011; S10 4x4 s/ABS 1998 &gt; 2011; </t>
  </si>
  <si>
    <t>O7470537</t>
  </si>
  <si>
    <t>AL-503</t>
  </si>
  <si>
    <t xml:space="preserve">CHEVROLET / GM - Omega 2.2 s/ABS 1993 &gt;  1998; Omega 3.0 s/ABS 1993 &gt; 1998; Omega 4.1 s/ABS 1993 &gt; 1998; Suprema 2.0 s/ABS ; </t>
  </si>
  <si>
    <t>AL-504</t>
  </si>
  <si>
    <t xml:space="preserve">CHEVROLET / GM - Meriva  1999 &gt;; Montana 1.4 / 1.8 2004 &gt;; Novo Corsa  2002 &gt;; </t>
  </si>
  <si>
    <t>AL-505</t>
  </si>
  <si>
    <t xml:space="preserve">CHEVROLET / GM - Astra 2.0 16V 1999 &gt;; Astra 2.0 8V 1999 &gt;; Zafira 2.0 16V 1999 &gt;; Zafira 2.0 8V 1999 &gt;; </t>
  </si>
  <si>
    <t>AL-506</t>
  </si>
  <si>
    <t xml:space="preserve">CHEVROLET / GM - Omega 2.2 c/ABS 1993 &gt; 1998; Omega 3.0 c/ABS 1993 &gt; 1998; Omega 4.1 c/ABS 1993 &gt; 1998; Suprema 2.0 c/ABS ; Suprema 2.2 c/ABS ; </t>
  </si>
  <si>
    <t>AL-507</t>
  </si>
  <si>
    <t xml:space="preserve">CHEVROLET / GM - Blazer 4x4 c/ABS 1998 &gt; 2011; S10 4x4 c/ABS 1998 &gt; 2011; </t>
  </si>
  <si>
    <t>AL-508</t>
  </si>
  <si>
    <t xml:space="preserve">CHEVROLET / GM - Astra 1.8 8V c/ABS (aro 14) 1999 &gt;; Astra 2.0 8V c/ABS (aro 14) 1999 &gt;; Vectra 2.0 c/ABS (aro 14) ; Vectra GT 2.0 8V c/ABS (aro 14) ; Zafira 1.8 8V c/ABS (aro 14) 1999 &gt;; Zafira 2.0 8V c/ABS (aro 14) 1999 &gt;; </t>
  </si>
  <si>
    <t>AL-509</t>
  </si>
  <si>
    <t xml:space="preserve">CHEVROLET / GM - Astra 2.0 16V c/ABS 1999 &gt;; Astra 2.0 8V c/ABS 1999 &gt;; Vectra 2.4 c/ABS ; Vectra GT - 2.0 - c/abs 2006 &gt;; Zafira 2.0 16V c/ABS 1999 &gt;; Zafira 2.0 8V c/ABS 1999 &gt;; </t>
  </si>
  <si>
    <t>AL-510</t>
  </si>
  <si>
    <t xml:space="preserve">CHEVROLET / GM - Blazer 2.2 Gasolina 1995&gt;; Blazer 2.4 Gasolina 1995&gt;; Blazer 2.5 Diesel 1995&gt;; Blazer 4.3 V6 1995&gt;; S10 2.2 Gasolina 1995&gt;; S10 2.4 Gasolina 1995&gt;; S10 2.5 Diesel 1995&gt;; S10 4.3 V6 1995&gt;; </t>
  </si>
  <si>
    <t>AL-511</t>
  </si>
  <si>
    <t xml:space="preserve">CHEVROLET / GM - Astra 2.0 16V s/ABS 2000 &gt; 2005; Astra 8V s/ABS 1999 &gt;; Vectra 2.0 8V s/ABS 2000 &gt; 2005; Vectra 2.2 16V s/ABS 2002 &gt; 2005; Zafira todos s/ABS ; </t>
  </si>
  <si>
    <t>AL-512</t>
  </si>
  <si>
    <t xml:space="preserve">CHEVROLET / GM - Corsa Hatch  2002 &gt; 2012; Corsa Sedan  2002 &gt; 2012; </t>
  </si>
  <si>
    <t>AL-513</t>
  </si>
  <si>
    <t xml:space="preserve">HONDA - City  2010/...; New Civic EXS Automático (LE) 2008/...; New Fit  2008&gt;; 207  2002&gt;; 208 escapade 2008&gt;; 307  2002&gt;; </t>
  </si>
  <si>
    <t>NEW CIVIC-</t>
  </si>
  <si>
    <t>AL-514</t>
  </si>
  <si>
    <t xml:space="preserve">CHEVROLET / GM - Corsa  1994/1998; </t>
  </si>
  <si>
    <t>AL-515</t>
  </si>
  <si>
    <t>AL-516</t>
  </si>
  <si>
    <t xml:space="preserve">CHEVROLET / GM - Celta Todos 2001&gt;; Corsa  1999/...; Prisma todos 2007&gt;; </t>
  </si>
  <si>
    <t>AL-517</t>
  </si>
  <si>
    <t>AL-518</t>
  </si>
  <si>
    <t xml:space="preserve">CHEVROLET / GM - Captiva 2.4 (4 cilindros) (n chichote ABS: 96626079) 2008 &gt;; Captiva 3.6 (6 cilindros) (n chichote ABS: 96626079) 2008 &gt;; </t>
  </si>
  <si>
    <t>AL-519</t>
  </si>
  <si>
    <t xml:space="preserve">CHEVROLET / GM - Captiva 2.4 (4 cilindros) (n chichote ABS: 96626079) 2008 &gt;; Captiva 3.6 (6 cilindros) (n chichote ABS: 96626080) 2008 &gt;; </t>
  </si>
  <si>
    <t>AL-52</t>
  </si>
  <si>
    <t xml:space="preserve">FORD - Fusion 2.3 2006/01.02.2009; Fusion 2.5 2006/01.02.2009; Fusion 3.0 V6 2009/...; Duster 1.6 16V - Mec./ Autom. 2010/...; Duster 2.0 16V - Mec./ Autom. 2010/...; </t>
  </si>
  <si>
    <t>FUSI-2.3/2.5-DUSTER</t>
  </si>
  <si>
    <t>AL-520</t>
  </si>
  <si>
    <t xml:space="preserve">CHEVROLET / GM - Blazer 4x4 1995&gt;; S10 4x4 1995&gt;; </t>
  </si>
  <si>
    <t>AL-521</t>
  </si>
  <si>
    <t xml:space="preserve">VOLKSWAGEN - Gol G V - 1.0 .../2011; Gol G V - 1.6 .../2011; Voyage  2009/2011; </t>
  </si>
  <si>
    <t>5U0 501 117</t>
  </si>
  <si>
    <t>AL-522</t>
  </si>
  <si>
    <t xml:space="preserve">VOLKSWAGEN - Crossfox 1.6 - c/ ABS 2005&gt;; Crossfox 1.6 - s/ ABS 2005&gt;; Fox 1.0 - c/ ABS 2004 &gt;; Fox 1.0 - s/ ABS 2004 &gt;; Fox 1.6 - c/ ABS 2004 &gt;; Fox 1.6 - s/ ABS 2004 &gt;; Gol 1.0 Geração - 5/6 ; Spacefox c/ ABS - s/ ABS - 2006&gt;; Up  2014&gt;; Voyage Geração 6 c/ Abs s/Abs 2012&gt;; </t>
  </si>
  <si>
    <t>6Q0 501 117</t>
  </si>
  <si>
    <t>AL-523</t>
  </si>
  <si>
    <t xml:space="preserve">CHEVROLET / GM - Omega c/ABS 1999 &gt; 2006; </t>
  </si>
  <si>
    <t>AL-525</t>
  </si>
  <si>
    <t xml:space="preserve">TOYOTA - Hilux 4x4 2005 &gt; 2012; </t>
  </si>
  <si>
    <t>AL-526</t>
  </si>
  <si>
    <t xml:space="preserve">TOYOTA - Hilux 4x2 c/ABS 2005 &gt; 2017; </t>
  </si>
  <si>
    <t>AL-527</t>
  </si>
  <si>
    <t xml:space="preserve">LAND ROVER - Range Rover Evoque  2011&gt;2017; </t>
  </si>
  <si>
    <t>LAND ROVER</t>
  </si>
  <si>
    <t>LR025107</t>
  </si>
  <si>
    <t>AL-528</t>
  </si>
  <si>
    <t>LR024427</t>
  </si>
  <si>
    <t>AL-529</t>
  </si>
  <si>
    <t xml:space="preserve">TOYOTA - Bandeirante  .../1979; </t>
  </si>
  <si>
    <t>4343198001</t>
  </si>
  <si>
    <t>AL-53</t>
  </si>
  <si>
    <t xml:space="preserve">FORD - Mondeo 2.0 1994&gt;; </t>
  </si>
  <si>
    <t>96BG 3W008 BB</t>
  </si>
  <si>
    <t>AL-530</t>
  </si>
  <si>
    <t xml:space="preserve">TOYOTA - Hilux 2.8 SOHC Diesel - 4x4 - s/ ABS 2000/2006; </t>
  </si>
  <si>
    <t>HILUX-SRV</t>
  </si>
  <si>
    <t>AL-531</t>
  </si>
  <si>
    <t>HILUX-SW/3.0</t>
  </si>
  <si>
    <t>AL-532</t>
  </si>
  <si>
    <t xml:space="preserve">CHRYSLER - Journey - 2.7/24V - V6 2009 &gt;; Freemont 2.4/16V - 2012 &gt;; Novo Focus 2.0 16V - Mecânico/ Automático 2010 &gt;; HRV 1.8/16V 2015 &gt;; Corolla 2.0 16V - Automático 2012 &gt; 2014; </t>
  </si>
  <si>
    <t>AM553B418BA</t>
  </si>
  <si>
    <t>AL-533</t>
  </si>
  <si>
    <t xml:space="preserve">FIAT - Bravo 1.8/16V - e.torq 2011 &gt; 2015; Doblo 1.8 16V E.Torq 2012/...; Idea Fase I - Adventure 1.8 16V E.Torq - Dualogic 2011/...; Idea Fase I - Essence 1.6 16V E.Torq - Dualogic 2011/...; Linea 1.8 16V E.Torq 2011/...; Linea T-JET 1.4 16V 2009/...; Palio Fase III - 1.8 16V E.Torq 2011/...; Palio Fase IV - 1.6 16V - E.Torq ; Palio Fase IV - 1.8 16V - E.Torq ; Palio Weekend Fase III - 1.8 16V E.Torq 2011/...; Palio Weekend Fase III - Adventure 1.8 16V E.Torq 2011/...; Punto Fase I - Essence 1.6 16V E-Torq - Dualogic 2011/...; Punto Fase I - Sporting 1.8 16V E-Torq - Dualogic 2011/...; Punto T-JET 1.4 16V 2009/...; Siena Fase III - Essence 1.6 16V E.Torq 2011/...; Strada Fase III - Adventure 1.8 16V E.Torq - Dualogic 2011/...; Strada Fase III - Sporting 1.8 16V - Dualogic 2011/...; Strada Fase III - Trekking CD 1.8 16V - Dualogic 2011/...; Strada Fase III - Trekking CS 1.8 16V - Dualogic 2011/...; Strada Fase IV - 1.6 16V E.Torq ; Strada Fase IV - 1.6 16V E.Torq 2013/...; Strada Fase IV - 1.8 16V E.Torq ; </t>
  </si>
  <si>
    <t>AL-534</t>
  </si>
  <si>
    <t xml:space="preserve">MITSUBISHI - Pajero Full 3.2 2007 &gt;; Pajero Full 3.5 2007 &gt;; </t>
  </si>
  <si>
    <t>3880A015</t>
  </si>
  <si>
    <t>AL-535</t>
  </si>
  <si>
    <t>3780A007</t>
  </si>
  <si>
    <t>AL-536</t>
  </si>
  <si>
    <t xml:space="preserve">KIA - Sorento 4x4 c/ABS &lt; 2009; </t>
  </si>
  <si>
    <t>51300 3E200</t>
  </si>
  <si>
    <t>AL-537</t>
  </si>
  <si>
    <t xml:space="preserve">CHERY - QQ  2011&gt;; </t>
  </si>
  <si>
    <t>S11 3001017</t>
  </si>
  <si>
    <t>AL-538</t>
  </si>
  <si>
    <t xml:space="preserve">CHERY - QQ c/ABS 2011&gt;; </t>
  </si>
  <si>
    <t>S11 3301030A</t>
  </si>
  <si>
    <t>AL-54</t>
  </si>
  <si>
    <t xml:space="preserve">FORD - Jeep  ; Pick Up  ; Rural Willys Todos ; Rural Willys Todos Todos; </t>
  </si>
  <si>
    <t>AL-540</t>
  </si>
  <si>
    <t>CHEVROLET - Onix 2017 &gt;; Cobalt 2017 &gt;; Prisma 2017 &gt;; Spin 2017 &gt;;</t>
  </si>
  <si>
    <t>13513413</t>
  </si>
  <si>
    <t>AL-541</t>
  </si>
  <si>
    <t>51840674</t>
  </si>
  <si>
    <t>AL-543</t>
  </si>
  <si>
    <t>VOLVO - XC60 TS  4x2 c/ABS (2.0 T, 3.0 L , 3.2 L ) 2009 &gt; 2017</t>
  </si>
  <si>
    <t>31277811/31329971</t>
  </si>
  <si>
    <t>AL-544</t>
  </si>
  <si>
    <t xml:space="preserve">KIA - Sorento c/ABS 2009&gt;; </t>
  </si>
  <si>
    <t>527502B100</t>
  </si>
  <si>
    <t>AL-545</t>
  </si>
  <si>
    <t>KIA - Cerato 1.6/16V - C/ABS 2008 &gt; 2013; Soul 1.6/16V - C/ABS 2009 &gt; 2013; HYUNDAI - Creta - 1.6/2.0 - 2017 &gt; / Cerato - 1.6/2.0 2010 &gt; 2013 / Soul - 1.6 16V - 2009 &gt;</t>
  </si>
  <si>
    <t>527301M000</t>
  </si>
  <si>
    <t>AL-546</t>
  </si>
  <si>
    <t xml:space="preserve">KIA - Picanto  2006 &gt; 2012; </t>
  </si>
  <si>
    <t>AL-548</t>
  </si>
  <si>
    <t xml:space="preserve">SUZUKI - Swift 1.3 16V ; </t>
  </si>
  <si>
    <t>SWIFT-1.3/16V</t>
  </si>
  <si>
    <t>AL-549</t>
  </si>
  <si>
    <t xml:space="preserve">FORD - Edge s/ABS 2008 &gt; 2010; </t>
  </si>
  <si>
    <t>7T4Z 1104 C</t>
  </si>
  <si>
    <t>AL-55</t>
  </si>
  <si>
    <t xml:space="preserve">FORD - Ranger 4x4 2004/...; </t>
  </si>
  <si>
    <t>6L55 3W007 A</t>
  </si>
  <si>
    <t>AL-550</t>
  </si>
  <si>
    <t xml:space="preserve">FORD - Edge c/ABS 2011 &gt;; </t>
  </si>
  <si>
    <t>BT4Z 1104 B</t>
  </si>
  <si>
    <t>AL-551</t>
  </si>
  <si>
    <t xml:space="preserve">VOLKSWAGEN - Gol 1.0 (Geração 5/6) c/ ABS 2012&gt;; Gol 1.6 (geração 5/6) c/ABS 2012 &gt;; Up  2014&gt;; Voyage 1.6 (geração 5/6) c/ABS 2012 &gt;; </t>
  </si>
  <si>
    <t>5U0 501611</t>
  </si>
  <si>
    <t>AL-552</t>
  </si>
  <si>
    <t xml:space="preserve">CHEVROLET / GM - Cobalt 1.4/ 1.8 - 8V 2012&gt;; Onix 1.0 8V 2012&gt;; Onix 1.4 8V 2012&gt;; Prisma 1.0 8V 2012&gt;; Prisma 1.4 8V 2012&gt;; Sonic 1.6 16V 2012&gt;; Spin 1.8 8V 2012&gt;; </t>
  </si>
  <si>
    <t>AL-553</t>
  </si>
  <si>
    <t xml:space="preserve">CHEVROLET / GM - Cobalt 1.4/ 1.8 - 8V c/ABS ; Onix 1.0 8V c/ABS ; Onix 1.4 8V c/ABS ; Prisma 1.0 8V c/ABS ; Prisma 1.4 8V c/ABS ; Sonic 1.6 16V c/ABS ; Spin 1.8 8V c/ABS ; </t>
  </si>
  <si>
    <t>AL-554</t>
  </si>
  <si>
    <t xml:space="preserve">FORD - Ecosport 1.6/ 2.0 - 4X2 - 4X4 (USA NAS  4 RODAS) 2013&gt;; New Fiesta 1.5 / 1.6 (Sedan) 2011 &gt; 2013; New Fiesta Hatch 2013&gt;; Novo Ka 1.0 / 1.5 2014&gt;; </t>
  </si>
  <si>
    <t>BE8Z 1104 A</t>
  </si>
  <si>
    <t>AL-555</t>
  </si>
  <si>
    <t xml:space="preserve">FORD - New Fiesta 1.5 s/ABS Sedan / Hatch 2011 &gt; 2013; New Fiesta 1.6 s/ABS Sedan/ Hatch 2011 &gt; 2013; </t>
  </si>
  <si>
    <t>8V51 2C299 BD</t>
  </si>
  <si>
    <t>AL-556</t>
  </si>
  <si>
    <t xml:space="preserve">FORD - New Fiesta 1.5 c/ABS Sedan 05.10/....; New Fiesta 1.6 c/ABS - Hatch 07.2011&gt;03.2013; New Fiesta Hatch - c/abs 04.2013&gt;; Novo Ka 1.0/1.5 - C/ABS 07.2014&gt;; </t>
  </si>
  <si>
    <t>DCPZ 1104 A</t>
  </si>
  <si>
    <t>AL-557</t>
  </si>
  <si>
    <t xml:space="preserve">DODGE - Ram 4x4 c/ABS &lt; 2005; </t>
  </si>
  <si>
    <t>DODGE</t>
  </si>
  <si>
    <t>05103507 AA</t>
  </si>
  <si>
    <t>AL-558</t>
  </si>
  <si>
    <t xml:space="preserve">DODGE - Ram 4x4 c/ABS 2009 &gt;; </t>
  </si>
  <si>
    <t>52122190 AB</t>
  </si>
  <si>
    <t>AL-559</t>
  </si>
  <si>
    <t xml:space="preserve">HYUNDAI - HB20 1.0 2012&gt;; HB20 1.6 2012&gt;; </t>
  </si>
  <si>
    <t>517501S000</t>
  </si>
  <si>
    <t>AL-56</t>
  </si>
  <si>
    <t xml:space="preserve">FORD - Courier Motor Endura 1996/1999; Fiesta Motor Endura 1996/1999; </t>
  </si>
  <si>
    <t>78TT 4K033 AA</t>
  </si>
  <si>
    <t>AL-560</t>
  </si>
  <si>
    <t xml:space="preserve">HYUNDAI - HB20 1.0 s/ABS 2012&gt;; HB20 1.6 s/ABS 2012&gt;; KIA - Picanto s/ABS 2005 &gt; 2011; </t>
  </si>
  <si>
    <t>527501G001</t>
  </si>
  <si>
    <t>AL-561</t>
  </si>
  <si>
    <t xml:space="preserve">HYUNDAI - HB20 1.0 c/ABS ; HB20 1.6 c/ABS ; </t>
  </si>
  <si>
    <t>527501G101</t>
  </si>
  <si>
    <t>AL-562</t>
  </si>
  <si>
    <t xml:space="preserve">VOLKSWAGEN - Gol 1.0 - G-5/6 - s/ ABS ; Gol 1.6 (geração 5/6) s/ABS 2012 &gt;; Voyage 1.6 (geração 5/6) s/ABS 2012 &gt;; </t>
  </si>
  <si>
    <t>5UO 501611A</t>
  </si>
  <si>
    <t>AL-563</t>
  </si>
  <si>
    <t xml:space="preserve">AUDI - A3 2.0 Turbo c/ABS 2009 &gt;; Jetta 2.0 8V - c/ABS 2011 &gt;; </t>
  </si>
  <si>
    <t>1K0 598611</t>
  </si>
  <si>
    <t>AL-564</t>
  </si>
  <si>
    <t xml:space="preserve">LAND ROVER - Discovery III/ IV 2009 &gt;; Freelander  2002&gt;2005; Range Rover Sport  2005&gt;2009; </t>
  </si>
  <si>
    <t>JRM 5000 S</t>
  </si>
  <si>
    <t>AL-565</t>
  </si>
  <si>
    <t xml:space="preserve">CHEVROLET / GM - Cruze 1.8 16V - c/ABS Magnético 2012 &gt;; </t>
  </si>
  <si>
    <t>13583478</t>
  </si>
  <si>
    <t>AL-566</t>
  </si>
  <si>
    <t>13502872</t>
  </si>
  <si>
    <t>AL-567</t>
  </si>
  <si>
    <t xml:space="preserve">TOYOTA - Etios 1.3 / 1.5 - 16V - c/ ABS 2012&gt;; </t>
  </si>
  <si>
    <t>43550 0D030</t>
  </si>
  <si>
    <t>AL-568</t>
  </si>
  <si>
    <t>43560 0D030</t>
  </si>
  <si>
    <t>AL-569</t>
  </si>
  <si>
    <t>42450 0D100</t>
  </si>
  <si>
    <t>AL-57</t>
  </si>
  <si>
    <t xml:space="preserve">CHEVROLET / GM - Cruze 1.8 / 16V - Mecânico 2012&gt;; FORD - Focus 2.0 Automático 2003 &gt; 2009; Focus 2.0 Mecânico 2003 &gt; 2009; HONDA - New Civic Mecânico LXS - Original 44310 SNE A21 (LD) 2007&gt;; New Civic Mecânico LXS Original 44310 SNE A31 (LE) 2007&gt;; New Fit Autmático EX/ LX / LXL Original:44310TJO 305 (LD) 2009&gt;; New Fit Mecânico /  Automático EX / LX / LXL - Original 44310 TJO M01 (LE) 2009&gt;; New Fit Mecanico EX / LX / LXL - Original 44310 TJO M11 (LD) 2009&gt;; </t>
  </si>
  <si>
    <t>XS41 3W007 CA</t>
  </si>
  <si>
    <t>AL-570</t>
  </si>
  <si>
    <t xml:space="preserve">CHEVROLET / GM - Blazer c/ABS modificado  - 4X4 - diferente AL-507 1998 &gt; 2011; S10 c/ABS modificado - 4X4- diferente AL-507 1998 &gt; 2011; </t>
  </si>
  <si>
    <t>94751902-ABS-DIF</t>
  </si>
  <si>
    <t>AL-571</t>
  </si>
  <si>
    <t xml:space="preserve">FORD - Ranger 4x2 /  4x4 2012&gt;; </t>
  </si>
  <si>
    <t>UC3C 33060 E</t>
  </si>
  <si>
    <t>AL-572</t>
  </si>
  <si>
    <t xml:space="preserve">NISSAN - Kicks 1.6 / 16V 2017 &gt;; March 1.0/1.6 2012 &gt;; Versa 1.0 2015&gt;; Versa 1.6 2012&gt;; </t>
  </si>
  <si>
    <t>40202 AX000</t>
  </si>
  <si>
    <t>AL-573</t>
  </si>
  <si>
    <t xml:space="preserve">RENAULT - Duster 1.6/2.0 - Mec./Autom. 2012&gt;; </t>
  </si>
  <si>
    <t>40202 0009R</t>
  </si>
  <si>
    <t>AL-574</t>
  </si>
  <si>
    <t xml:space="preserve">VOLKSWAGEN - Amarok 2.0 Mecânico /  Automático 2010&gt;; </t>
  </si>
  <si>
    <t>2HO407615B</t>
  </si>
  <si>
    <t>AL-575</t>
  </si>
  <si>
    <t xml:space="preserve">FORD - Fusion - 2.3/2.5/3.0 - 4x2/4x4 - 2006 &gt;; Fusion - 2.3/2.5/3.0 - 4x2/4x4 roda traseira - 2006 &gt;; </t>
  </si>
  <si>
    <t>DG9Z 1104 E</t>
  </si>
  <si>
    <t>AL-576</t>
  </si>
  <si>
    <t xml:space="preserve">NISSAN - March 1.0 / 1.6 2012.; Versa 1.0 2015 &gt;; Versa 1.6 2012 &gt;; </t>
  </si>
  <si>
    <t>43042 1H0A</t>
  </si>
  <si>
    <t>AL-577</t>
  </si>
  <si>
    <t xml:space="preserve">RENAULT - Duster 1.6/2.0 - mec./autom. (tambor de freio tras.) 2012 &gt;; Logan 1.6/2.0 - mec./autom. (tambor de freio tras.) 2012 &gt;; </t>
  </si>
  <si>
    <t>430426964 R</t>
  </si>
  <si>
    <t>AL-578</t>
  </si>
  <si>
    <t xml:space="preserve">HONDA - CRV 4x4/ 4x2 2009 &gt; 2011; </t>
  </si>
  <si>
    <t>44600 SJK J00</t>
  </si>
  <si>
    <t>AL-579</t>
  </si>
  <si>
    <t>HONDA - CRV 4x2 c/ABS 2007 &gt; 2011;</t>
  </si>
  <si>
    <t>44200 STK 51</t>
  </si>
  <si>
    <t>AL-58</t>
  </si>
  <si>
    <t xml:space="preserve">FORD - F100  Todos; Maverick 4 Cilindros Todos; Maverick 6 Cilindros Todos; </t>
  </si>
  <si>
    <t>AL-580</t>
  </si>
  <si>
    <t xml:space="preserve">CHEVROLET / GM - Onix 1.4 - 8V - Automático 2012&gt;; Prisma 1.4 - 8V - Automático 2012&gt;; Sonic 1.6 16 - Automático 2012&gt;; </t>
  </si>
  <si>
    <t>SONIC 1.6</t>
  </si>
  <si>
    <t>AL-581</t>
  </si>
  <si>
    <t xml:space="preserve">HONDA - City LD 2010&gt;; </t>
  </si>
  <si>
    <t>AL-582</t>
  </si>
  <si>
    <t xml:space="preserve">CHEVROLET / GM - Cobalt 1.8 8V - Automatico 2013&gt;; Onix 1.4 8V - Automatico 2013&gt;; Prisma 1.4 8V Autmatico 2013&gt;; Spin 1.8 8V - Automatico 2013&gt;; </t>
  </si>
  <si>
    <t>ONIX/PRISMA</t>
  </si>
  <si>
    <t>AL-583</t>
  </si>
  <si>
    <t xml:space="preserve">CHEVROLET / GM - Cobalt 1.8 8V - Mecanico 2012&gt;; Spin 1.8 8V Mecanico 2012&gt;; </t>
  </si>
  <si>
    <t>AL-584</t>
  </si>
  <si>
    <t xml:space="preserve">HYUNDAI - i30 2.0 16V - Mecanico - LE 2009&gt;; Tucson 2.0 16V - Mecanico 2005&gt;2009; KIA - Sportage 2.0 16V - Mecanico 2005&gt;2009; </t>
  </si>
  <si>
    <t>i30 2.0</t>
  </si>
  <si>
    <t>AL-585</t>
  </si>
  <si>
    <t xml:space="preserve">TOYOTA - RAV4 2.0 - 4X4 05/2000&gt;11/2005; </t>
  </si>
  <si>
    <t>AL-586</t>
  </si>
  <si>
    <t xml:space="preserve">HYUNDAI - Azera 3.0 V6 2010&gt;; Sonata 3.0 V6 2010&gt;; Tucson 2.7 V6 2004&gt;; KIA - Sportage 2.0 16V - Mecânico 2010&gt;; </t>
  </si>
  <si>
    <t>AZERA/SONATA</t>
  </si>
  <si>
    <t>AL-587</t>
  </si>
  <si>
    <t xml:space="preserve">RENAULT - Fluence 2.0 16V Automático 2010 &gt;; </t>
  </si>
  <si>
    <t>FLUENCE</t>
  </si>
  <si>
    <t>AL-588</t>
  </si>
  <si>
    <t xml:space="preserve">HYUNDAI - Tucson 2.0 16V - automatico 2004&gt;; KIA - Sportage 2.0 16V - automatico 2005&gt;2009; </t>
  </si>
  <si>
    <t>AL-589</t>
  </si>
  <si>
    <t xml:space="preserve">FIAT - Bravo 1.8 16V - E.  Torq. - fase 1 2010&gt;; Doblo 1.8 16V - E.Torq. - fase 1 2010&gt;; Grand Siena 1.6/ 1.8 - 16V - E.Torq. - fase 1 2011&gt;; Idea Adventure 1.6/ 1.8 - 16V - E.Torq. - fase 1 2011&gt;; Marea 2.0 - Automático 2001 &gt; 2007; Marea 2.4 2001 &gt; 2007; Marea Weekend 2.4 20V - Automático 2001 &gt; 2007; Novo Palio 1.6 / 1.8 - 16V - E.Torq - fase 1 2011&gt;; Palio Adventure - 1.6 / 1.8 - 16V - E.Torq. - fase 3 e 4 2011&gt;; Palio Weekend 1.6/ 1.8 - 16V - E.Torq. - fase 3 e 4 2011&gt;;   Stilo Abarth 2.4 20V 2003 &gt; 2009; </t>
  </si>
  <si>
    <t>46308126</t>
  </si>
  <si>
    <t>AL-59</t>
  </si>
  <si>
    <t xml:space="preserve">FORD - F4000 4x4 s/ABS 2009 &gt;; </t>
  </si>
  <si>
    <t>YC32 1104 C</t>
  </si>
  <si>
    <t>AL-590</t>
  </si>
  <si>
    <t xml:space="preserve">HYUNDAI - Tucson 2.0 16V - Mecânico 2010&gt;; KIA - Sportage 2.0  16V - Mecânico 2010&gt;; </t>
  </si>
  <si>
    <t>AL-591</t>
  </si>
  <si>
    <t xml:space="preserve">HYUNDAI - i30 2.0/16V - Autom. 2009 &gt;; Tucson 2.0 16V - Automático 2005&gt;; KIA - Sportage 2.0 - 16V - Automático 2005&gt;; </t>
  </si>
  <si>
    <t>AL-592</t>
  </si>
  <si>
    <t>AL-593</t>
  </si>
  <si>
    <t>AL-594</t>
  </si>
  <si>
    <t xml:space="preserve">HYUNDAI - Tucson 2.7 V6 Automático 2002&gt;2009; </t>
  </si>
  <si>
    <t>AL-595</t>
  </si>
  <si>
    <t xml:space="preserve">FORD - Ranger 4x2/4x4 2013 &gt;; </t>
  </si>
  <si>
    <t>RANGER</t>
  </si>
  <si>
    <t>AL-596</t>
  </si>
  <si>
    <t xml:space="preserve">PEUGEOT - 207 1.4 16V Mecânico 2009 &gt;; </t>
  </si>
  <si>
    <t>207</t>
  </si>
  <si>
    <t>AL-597</t>
  </si>
  <si>
    <t xml:space="preserve">PEUGEOT - 307 1.6 / 16V - Mecânico 2007&gt;; </t>
  </si>
  <si>
    <t>307</t>
  </si>
  <si>
    <t>AL-598</t>
  </si>
  <si>
    <t xml:space="preserve">VOLKSWAGEN - Up 1.0 16V ; </t>
  </si>
  <si>
    <t>UP</t>
  </si>
  <si>
    <t>AL-599</t>
  </si>
  <si>
    <t xml:space="preserve">FIAT - 147 todos 1977 &gt; 1981; Panorama todos 1977 &gt; 1980; Spazio  1980 &gt; 1985; Uno CS &lt; 1985; Uno todos &lt; 1985; </t>
  </si>
  <si>
    <t>7074566</t>
  </si>
  <si>
    <t>AL-599/A</t>
  </si>
  <si>
    <t xml:space="preserve">FIAT - 147 todos 1982 &gt;; Duna todos 08/1993 &gt;; Oggi todos 08/1993 &gt;; Panorama  1981 &gt;; Premio  1985 &gt; 1993; Tipo 1.6 08/1993 &gt;; Uno Fire &lt; 2008; Uno todos 1985 &gt;; </t>
  </si>
  <si>
    <t>AL-599/AFF</t>
  </si>
  <si>
    <t xml:space="preserve">FIAT - 147  1982 &gt;; Duna  08/1993 &gt;; Oggi  08/1993 &gt;; Premio  ; Tipo 1.6 ; Uno  ; Uno Fire &lt; 2008; Uno Mille 1985 &gt;; </t>
  </si>
  <si>
    <t>AL-60</t>
  </si>
  <si>
    <t xml:space="preserve">FORD - Transit  2009 &gt;; </t>
  </si>
  <si>
    <t>6C11 1104 AD</t>
  </si>
  <si>
    <t>AL-600</t>
  </si>
  <si>
    <t xml:space="preserve">FIAT - 147 todos 1977 &gt; 1981; Fiorino todos &lt; 1985; Oggi todos &lt; 1985; Premio todos &lt; 1985; Spazio todos &lt; 1985; Uno todos 1985 &gt; 1991; </t>
  </si>
  <si>
    <t>AL-601</t>
  </si>
  <si>
    <t xml:space="preserve">FIAT - 147  1976/1984; Uno  1985/1993; </t>
  </si>
  <si>
    <t>AL-602</t>
  </si>
  <si>
    <t>AL-603</t>
  </si>
  <si>
    <t xml:space="preserve">FIAT - Tempra Todos Todos; </t>
  </si>
  <si>
    <t>AL-605</t>
  </si>
  <si>
    <t xml:space="preserve">FIAT - Brava 1.6 16V ; Doblo 1.5 16V ; Doblo 1.5 8V ; Doblo 1.6 16V ; Doblo 1.6 8V ; Elba  1990/...; Fiorino Pick-Up 1994/...; Palio 1.0 16V ; Palio 1.0 8V ; Palio 1.3 16V ; Palio 1.5 16V ; Palio 1.5 8V ; Palio 1.6 16V ; Palio 1.6 8V ; Palio Weekend  ; Siena 1.3 16V ; Siena 1.5 16V ; Siena 1.5 8V ; Siena 1.6 16V ; Siena 1.6 8V ; Strada 1.6 16V ; Tipo 1.6 ; Uno  1996/...; </t>
  </si>
  <si>
    <t>AL-606</t>
  </si>
  <si>
    <t xml:space="preserve">FIAT - Brava 1.8 ; Coupe  ; Marea  1999/...; Marea Weekend  ; Tempra SW  ; Tempra Todos ; Tipo 2.0 16V ; Tipo 2.0 8V ; </t>
  </si>
  <si>
    <t>AL-607</t>
  </si>
  <si>
    <t xml:space="preserve">ALFA ROMEO - 145 1.8 16V c/ABS 1996 &gt; 2000; 145 2.0 16V c/ABS 1996 &gt; 2000; FIAT - Marea ELX 2.0 16V c/ABS 1996 &gt; 2000; Marea Weekend 2.0 20V c/ABS 1999 &gt; 2000; Palio 1.0 8V c/ABS 1996 &gt; 2000; Palio 1.5 8V c/ABS 1996 &gt; 2000; Palio 1.6 16V c/ABS 1996 &gt; 2000; Palio 1.6 8V c/ABS 1996 &gt; 2000; Palio Adventure 1.6 8V c/ABS 1996 &gt; 2000; Palio Adventure 1.8 8V c/ABS 1996 &gt; 2000; Palio Fire 1.3 16V c/ABS 1996 &gt; 2000; Palio Weekend 1.5 16V c/ABS 1996 &gt; 2000; Palio Weekend 1.6 16V c/ABS 1996 &gt; 2000; Punto 1.8 c/ABS ; Siena 1.0 (6 marchas) c/ABS 1996 &gt; 2000; Siena 1.3 16V c/ABS 1996 &gt; 2000; Siena 1.5 ELX c/ABS 1996 &gt; 2000; Siena EL 1.0 8V c/ABS 1996 &gt; 2000; Siena EL 1.6 16V c/ABS 1996 &gt; 2000; Siena EL 1.6 8V c/ABS 1996 &gt; 2000; </t>
  </si>
  <si>
    <t>AL-608</t>
  </si>
  <si>
    <t xml:space="preserve">FIAT - 147 Todos Todos; </t>
  </si>
  <si>
    <t>AL-609</t>
  </si>
  <si>
    <t xml:space="preserve">FIAT - 500 1.4 16V c/ABS 2010 &gt;; Brava 1.6 16V c/ABS ; Brava 1.8 16V c/ABS ; Bravo 1.8 16V E.Torq c/ABS 2011 &gt;; Bravo T-Jet 1.4 16V c/ABS 2012 &gt;; Grand Siena 1.4 8V c/ABS 2013 &gt;; Grand Siena 1.6 16V c/ABS 2013 &gt;; Idea 1.8 c/ABS ; Idea Adventure 1.8 8V c/ABS 2007 &gt; 2010; Idea Adventure c/ABS 2011 &gt;; Idea Attractive 1.4 8V c/ABS 2011 &gt;; Idea Dualogic 1.6 16V c/ABS 2011 &gt;; Idea Dualogic 1.8 16V c/ABS 2011 &gt; 2012; Idea Dualogic 1.8 8V c/ABS - E.Torq. 2010 &gt;; Idea ELX 1.4/ 1.8 - 8V c/ABS 2006 &gt; 2010; Idea Essence 1.6 16V - c/ABS - E.Torq. 2011 &gt;; Idea HLX 1.8 8V c/ABS 2006 &gt; 2010; Idea Sporting 1.8 16V - c/ABS - E.Torq. 2011 &gt; 2012; Linea 1.4 c/ABS ; Linea 1.8 c/ABS ; Linea 1.9 c/ABS ; Marea 1.8 16V c/ABS 2001 &gt;; Marea 2.0 20V c/ABS 11/1998 &gt;; Marea 2.4 20V c/ABS 2001 &gt;; Marea Turbo 1.8 16V c/ABS 2001 &gt;; Marea Turbo 2.4 20V c/ABS 2001 &gt;; Marea Weekend 1.8 16V c/ABS 2004 &gt;; Marea Weekend 2.0 c/ABS 2004 &gt;; Marea Weekend 2.4 20V c/ABS 2004 &gt;; Palio 1.0 (novo) c/ABS 2012 &gt;; Palio 1.0 16V c/ABS ; Palio 1.0 8V c/ABS ; Palio 1.0 c/ABS geração II 2004 &gt;; Palio 1.3 16V c/ABS ; Palio 1.3 8V c/ABS ; Palio 1.3 c/ABS geração II 2004 &gt;; Palio 1.4 8V (novo) c/ABS 2012 &gt;; Palio 1.6 16V (novo) c/ABS 2012 &gt;; Palio 1.6 16V (novo) E.Torq c/ABS 2012 &gt;; Palio 1.6 16V c/ABS 2004 &gt;; Palio 1.8 8V c/ABS geração II 2004 &gt;; Palio Adventure 1.7 c/ABS 2004 &gt;; Palio Adventure 1.8 8V Flex c/ABS ; Palio Fire 1.0 c/ABS 2004 &gt;; Palio Fire 1.3 16V c/ABS 2004 &gt;; Palio Fire 1.3 8V c/ABS 2004 &gt;; Palio Locker c/ABS 2008 &gt;; Palio Turbo Diesel c/ABS 2004 &gt;; Palio Weekend 1.4 8V c/ABS 2010 &gt;; Palio Weekend Adventure Locker 1.8 8V Flex c/ABS 2009&gt;; Palio Weekend Fire 1.0 16V c/ABS 2004 &gt;; Punto 1.4 c/ABS ; Punto 1.6 c/ABS ; Punto 1.8 c/ABS ; Siena 1.0 16V c/ABS ; Siena 1.0 8V c/ABS ; Siena 1.3 16V c/ABS ; Siena 1.4 8V ; Siena 1.6 16V c/ABS ; Siena 1.7 c/ABS todos; Siena 1.7 Turbo Diesel c/ABS todos; Siena 1.8 8V c/ABS ; Siena Fire 1.0 16V c/ABS todos; Siena Fire 1.0 8V c/ABS todos; Siena Fire 1.3 16V c/ABS todos; Siena Fire 1.6 16V c/ABS todos; Stilo 1.8 16V c/ABS todos; Stilo 1.8 8V c/ABS ; Stilo 2.4 20V c/ABS todos; Stilo Abarth 2.4 20V c/ABS ; Uno 1.0 (geração II) c/ABS 2010 &gt;; Uno 1.4 (geração III) c/ABS 2010 &gt;; Uno novo c/ABS 2010 &gt;; </t>
  </si>
  <si>
    <t>AL-61</t>
  </si>
  <si>
    <t>MANCAL</t>
  </si>
  <si>
    <t>6C11 1K018 AA</t>
  </si>
  <si>
    <t>AL-610</t>
  </si>
  <si>
    <t xml:space="preserve">FIAT - Doblo Adventure 1.8 16V 2009 &gt;; Doblo Adventure 1.8 16V E.Torq 2011 &gt;; Doblo Adventure 1.8 8V 2009 &gt;; Doblo Cargo 1.8 8V 2004 &gt; 2006; Idea 1.6 16V E.Torq 2011 &gt;; Idea 1.8 16V E.Torq 2011 &gt;; Palio 1.6 16V E.Torq 2011 &gt;; Palio 1.8 16V E.Torq 2011 &gt;; Palio Adventure 1.8 16V ; Palio Adventure 1.8 16V E.Torq ; Palio ELX 1.8 8V ; Palio HLX 1.8 8V ; Palio Weekend 1.8 16V ; Palio Weekend 1.8 16V E.Torq ; Siena 1.6 16V E.Torq ; Siena 1.8 8V &lt; 2010; Strada 1.6 16V E.Torq ; Strada 1.8 16V E.Torq ; Strada Adventure 1.8 16V 2009 &gt;; Strada Adventure 1.8 8V 2009 &gt;; </t>
  </si>
  <si>
    <t>AL-611</t>
  </si>
  <si>
    <t xml:space="preserve">FIAT - 147 Todos ; </t>
  </si>
  <si>
    <t>AL-612</t>
  </si>
  <si>
    <t>AL-613</t>
  </si>
  <si>
    <t>AL-614</t>
  </si>
  <si>
    <t>AL-615</t>
  </si>
  <si>
    <t>AL-616</t>
  </si>
  <si>
    <t>AL-617</t>
  </si>
  <si>
    <t>AL-618</t>
  </si>
  <si>
    <t xml:space="preserve">ALFA ROMEO - 155 2.0 c/ABS 1995 &gt; 1998; FIAT - Coupe c/ABS 1995 &gt; 1997; Tempra S.W 2.0 16V c/ABS 1995 &gt; 1997; Tipo 2.0 16V c/ABS 1994 &gt; 1995; Tipo 2.0 8V c/ABS 1994 &gt; 1995; </t>
  </si>
  <si>
    <t>AL-619</t>
  </si>
  <si>
    <t xml:space="preserve">FIAT - Doblo 1.4 / 8V s/ Abs 2010&gt;; Doblo Adventure 1.3 16V s/ABS todos; Doblo Adventure 1.3 8V s/ABS ; Doblo Adventure 1.6 16V s/ABS todos; Doblo Adventure 1.6 8V s/ABS ; Doblo Adventure 1.8 16V s/ABS ; Doblo Adventure 1.8 8V s/ABS todos; Doblo Cargo 1.3 16V s/ABS todos; Doblo Cargo 1.3 8V s/ABS ; Doblo Cargo 1.6 16V s/ABS ; Doblo Cargo 1.6 8V s/ABS todos; Doblo Cargo 1.8 16V s/ABS ; Doblo Cargo 1.8 8V s/ABS todos; Doblo Passageiro 1.3 16V s/ABS todos; Doblo Passageiro 1.3 8V s/ABS ; Doblo Passageiro 1.6 16V s/ABS todos; Doblo Passageiro 1.6 8V s/ABS ; Doblo Passageiro 1.8 16V s/ABS ; Doblo Passageiro 1.8 8V s/ABS todos; Nova Fiorino 1.4 / 8V 2014&gt;; Strada E.torq. 1.6 / 1.8 - 16V 2013&gt;2013; Strada Trekking 1.6 / 1.8 - 16V ; Strada Trekking 1.6 / 1.8 - 16V E.torq. 2013&gt;2013; </t>
  </si>
  <si>
    <t>AL-62</t>
  </si>
  <si>
    <t xml:space="preserve">FORD - Focus 1.6 8V Flex c/ e s/ABS 14.07.08 &gt; 29.08.13; Focus 2.0 16V Flex c/ e s/ABS 14.07.08 &gt; 29.08.13; </t>
  </si>
  <si>
    <t>7M51 2C299 AC</t>
  </si>
  <si>
    <t>AL-620</t>
  </si>
  <si>
    <t xml:space="preserve">FIAT - Doblo Adventure 1.3 16V c/ABS todos; Doblo Adventure 1.3 8V c/ABS ; Doblo Adventure 1.4/ 8V c/ ABS 2010&gt;; Doblo Adventure 1.6 16V c/ABS todos; Doblo Adventure 1.6 8V c/ABS ; Doblo Adventure 1.8 16V c/ABS ; Doblo Adventure 1.8 8V c/ABS todos; Doblo Cargo 1.3 16V c/ABS todos; Doblo Cargo 1.3 8V c/ABS ; Doblo Cargo 1.6 16V c/ABS ; Doblo Cargo 1.6 8V c/ABS todos; Doblo Cargo 1.8 16V c/ABS ; Doblo Cargo 1.8 8V c/ABS todos; Doblo Passageiro 1.3 16V c/ABS todos; Doblo Passageiro 1.3 8V c/ABS ; Doblo Passageiro 1.6 16V c/ABS todos; Doblo Passageiro 1.6 8V c/ABS ; Doblo Passageiro 1.8 16V c/ABS ; Doblo Passageiro 1.8 8V c/ABS todos; Nova Fiorino 1.4 8V 2014&gt;; Strada Adventure 1.6 / 1.8 - 16V E.Torq. 2013&gt;2013; Strada Trekking  Todos; </t>
  </si>
  <si>
    <t>AL-621</t>
  </si>
  <si>
    <t xml:space="preserve">CITROEN - Jumper aro 15 s/ABS 2003&gt;; FIAT - Ducato Cargo aro 15 s/ABS (c/ freio a disco) 2003 &gt;; Ducato Cargo aro 15 s/ABS (c/ freio a tambor) 2001 &gt;; PEUGEOT - Boxer aro 15 s/ABS 2003&gt;; </t>
  </si>
  <si>
    <t>AL-621/A</t>
  </si>
  <si>
    <t xml:space="preserve">CITROEN - Jumper aro 15 c/ABS 2003&gt;; FIAT - Ducato Cargo aro 15 c/ABS (c/ freio a disco) 2003 &gt;; Ducato Cargo aro 15 c/ABS (c/ freio a tambor) 2001 &gt;; PEUGEOT - Boxer aro 15 c/ABS 2003&gt;; </t>
  </si>
  <si>
    <t>AL-622</t>
  </si>
  <si>
    <t xml:space="preserve">CITROEN - Jumper 2.8 - Aro 16 - 2009&gt;; FIAT - Ducato Cargo - Aro 16 &lt;2009; PEUGEOT - Boxer 2.8 - Aro 16 &lt;2009; </t>
  </si>
  <si>
    <t>AL-623</t>
  </si>
  <si>
    <t xml:space="preserve">CITROEN - Jumper aro 16 s/ABS 2003&gt;; FIAT - Ducato Cargo aro 16 s/ABS (c/ freio a tambor - c/ freio a disco ) 2000 &gt;; PEUGEOT - Boxer aro 16 s/ABS 2003&gt;; </t>
  </si>
  <si>
    <t>AL-623/A</t>
  </si>
  <si>
    <t xml:space="preserve">CITROEN - Jumper aro 16 c/ABS 2003&gt;; FIAT - Ducato Cargo aro 16 c/ABS (c/ freio a tambor - c/ freio a disco) 2000 &gt;; PEUGEOT - Boxer aro 16 c/ABS 2003&gt;; </t>
  </si>
  <si>
    <t>AL-624</t>
  </si>
  <si>
    <t xml:space="preserve">FIAT - 500  2009&gt;; Doblo 1.3 16V 2002/...; Doblo 1.4 8V 2012/...; Doblo 1.6 16V 2002/...; Grand Siena 1.4 8V 2013/...; Idea Fire 1.4 8V 2003/...; Mobi - 1.0 2016 &gt;; Nova Fiorino 1.4 2011 &gt;; Novo Palio Fase III - 1.0 8V 2008/...; Novo Palio Fase III - 1.4 8V 2008/...; Palio Weekend Fase III - 1.4 8V 2009/...; Siena Fase III - 1.4 8V ; Strada Fase IV - 1.4 8V 2014/...; Uno GII - 1.0 8V 2010/...; Uno GII - 1.4 8V 2010/...; </t>
  </si>
  <si>
    <t>AL-625</t>
  </si>
  <si>
    <t xml:space="preserve">FIAT - Palio 1.4 Flex 2009/...; Punto 1.4 2008 &gt;; Strada -  1.4  2008 &gt; 2012; </t>
  </si>
  <si>
    <t>AL-628</t>
  </si>
  <si>
    <t xml:space="preserve">FIAT - 147  .../1985; Uno  1984/1985; </t>
  </si>
  <si>
    <t>UNO/147</t>
  </si>
  <si>
    <t>AL-629</t>
  </si>
  <si>
    <t xml:space="preserve">FIAT - 147 1050 1976/1984; 147 1300 1976/1984; Fiorino  1980/1984; </t>
  </si>
  <si>
    <t>AL-63</t>
  </si>
  <si>
    <t xml:space="preserve">FORD - Focus 1.6 16V Flex c/ABS 14.07.08 &gt; 29.08.13; Focus 2.0 16V Flex c/ABS 14.07.08 &gt; 29.08.13; </t>
  </si>
  <si>
    <t>3M51 ZC300 CH</t>
  </si>
  <si>
    <t>AL-630</t>
  </si>
  <si>
    <t xml:space="preserve">ALFA ROMEO - 145 1800 TS 16V 1998 &gt; 1999; 145 2000 TS 16V 1996 &gt; 1997; 145 QV 1996 &gt; 1999; 155 2000 TS 16V 1995 &gt; 1998; 155 Super 2000 TS 16V 1995 &gt; 1998; FIAT - Brava HGT 1.8 MPI 16V GS 2000 &gt;; Brava SX / ELX 1.6 MPI 16V GS 2000 &gt;; Coupe 2000 16V GS 1995 &gt; 1997; E.Torq.  2011&gt;2012; Grand Siena 1.6 16V E.Torq 2012 &gt;; Linea 1.4 ; Linea 1.8 ; Linea 1.9 ; Marea 1.6 ; Marea 1.8 ; Marea 1.8 16V 2000 &gt;; Marea Weekend City 1.8 MPI 16V GS 2000 &gt;; Marea Weekend SX 1.8 MPI 16V GS 2000 &gt;; Palio (novo) 1.6 16V E.Torq 2012 &gt;; Punto 1.4 16V Tjet 2010 &gt;; Punto 1.6 16V 2008&gt;2010; Punto 1.6 8V 2008&gt;2010; Punto 1.8 16V ; Punto 1.8 8V ; Stilo 1.8 16V ; Stilo 1.8 8V ; Tempra 16V 1992 &gt; 1999; Tempra 8V 1992 &gt; 1999; Tempra S.W todos 1994 &gt; 1995; Tempra Turbo 1995 &gt; 1999; Tipo 2.0 16V 1994 &gt; 1996; Tipo 2.0 SLX 8V 1994 &gt; 1996; Uno 1.0 8V (geração II) diferencial blocante 2010 &gt;; Uno 1.4 8V (geração II) diferencial blocante 2010 &gt;; Uno Turbo 1994 &gt; 1996; </t>
  </si>
  <si>
    <t>AL-631</t>
  </si>
  <si>
    <t xml:space="preserve">CITROEN - Jumper Aro 15 2003&gt;; FIAT - Ducato Cargo 2.8 Turbo Intercooler ; Ducato Combinato 2.8 Turbo Intercooler ; Ducato Minibus 2.8 Turbo Intercooler ; Ducato Multi Teto Baixo 2.8 Turbo Intercooler ; Ducato Vetrato 2.8 Turbo Intercooler (Teto Baixo) ; Ducato Vetrato 2.8 Turbo Intercooler (Teto Médio) ; PEUGEOT - Boxer Aro 15 &lt;2009; </t>
  </si>
  <si>
    <t>1491240080D</t>
  </si>
  <si>
    <t>AL-632</t>
  </si>
  <si>
    <t xml:space="preserve">FIAT - 147  Todos; </t>
  </si>
  <si>
    <t>AL-633</t>
  </si>
  <si>
    <t xml:space="preserve">FIAT - 147  Todos; Uno  Todos; </t>
  </si>
  <si>
    <t>AL-634</t>
  </si>
  <si>
    <t xml:space="preserve">FIAT - 147 1050 1984/...; 147 1300 1984/...; Fiorino  1984/1988; Premio  1985/1991; Uno 1050 1984/1991; Uno 1300 1984/1991; Uno Mille 1991/1992; Uno Mille Brio 1991; </t>
  </si>
  <si>
    <t>AL-636</t>
  </si>
  <si>
    <t xml:space="preserve">FIAT - Tempra c/ABS 1995&gt;1999; </t>
  </si>
  <si>
    <t>82462175</t>
  </si>
  <si>
    <t>AL-637</t>
  </si>
  <si>
    <t xml:space="preserve">FIAT - Bravo 1.8 16V E.Torq 2011 &gt;; Bravo Tjet 1.4 16V 2012 &gt;; Marea 2.0 1999; Marea 2.0 Turbo 1999 &gt; 2007; Marea 2.4 2001 &gt;; Marea Weekend 2.0 1999 &gt;; Stilo 2.4 20V - Abarth 2003 &gt; 2009; </t>
  </si>
  <si>
    <t>60545087</t>
  </si>
  <si>
    <t>AL-638</t>
  </si>
  <si>
    <t xml:space="preserve">FIAT - Elba todos 1985 &gt; 1996; Fiorino todos 1980 &gt; 1993; Pick up todos 1980 &gt; 1993; Premio todos 1985 &gt; 1993; Uno S 1986 &gt; 1987; Uno todos 1986 &gt; 2010; </t>
  </si>
  <si>
    <t>AL-639</t>
  </si>
  <si>
    <t xml:space="preserve">FIAT - Elba 1500 1986/1991; Elba 1600 1986/1991; Fiorino  1988/1992; Premio 1500 1985/...; Premio 1600 1985/...; Uno  ; Uno Mille 1992/1993; Uno Mille Eletronic 1993/...; </t>
  </si>
  <si>
    <t>AL-64</t>
  </si>
  <si>
    <t xml:space="preserve">FORD - Focus c/ABS (disco freio tras.) 2000 &gt; 2008; </t>
  </si>
  <si>
    <t>98AB 1A034AE</t>
  </si>
  <si>
    <t>AL-640</t>
  </si>
  <si>
    <t xml:space="preserve">FIAT - Elba  .../1987; Premio  .../1987; Uno  .../1987; </t>
  </si>
  <si>
    <t>AL-641</t>
  </si>
  <si>
    <t xml:space="preserve">FIAT - Brava 1.6 16V ; Fiorino c/ ABS 1997/...; Marea 1.6 16V ; Palio 1.0 16V - c/ ABS 1996/...; Palio 1.5 16V - c/ ABS 1996/...; Palio 1.6 16V - c/ ABS 1996/...; Palio Weekend 1.5 16V - c/ ABS 1997/...; Palio Weekend 1.6 16V - c/ ABS 1997/...; Palio Weekend Adventure ; Siena 1.5 ; Siena 1.6 ; Siena Fire 1.3 ; Strada 1.3 ; Strada 1.4 ; Strada 1.5 ; Strada 1.6 ; FORD - Courier 1.4 e  1.3 Motor Enduro 1997&gt;; Fiesta 1.0 / 1.3/ 1.4 - LS 1996&gt;2007; Fiesta 1.8 LD 1996&gt;2007; Ka 1.0 / 1.3 Zetec 1997&gt;; </t>
  </si>
  <si>
    <t>AL-642</t>
  </si>
  <si>
    <t xml:space="preserve">FIAT - Elba  1991/1996; Fiorino 1.3/1.5/1.7 1992/...; Palio 1.0 - 6 Marchas ; Palio 1.0 1996/...; Palio 1.3 16V ; Palio 1.3 8V ; Palio 1.4 Argentino ; Palio todos motor fire 2001&gt;; Palio Weekend - todos motor fire 2001&gt;; Premio  1991/1996; Siena 1.0 ; Siena 1.3 ; Siena todos motor fire 2001 2001&gt;; Tipo 1.6 todos motor fire 1993&gt;1997; Uno 1.0 1992&gt;; </t>
  </si>
  <si>
    <t>AL-643</t>
  </si>
  <si>
    <t xml:space="preserve">FIAT - Tempra 2.0 16V (freio a disco) 1993 &gt; 1999; Tempra 2.0 8V 1995 &gt; 1998; Tempra S.W 2.0 1994 &gt; 1995; Tempra Turbo 1995 &gt; 1998; </t>
  </si>
  <si>
    <t>AL-644</t>
  </si>
  <si>
    <t xml:space="preserve">FIAT - 500 1.1i Sporting 1994 &gt; 1998; Fiorino 1.4 8V (nova) 2014 &gt;; Grand Siena 1.4 8V 2013 &gt;; Mobi - 1.0 2016 &gt;; Palio (novo) 1.0 8V 2012 &gt;; Palio (novo) 1.4 8V 2012 &gt;; Punto 1.4 8V 2008 &gt;; Tipo 1.6 8V 1993 &gt; 1997; Uno (novo) 2010 &gt;; Uno 1.0 8V (geração II) 2010 &gt;; Uno 1.4 8V (geração II) 2010 &gt;; LANCIA - Y 1.1i Sporting 1997 &gt;; Y 1.2i 1996 &gt;; </t>
  </si>
  <si>
    <t>AL-645</t>
  </si>
  <si>
    <t xml:space="preserve">ALFA ROMEO - 145 2000 16V - s/ABS 1996 &gt; 1999; 155 2000 16V - s/ABS 1995 &gt; 1998; FIAT - Brava 1.6 16V 1995 &gt;; Brava 1.6i 16V Automatic 1996 &gt;; Brava 1.8 16V HGT 2000 &gt;; Bravo Tjet 1.4 16V 2012 &gt;; Coupe 2.0 16V 1993 &gt; 1996; Grand Siena 1.4 8V 2013 &gt;; Grand Siena 1.6 16V 2013 &gt;; Idea Adventure 1.8 8V 2007 &gt; 2010; Idea Adventure 2011 &gt;; Idea Adventure Dualogic 1.8 16V E.Torq 2011 &gt;; Idea Adventure E.Torq 2011 &gt;; Idea Attrative 1.4 8V 2006 &gt;; Idea Dualogic 1.6 16V E.Torq 2011 &gt;; Idea E.Torq 2011 &gt;; Idea ELX 1.4 8V 2006 &gt; 2010; Idea ELX 1.8 8V 2010 &gt; 2010; Idea ELX Dualogic 2007 &gt; 2010; Idea Essence 1.6 16V E.Torq 2011 &gt;; Idea HLX 1.8 8V 2010 &gt;; Idea Locker 1.8 2010 &gt;; Idea Sporting 2011 &gt; 2012; Idea Sporting Dualogic 1.8 16V E.Torq 2011 &gt; 2012; Linea 1.4 todos; Linea 1.8 todos; Linea 1.9 todos; Marea 1.8 16V 1998 &gt;; Marea 2.0 20V 1998 &gt; 1999; Marea 2.0 20V Turbo 1998 &gt;; Marea 2.4i 20V 2000 &gt;; Marea Weekend 1.8 16V 1998 &gt;; Marea Weekend 2.0 20V 1998 &gt; 1999; Marea Weekend 2.0 20V Turbo 1998 &gt;; Marea Weekend 2.4i 20V 2000 &gt;; Oggi todos 1980 &gt; 1985; Palio (novo) 1.0 8V 2012 &gt;; Palio (novo) 1.4 8V 2012 &gt;; Palio (novo) 1.6 16V E.Torq 2012 &gt;; Palio 1.0 04/1996 &gt;; Palio 1.3 16V 2000 &gt;; Palio 1.5 04/1996 &gt;; Palio 1.6 04/1996 &gt;; Palio 1.6 16V 04/1996 &gt;; Palio 16V 1998 &gt;; Palio Adventure 1.8 8V 2010 &gt;; Palio Weekend 1.3 16V 2000 &gt;; Palio Weekend 1.4 ; Palio Weekend 1.5 1997 &gt;; Palio Weekend 1.6 04/1996 &gt;; Palio Weekend 1.6 16V 01/1999 &gt;; Palio Weekend Locker 1.8 2008&gt;; Punto 1.4 ; Punto 1.6 ; Punto 1.8 ; Siena 1.0 8V 1999 &gt; 2000; Siena 1.3 16V 2000 &gt;; Siena 1.6 16V 1998 &gt; 1999; Siena Fire 1.0 16V (fase I) &lt; 2006; Siena Fire 1.0 8V (fase I) &lt; 2006; Siena Fire 1.3 16V (fase I) &lt; 2006; Siena Fire 1.5 8V (fase I) &lt; 2006; Siena Fire 1.6 16V (fase I) 2006; Stilo 1.8 16V 2003 &gt;; Stilo 1.8 8V 2003 &gt;; Tempra S.W 8V 1992 &gt;; Tipo 1.6 1995 &gt;; Tipo 2.0 16V 1994 &gt; 1996; Tipo 2.0 8V SLX 07/1994 &gt;; Uno (modelo antigo) 2010 &gt;; Uno 1.0 (geração II) 2010 &gt;; Uno 1.4 (geração II) 2010 &gt;; </t>
  </si>
  <si>
    <t>AL-646</t>
  </si>
  <si>
    <t xml:space="preserve">FIAT - Duna todos 1994 &gt;; Elba todos 1994 &gt;; Idea 1.4 8V 2006 &gt;; Palio 1.0 04/1996 &gt;; Palio 1.0 16V 1996 &gt;; Palio 1.0 8V 1996 &gt;; Palio 1.2 1998 &gt;; Palio 1.3 ; Palio 1.3 16V 2000 &gt;; Palio 1.3 8V 2000 &gt;; Palio 1.4 2006 &gt;; Palio 1.5 04/1996 &gt;; Palio 1.5 16V 1996 &gt;; Palio 1.5 1996 &gt; 2003; Palio 1.5 8V 1996 &gt;; Palio 1.6 04/1996 &gt;; Palio 1.6 16V 04/1996 &gt;; Palio 1.6 8V 1996 &gt;; Palio 16V 1998 &gt;; Palio Weekend 1.0 1999 &gt;; Palio Weekend 1.2 1997 &gt;; Palio Weekend 1.3 16V 2000 &gt;; Palio Weekend 1.4 2000 &gt;; Palio Weekend 1.5 16V 1997 &gt;; Palio Weekend 1.5 1997 &gt;; Palio Weekend 1.5 8V 1997 &gt;; Palio Weekend 1.6 04/1996 &gt;; Palio Weekend 1.6 16V 01/1999 &gt;; Palio Weekend 1.6 8V 1996 &gt;; Palio Weekend 1.9 Diesel 2001 &gt;; Siena 1.0 16V 2000 &gt;; Siena 1.0 8V 2000 &gt;; Siena 1.2 1998 &gt;; Siena 1.3 16V 2000 &gt;; Siena 1.3 8V 1997 &gt;; Siena 1.4 8V 2013 &gt;; Siena 1.5 8V 1999 &gt; 2004; Siena 1.6L 16V 1997 &gt;; Siena 1.8 8V 2003 &gt;; Uno 1.5R 1987 &gt; 1996; Uno 1.6R 1987 &gt; 1996; Uno CS 1.5 1994 &gt;; Uno Mille - 1.0 1991 &gt; 2004; Uno Mille 1.3 todos; Uno Mille 1.5 todos; Uno Mille 1.6 todos; Uno Mille Fire - 1.0 2001 &gt; 2004; </t>
  </si>
  <si>
    <t>AL-648</t>
  </si>
  <si>
    <t xml:space="preserve">FIAT - Doblo 1.3 16 V 2002 &gt; 2006; Doblo 1.3 8V 2002 &gt; 2006; Doblo 1.6 16V 2002 &gt; 2006; Doblo 1.6 8V 2002 &gt; 2006; Doblo 1.9 16V 2002 &gt; 2006; Doblo 1.9 8V 2002 &gt; 2006; Doblo Cargo 1.8 16V 2011 &gt;; Fiorino Pick up 1994 &gt;; Palio Adventure ; Palio Weekend ; Strada 1.3 8V 2003 &gt; 2005; Strada 1.4 8V 2007 &gt;; Strada 1.5 1999 &gt; 2001; Strada 1.6 1999 &gt; 2001; Uno Furgoneta - 1.3 8V 2003 &gt; 2004; </t>
  </si>
  <si>
    <t>7522385</t>
  </si>
  <si>
    <t>AL-649</t>
  </si>
  <si>
    <t xml:space="preserve">FIAT - Duna 1.6 1992/1995; Elba 1.3 1986/1989; Elba 1.5 1986/1988; Elba 1.6 1990/1991; Fiorino 1.3 1985/1991; Fiorino 1.5 1989/1993; Premio 1.3 1985/1994; Premio 1.5 1985/1994; Premio 1.6 1985/1994; Uno 1.3 1985/1991; Uno 1.5 1989/1996; Uno 1.6 1990/1996; Uno Furgoneta 1.5 1997/2004; Uno Mille 1.0 8V 1991/2004; </t>
  </si>
  <si>
    <t>AL-650</t>
  </si>
  <si>
    <t xml:space="preserve">FIAT - Elba todos - s/ ABS 1985 &gt; 1996; Fiorino todos - s/ ABS 1980 &gt;; Strada 1.0 - s/ ABS 1999 &gt;; Strada 1.3 8V - s/ ABS todos; Strada 1.5 8V - s/ ABS ; Strada 1.6 /1.8 16V E.Torq 2013 &gt; 2013; Strada 1.6 16V - s/ ABS 2000 &gt;; Strada 1.8 8V - s/ ABS ; Strada Fire - s/ ABS ; Strada Locker 1.4 - s/ ABS todos; Strada Locker 1.8 - s/ ABS todos; </t>
  </si>
  <si>
    <t>AL-651</t>
  </si>
  <si>
    <t xml:space="preserve">FIAT - Uno CS 1988/1990; Uno R 1988/1990; Uno S 1988/1990; </t>
  </si>
  <si>
    <t>AL-652</t>
  </si>
  <si>
    <t xml:space="preserve">FIAT - Elba  1985/1989; Premio CS 1985/1990; Premio CSL 1985/1990; Premio S 1985/1990; Premio SL 1985/1990; Uno CS 1985/1989; Uno R 1985/1989; Uno SX 1985/1989; </t>
  </si>
  <si>
    <t>AL-653</t>
  </si>
  <si>
    <t xml:space="preserve">FIAT - Elba CS 1986/1990; Elba CSL 1986/1990; Elba S 1986/1990; Uno  1985/1990; </t>
  </si>
  <si>
    <t>AL-654</t>
  </si>
  <si>
    <t xml:space="preserve">FIAT - Uno CS 1990/...; Uno Mille 1991/...; Uno S 1990/...; </t>
  </si>
  <si>
    <t>AL-655</t>
  </si>
  <si>
    <t xml:space="preserve">FIAT - Fiorino Pick Up  1988/1990; </t>
  </si>
  <si>
    <t>AL-656</t>
  </si>
  <si>
    <t xml:space="preserve">FIAT - Fiorino Pick Up  1990/1993; </t>
  </si>
  <si>
    <t>AL-657</t>
  </si>
  <si>
    <t xml:space="preserve">FIAT - Fiorino Pick Up  1994/...; </t>
  </si>
  <si>
    <t>AL-658</t>
  </si>
  <si>
    <t xml:space="preserve">FIAT - Palio 1000 ; Palio 1500 ; </t>
  </si>
  <si>
    <t>AL-659</t>
  </si>
  <si>
    <t xml:space="preserve">FIAT - Palio 16V .../2000; Siena 16V .../2000; </t>
  </si>
  <si>
    <t>AL-660</t>
  </si>
  <si>
    <t xml:space="preserve">FIAT - Palio Weekend Todos 1997/....; </t>
  </si>
  <si>
    <t>AL-661</t>
  </si>
  <si>
    <t xml:space="preserve">IVECO - Daily 35S14 2008 &gt;; Daily 35C14 2008 &gt;; Daily 40S16 2008 &gt;; Daily 45S14 2008 &gt;; Daily 45S16 2008 &gt;; Daily 45S17 Ecoline 2012 &gt;; Daily 55C16 2008 &gt;; Daily 55C17 Ecoline 2012 &gt;; </t>
  </si>
  <si>
    <t>504.166.122</t>
  </si>
  <si>
    <t>AL-662</t>
  </si>
  <si>
    <t xml:space="preserve">IVECO - Daily 3.0 35s14/ 45s14/ 55c16 c/ABS 2008 &gt;; </t>
  </si>
  <si>
    <t>504166117</t>
  </si>
  <si>
    <t>AL-663</t>
  </si>
  <si>
    <t xml:space="preserve">FIAT - Brava Todos 1999&gt;; Marea Todos 1999&gt;; Marea Weekend Todos 1999&gt;; </t>
  </si>
  <si>
    <t>AL-664</t>
  </si>
  <si>
    <t xml:space="preserve">FIAT - Elba  1990/1992; Fiorino  1990/1993; Premio CSL 1990/1992; Uno CS 1990/1992; Uno Mille .../1992; </t>
  </si>
  <si>
    <t>AL-665</t>
  </si>
  <si>
    <t>BB - Pickup</t>
  </si>
  <si>
    <t>AL-666</t>
  </si>
  <si>
    <t xml:space="preserve">FIAT - Elba  1992/1996; Fiorino  1992/1993; Premio CSL 1992/1995; Uno CS 1992/1995; Uno Mille 1992/...; </t>
  </si>
  <si>
    <t>AL-667</t>
  </si>
  <si>
    <t xml:space="preserve">FIAT - Elba  1992/1996; Fiorino  1992/1993; Fiorino Furgão 1994&gt;; Fiorino Pick Up  1994&gt;; Premio CSL 1992/1995; Uno CS 1992/1995; Uno Mille 1992/...; </t>
  </si>
  <si>
    <t>AL-67</t>
  </si>
  <si>
    <t>HONDA - Fit 2015 &gt; 2017; City 2015 &gt; 2017;</t>
  </si>
  <si>
    <t>FIT</t>
  </si>
  <si>
    <t>AL-670</t>
  </si>
  <si>
    <t xml:space="preserve">FIAT - Idea 1.8 8V Flex 2010; Idea ELX 1.8 8V 2010 &gt; 2010; Idea HLX 1.8 8V 2006 &gt; 2010; Palio 1.0 8V - (fase III) 2008 &gt;; Palio 1.0/ 1.6 - 8V - E.Torq. 2001 &gt; 2006; Palio 1.3 16V - (fase III) 2008 &gt;; Palio 1.4 2006 &gt;; Palio 1.8 2004 &gt; 2007; Palio 1.8 8V - (fase III) 2008 &gt;; Palio Fire (fase I) 2008 &gt; 2012; Palio Fire (fase II) 2008 &gt; 2012; Palio Fire Flex 1.0 8V 2010 &gt;; Premio  1985 &gt; 1994; Siena 1.0 16V (fase II) ; Siena 1.0 16V 2002 &gt;; Siena 1.0 8V Fire Flex 2010 &gt;; Siena 1.0 8V(fase I) ; Siena 1.3 16V (fase I) ; Siena 1.3 16V (fase II) ; Siena 1.3 16V 2001 &gt; 2003; Siena 1.4 8V 2006 &gt;; Siena 1.5 8V (fase I) ; Siena 1.5 8V (fase II) ; Siena 1.6 16V (fase I) ; Siena 1.6 16V (fase II) ; Siena 1.8 8V (fase III) 2008 &gt;; Siena 1.8 8V 2002 &gt;; Stilo 1.8 16V 2003 &gt;; Stilo 1.8 8V 2003 &gt;; Stilo 2.4 16V 2003 &gt;; Stilo 2.4 8V 2003 &gt;; Stilo Abarth 2.4 20V 2008 &gt;; Tipo 1.6 1993 &gt; 1997; Uno Fire 2009 &gt;; Uno Fire Economy 2009 &gt;; Uno Mille 1.0 2009 &gt;; Uno Way 2009 &gt;; </t>
  </si>
  <si>
    <t>AL-671</t>
  </si>
  <si>
    <t xml:space="preserve">FIAT - Nova Fiorino 1.4/8V  -  11/....  C/ABS 2011 &gt;; Strada 1.5 16V (fase I) c/ABS 2000 &gt;; Strada 1.5 16V (fase II) c/ABS 2000 &gt;; Strada 1.5 16V (fase III) c/ABS 2000 &gt;; Strada 1.6 /1.8 16V E.Torq 2013 &gt; 2013; Strada 1.6 16V (fase I) c/ABS 2000 &gt;; Strada 1.6 16V (fase II) c/ABS 2000 &gt;; Strada 1.6 16V (fase III) c/ABS 2000 &gt;; Strada 1.8 16V (fase I) c/ABS 2000 &gt;; Strada 1.8 16V (fase II) c/ABS 2000 &gt;; Strada 1.8 16V (fase III) c/ABS 2000 &gt;; Strada Adventure 1.8 8V c/ABS 2009 &gt;; Strada Fire 1.4 8V Flex c/ABS 2013 &gt;; Strada Locker 1.6 16V E.Torq c/ABS 2011 &gt;; Strada Locker 1.8 16V E.Torq c/ABS 2011 &gt;; </t>
  </si>
  <si>
    <t>AL-672</t>
  </si>
  <si>
    <t xml:space="preserve">CITROEN - Jumper 2.3 - Aro 15 e  16 2010&gt;; FIAT - Ducato 2.3 - Aro 15 e 16 2010; Ducato 2.3 - Aro 15 e 16 2010&gt;; PEUGEOT - Boxer Aro 15 e 16 2010&gt;; </t>
  </si>
  <si>
    <t>DUCATO-2.3/2.8</t>
  </si>
  <si>
    <t>AL-673</t>
  </si>
  <si>
    <t xml:space="preserve">VOLKSWAGEN - Golf VII - 2014 &gt; 2017; Golf VII - Variant - 2015 &gt; 2017; Passat - Alltrack (4 motion) AWD - 2015 &gt; 2017; AUDI - A3 - Hatch/ Sedan - 2013 &gt; 2017; A3 - (1.6L, 2.0T) - 2007 &gt; 2012; S3 - 2013 &gt; 2017; </t>
  </si>
  <si>
    <t>1K0498621</t>
  </si>
  <si>
    <t>AL-674</t>
  </si>
  <si>
    <t xml:space="preserve">FIAT - Uno Furgoneta Fase 1 - 1.3 8V 2004 &gt; 2013; Uno Furgoneta Fase 1 - 1.5 8V 2004 &gt; 2007; Uno Mille - 1.0 8V 2002 &gt; 2008; </t>
  </si>
  <si>
    <t>50018219</t>
  </si>
  <si>
    <t>AL-676</t>
  </si>
  <si>
    <t>AUDI - A3 - 1.4 TFSI - 2014 &gt;; TT - 2014 &gt;; VW - Golf - MK7 2.0 TSI GTI - 2013 &gt;; Golf - MK7 1.4 TSI - 2013 &gt;; Passat - 2.0 TSI - 2014 &gt;; Tiguan - 1.4 TSI - 2016 &gt;;</t>
  </si>
  <si>
    <t>8V0498625A</t>
  </si>
  <si>
    <t>AL-677</t>
  </si>
  <si>
    <t>AL-68</t>
  </si>
  <si>
    <t xml:space="preserve">FORD - Courier 1.3 1997&gt;; Courier 1.4 ; Fiesta  .../2002; </t>
  </si>
  <si>
    <t>96FB-5494-AB</t>
  </si>
  <si>
    <t>AL-680</t>
  </si>
  <si>
    <t xml:space="preserve">IVECO - 5912 Daily ; 6012 Daily ; 6013 Citycrass ; 7012 Daily ; 7013 Daily ; </t>
  </si>
  <si>
    <t>AL-681</t>
  </si>
  <si>
    <t xml:space="preserve">IVECO - 3510  ; 3513  ; 3813  ; 4010  ; 4012  ; 4013  ; 4912  ; 5013  ; </t>
  </si>
  <si>
    <t>AL-683</t>
  </si>
  <si>
    <t>CRV - 4x2 - 2007 &gt;</t>
  </si>
  <si>
    <t>57BWKH02E</t>
  </si>
  <si>
    <t>AL-684</t>
  </si>
  <si>
    <t>CHEVROLET - Cobalt 1.8 2017 &gt; / Onix 1.0 1.4 2017 &gt; / Prisma 1.0 1.4 2017 &gt; / Spin 1.8 2017 &gt;</t>
  </si>
  <si>
    <t>13593156</t>
  </si>
  <si>
    <t>AL-685</t>
  </si>
  <si>
    <t>MERCEDES BENZ - Sprinter 311 / 415 - 2013 &gt; 2017</t>
  </si>
  <si>
    <t>A9063503710</t>
  </si>
  <si>
    <t>AL-686</t>
  </si>
  <si>
    <t>NISSAN - Pathfinder 4.0 V6 c/ABS / Pathfinder 2.5 16V 4x4 c/ABS - 2005 &gt; 2012</t>
  </si>
  <si>
    <t>40202-AX01A</t>
  </si>
  <si>
    <t>AL-687</t>
  </si>
  <si>
    <t xml:space="preserve">SSANGYONG - Actyon 4x4 2007 &gt;; Kyron 2.0 diesel/ 2.3 gasolina 2007 &gt; 2012; Rexton II 4x4 2.7 2002 &gt; 2015; </t>
  </si>
  <si>
    <t>4142009403</t>
  </si>
  <si>
    <t>AL-689</t>
  </si>
  <si>
    <t>FORD - F4000 4x2 - 3.9 L 8v Sohc L4 1996 &gt; 2005 / Euromec III 4x2 - 3.9 L 8v Sohc L4 2005 &gt; 2011</t>
  </si>
  <si>
    <t>AL-69</t>
  </si>
  <si>
    <t xml:space="preserve">FORD - Ka Todos 1996&gt;; </t>
  </si>
  <si>
    <t>97KB-5494-BA</t>
  </si>
  <si>
    <t>AL-690</t>
  </si>
  <si>
    <t>FORD - F250 - 4x4 / 2006 &gt;</t>
  </si>
  <si>
    <t>AL-692</t>
  </si>
  <si>
    <t>VOLVO - Volvo S60 1.6 2011 a 2017 / Volvo S60 2.0 2011 a 2017 / Volvo S60 2.5 2011 a 2017 / Volvo S60 3.0 2011 a 2017 / Volvo S80 3.0 2007 a 2015 / Volvo S80 3.2 2007 a 2015 / Volvo S80 4.4 2007 a 2015 / Volvo V60 2.0 2014 a 2017 / Volvo V60 2.5 2014 a 2017 / Volvo V60 3.0 2014 a 2017 / Volvo V70 3.2 2008 a 2010 / Volvo XC60 2.5 2010 a 2016 / Volvo XC60 2.0 2010 a 2016 / Volvo XC60 3.0 2010 a 2016 / Volvo XC60 3.2 2010 a 2016 / Volvo XC70 3.0 2008 a 2015 / Volvo XC70 3.2 2008 a 2015</t>
  </si>
  <si>
    <t xml:space="preserve">32246175 AD8BJ </t>
  </si>
  <si>
    <t>AL-693</t>
  </si>
  <si>
    <t xml:space="preserve">KIA - Picanto 1.0 - 2016 &gt;; </t>
  </si>
  <si>
    <t>AL-695</t>
  </si>
  <si>
    <t>KIA - Soul - 2014 &gt;;</t>
  </si>
  <si>
    <t>52750-B2xxx</t>
  </si>
  <si>
    <t>AL-700</t>
  </si>
  <si>
    <t>SCANIA</t>
  </si>
  <si>
    <t xml:space="preserve">SCANIA - 111  ; 112  ; 752  ; </t>
  </si>
  <si>
    <t>AL-701</t>
  </si>
  <si>
    <t>AL-702</t>
  </si>
  <si>
    <t xml:space="preserve">SCANIA - 751  ; L110  ; </t>
  </si>
  <si>
    <t>AL-703</t>
  </si>
  <si>
    <t xml:space="preserve">SCANIA - 112 Moderno ; 142 Moderno ; 770 Moderno ; </t>
  </si>
  <si>
    <t>AL-708</t>
  </si>
  <si>
    <t>TOYOTA - Corolla  1.8 / 2.0  2020 &gt;</t>
  </si>
  <si>
    <t>AL-709</t>
  </si>
  <si>
    <t xml:space="preserve">SCANIA -  Todos - M50x1.5 mm ; </t>
  </si>
  <si>
    <t>AL-71</t>
  </si>
  <si>
    <t xml:space="preserve">FORD - Belina  1979/...; Corcel II 1979/...; Del Rey  1979/...; </t>
  </si>
  <si>
    <t>CORCEL II/DEL REY</t>
  </si>
  <si>
    <t>AL-710</t>
  </si>
  <si>
    <t>AL-711</t>
  </si>
  <si>
    <t xml:space="preserve">SCANIA - 111  ; 112  ; L110  ; </t>
  </si>
  <si>
    <t>AL-712</t>
  </si>
  <si>
    <t xml:space="preserve">SCANIA -  Todos ; </t>
  </si>
  <si>
    <t>AL-714</t>
  </si>
  <si>
    <t>AL-715</t>
  </si>
  <si>
    <t>AL-717</t>
  </si>
  <si>
    <t xml:space="preserve">PEUGEOT - 207 1.4/1.6 2012&gt;2015; 2008 1.6 16V 2014&gt;; </t>
  </si>
  <si>
    <t>517647</t>
  </si>
  <si>
    <t>AL-718</t>
  </si>
  <si>
    <t xml:space="preserve">PEUGEOT - 207 1.6 2012&gt;2015; 208 1.6 2012&gt;2015; 2008 1.6 16V 2014&gt;; </t>
  </si>
  <si>
    <t>517633</t>
  </si>
  <si>
    <t>AL-719</t>
  </si>
  <si>
    <t>SCANIA - 111/112/l110</t>
  </si>
  <si>
    <t>169.136</t>
  </si>
  <si>
    <t>AL-720</t>
  </si>
  <si>
    <t xml:space="preserve">SCANIA - LK140  ; LK141  ; </t>
  </si>
  <si>
    <t>AL-721</t>
  </si>
  <si>
    <t xml:space="preserve">SCANIA - 112  1985/...; 142  1985/...; </t>
  </si>
  <si>
    <t>AL-722</t>
  </si>
  <si>
    <t>AL-723</t>
  </si>
  <si>
    <t xml:space="preserve">SCANIA - R142  1985/...; T112 Intercooler 1985/...; T112 Simples 1985/...; </t>
  </si>
  <si>
    <t>AL-726</t>
  </si>
  <si>
    <t xml:space="preserve">FORD - Taurus  1992 &gt; 1996; </t>
  </si>
  <si>
    <t>FZDZ1104A</t>
  </si>
  <si>
    <t>AL-728</t>
  </si>
  <si>
    <t xml:space="preserve">FORD - Mondeo c/ABS 2000 &gt;; </t>
  </si>
  <si>
    <t>1S712C299AJ</t>
  </si>
  <si>
    <t>AL-729</t>
  </si>
  <si>
    <t xml:space="preserve">TOYOTA - Bandeirante  1980/1982; </t>
  </si>
  <si>
    <t>4343198003</t>
  </si>
  <si>
    <t>AL-73</t>
  </si>
  <si>
    <t xml:space="preserve">FORD - Escort  1984/1986; Escort  1990/1992; Verona  1990/1992; VOLKSWAGEN - Apollo Todos ; </t>
  </si>
  <si>
    <t>AL-730</t>
  </si>
  <si>
    <t xml:space="preserve">TOYOTA - Bandeirante  1983 &gt; 2001; </t>
  </si>
  <si>
    <t>4343198005</t>
  </si>
  <si>
    <t>AL-731</t>
  </si>
  <si>
    <t>AL-732</t>
  </si>
  <si>
    <t xml:space="preserve">CHRYSLER - Plymouth  1996 &gt; 2000; Sebring c/ABS 1996 &gt; 2000; Stratus  1995 &gt; 2006; </t>
  </si>
  <si>
    <t>04616263AA</t>
  </si>
  <si>
    <t>AL-733</t>
  </si>
  <si>
    <t xml:space="preserve">JEEP - Grand Cherokee  1999 &gt; 2004; </t>
  </si>
  <si>
    <t>52098679AD</t>
  </si>
  <si>
    <t>AL-734</t>
  </si>
  <si>
    <t xml:space="preserve">DODGE - Grand Caravan aro 14 c/ABS (disco freio tras.) 1996&gt;2000; </t>
  </si>
  <si>
    <t>4721515</t>
  </si>
  <si>
    <t>AL-736</t>
  </si>
  <si>
    <t xml:space="preserve">CHRYSLER - Plymouth  1996 &gt; 2000; Sebring  1996 &gt; 2000; Stratus  1995 &gt; 2006; </t>
  </si>
  <si>
    <t>4578144AA</t>
  </si>
  <si>
    <t>AL-737</t>
  </si>
  <si>
    <t xml:space="preserve">CHEVROLET / GM - Tracker 4x4 c/ Abs 2001&gt;; Tracker 4x4 c/ Abs 2001&gt;; Vitara c/ABS 1993&gt;; </t>
  </si>
  <si>
    <t>3002589</t>
  </si>
  <si>
    <t>AL-738</t>
  </si>
  <si>
    <t xml:space="preserve">SUZUKI - Baleno s/ABS ; </t>
  </si>
  <si>
    <t>4340260G21</t>
  </si>
  <si>
    <t>AL-739</t>
  </si>
  <si>
    <t xml:space="preserve">SUZUKI - Baleno c/ABS ; </t>
  </si>
  <si>
    <t>Baleno</t>
  </si>
  <si>
    <t>AL-74</t>
  </si>
  <si>
    <t xml:space="preserve">FORD - Escort 1.6 1987/1989; </t>
  </si>
  <si>
    <t>86AU5494-A</t>
  </si>
  <si>
    <t>AL-740</t>
  </si>
  <si>
    <t xml:space="preserve">HYUNDAI - Accent  1999 &gt; 2002; </t>
  </si>
  <si>
    <t>5175025000</t>
  </si>
  <si>
    <t>AL-741</t>
  </si>
  <si>
    <t>5271025001</t>
  </si>
  <si>
    <t>AL-742</t>
  </si>
  <si>
    <t xml:space="preserve">HONDA - Accord s/ABS 1990 &gt; 1997; </t>
  </si>
  <si>
    <t>42200SV1008</t>
  </si>
  <si>
    <t>AL-745</t>
  </si>
  <si>
    <t xml:space="preserve">BMW - 318 c/ABS 1983 &gt; 1985; 325e c/ABS 1984 &gt; 1987; 325i c/ABS 1987 &gt; 1991; </t>
  </si>
  <si>
    <t>31211127307</t>
  </si>
  <si>
    <t>AL-746</t>
  </si>
  <si>
    <t xml:space="preserve">MITSUBISHI - Colt  &lt; 2000; Lancer  &lt; 2000; Mirage  &lt; 2000; </t>
  </si>
  <si>
    <t>MB-844919</t>
  </si>
  <si>
    <t>AL-747</t>
  </si>
  <si>
    <t xml:space="preserve">PEUGEOT - 405 c/ABS ; </t>
  </si>
  <si>
    <t>370154</t>
  </si>
  <si>
    <t>AL-748</t>
  </si>
  <si>
    <t xml:space="preserve">RENAULT - Laguna 2.0 16V 1997 &gt;; Laguna 3.0 12V V6 c/ABS Magnético ; </t>
  </si>
  <si>
    <t>7701205471</t>
  </si>
  <si>
    <t>AL-75</t>
  </si>
  <si>
    <t xml:space="preserve">FORD - Escort 1.0 Hobby ; Escort 1.6 Hobby ; Escort SW  ; </t>
  </si>
  <si>
    <t>542411309 A</t>
  </si>
  <si>
    <t>AL-753</t>
  </si>
  <si>
    <t xml:space="preserve">MAZDA - 323  ; MX3 protege c/ABS ; </t>
  </si>
  <si>
    <t>MAZDA</t>
  </si>
  <si>
    <t>B60332615XA</t>
  </si>
  <si>
    <t>AL-754</t>
  </si>
  <si>
    <t xml:space="preserve">HONDA - Civic s/ABS &lt; 1995; </t>
  </si>
  <si>
    <t>42200SB2028</t>
  </si>
  <si>
    <t>AL-756</t>
  </si>
  <si>
    <t xml:space="preserve">NISSAN - Sentra 2.0 MR20 c/ABS &lt;2013; </t>
  </si>
  <si>
    <t>40202ET01A</t>
  </si>
  <si>
    <t>AL-757</t>
  </si>
  <si>
    <t xml:space="preserve">NISSAN - Sentra 2.0 MR20 (tambor freio tras.) c/ABS &lt;2013; </t>
  </si>
  <si>
    <t>43202ET010</t>
  </si>
  <si>
    <t>AL-758</t>
  </si>
  <si>
    <t xml:space="preserve">NISSAN - Livina c/ABS 2009&gt;; Tiida c/ABS 2007&gt;; </t>
  </si>
  <si>
    <t>43202EL000</t>
  </si>
  <si>
    <t>AL-759</t>
  </si>
  <si>
    <t>40202EL000</t>
  </si>
  <si>
    <t>AL-76</t>
  </si>
  <si>
    <t xml:space="preserve">FORD - Escort  1993/...; Escort 1.8 16V Zetec ; Escort SW  ; Verona  ; VOLKSWAGEN - Logus  ; Pointer  ; </t>
  </si>
  <si>
    <t>94AB5494-AA</t>
  </si>
  <si>
    <t>AL-760</t>
  </si>
  <si>
    <t>VW - T-Cross / Nivus - 2020 &gt;; Virtus - 2018 &gt; ;</t>
  </si>
  <si>
    <t>PE - SUV</t>
  </si>
  <si>
    <t>2QB501117</t>
  </si>
  <si>
    <t>AL-761</t>
  </si>
  <si>
    <t xml:space="preserve">HYUNDAI - iX35  2010&gt;; Sonata  2010 &gt;; KIA - Carens  2008 &gt;; Sportage  2011 &gt;02012; </t>
  </si>
  <si>
    <t>AL-762</t>
  </si>
  <si>
    <t xml:space="preserve">HYUNDAI - Elantra  2010 &gt;; KIA - Cerato 1.6/16V 2008 &gt; 2013; Soul 1.6/16V 2009 &gt; 2013; </t>
  </si>
  <si>
    <t>517501P000</t>
  </si>
  <si>
    <t>AL-763</t>
  </si>
  <si>
    <t xml:space="preserve">HYUNDAI - Elantra c/ABS 2010 &gt;; i30 1.6 c/ABS 2013 &gt;; Veloster c/ABS 2011&gt;2013; </t>
  </si>
  <si>
    <t>527103X000</t>
  </si>
  <si>
    <t>AL-764</t>
  </si>
  <si>
    <t xml:space="preserve">HYUNDAI - Azera c/ABS 2012 &gt;; ix35 c/ABS 2010&gt;; Sonata c/ABS 2010 &gt;; KIA - Cadenza  2010&gt;; Carens  ; Optima II c/ABS ; Sportage 10MY 4x2 c/ABS 2003 &gt;; </t>
  </si>
  <si>
    <t>527303S200</t>
  </si>
  <si>
    <t>AL-765</t>
  </si>
  <si>
    <t xml:space="preserve">ASIA - Towner Pick up (disco freio diant.) 2008 &gt;; Towner Van (disco freio diant.) 2008 &gt;; </t>
  </si>
  <si>
    <t>ASIA</t>
  </si>
  <si>
    <t>AC 35010008</t>
  </si>
  <si>
    <t>AL-766</t>
  </si>
  <si>
    <t xml:space="preserve">VOLKSWAGEN - Brasilia todos 1970 &gt; 1982; Fusca 1300 1970 &gt; 1984; Fusca 1500 1970 &gt; 1974; Fusca 1600 1970 &gt; 1996; Sedan 1300 ; Sedan 1500 ; Sedan 1600 ; TL todos 1970 &gt; 1982; </t>
  </si>
  <si>
    <t>AL-767</t>
  </si>
  <si>
    <t xml:space="preserve">VOLKSWAGEN - Saveiro GV 5/6 s/ABS 2010 &gt;; </t>
  </si>
  <si>
    <t>5U7501611</t>
  </si>
  <si>
    <t>AL-768</t>
  </si>
  <si>
    <t xml:space="preserve">MITSUBISHI - Pajero Full 3.2/ 3.5 2001 &gt; 2006; </t>
  </si>
  <si>
    <t>MR-418068</t>
  </si>
  <si>
    <t>AL-769</t>
  </si>
  <si>
    <t xml:space="preserve">CHRYSLER - Neon tambor freio tras. 1996 &gt; 1999; </t>
  </si>
  <si>
    <t>AL-77</t>
  </si>
  <si>
    <t>AL-770</t>
  </si>
  <si>
    <t xml:space="preserve">HYUNDAI - Accent  &lt; 1995; Elantra  1996 &gt; 1998; </t>
  </si>
  <si>
    <t>5271029400</t>
  </si>
  <si>
    <t>AL-771</t>
  </si>
  <si>
    <t xml:space="preserve">NISSAN - Frontier 2.5 4x2 c/ABS 6 Furos 2008 &gt;; </t>
  </si>
  <si>
    <t>40202EB70B</t>
  </si>
  <si>
    <t>AL-772</t>
  </si>
  <si>
    <t xml:space="preserve">NISSAN - Frontier 2.5 4x4 c/ABS 2008 &gt;; </t>
  </si>
  <si>
    <t>40202JR70B</t>
  </si>
  <si>
    <t>AL-773</t>
  </si>
  <si>
    <t xml:space="preserve">FIAT - Doblo 1.8 2007 &gt; 2009; Doblo Adventure Locker 1.8 8V 2010 &gt;; Idea 1.8 2007 &gt;; Idea Adventure 1.8 16V (diferencial blocante) 2011 &gt;; Idea Adventure 1.8 8V (diferencial blocante) 2010 &gt; 2010; Palio Adventure 1.3 16V 2009 &gt;; Palio Adventure 1.8 16V 2009 &gt;; Palio Adventure 1.8 2009 &gt;; Palio Locker 2009 &gt;; Palio Weekend 1.3 16V 2009 &gt;; Palio Weekend 1.8 16V 2009 &gt;; Palio Weekend 1.8 2009 &gt;; Strada 1.8 2009 &gt;; Strada Locker 1.8 2010 &gt;; </t>
  </si>
  <si>
    <t>AL-774</t>
  </si>
  <si>
    <t xml:space="preserve">MITSUBISHI - Pajero Full 3.2/ 3.5 - s/ABS 2000 &gt; 2006; </t>
  </si>
  <si>
    <t>3880A024</t>
  </si>
  <si>
    <t>AL-775</t>
  </si>
  <si>
    <t xml:space="preserve">INFINITI - FX35 c/ABS 2005&gt;; </t>
  </si>
  <si>
    <t>INFINITI</t>
  </si>
  <si>
    <t>INFINITI-FX35</t>
  </si>
  <si>
    <t>AL-776</t>
  </si>
  <si>
    <t xml:space="preserve">INFINITI - FX50 c/ABS 2008&gt;; </t>
  </si>
  <si>
    <t>INFINITI-FX50</t>
  </si>
  <si>
    <t>AL-777</t>
  </si>
  <si>
    <t xml:space="preserve">MITSUBISHI - L200 4x4 - Triton 2007 &gt;; Pajero Dakar 2008 &gt;; </t>
  </si>
  <si>
    <t>MR-992374</t>
  </si>
  <si>
    <t>AL-778</t>
  </si>
  <si>
    <t xml:space="preserve">CITROEN - Xsara Picasso 2.0 16V c/ABS Magnético 2001 &gt;; </t>
  </si>
  <si>
    <t>3 748 88</t>
  </si>
  <si>
    <t>AL-779</t>
  </si>
  <si>
    <t xml:space="preserve">HONDA - Fit Automático (LE) 2003&gt;; Fit Mecânico (LE) 2003&gt;; </t>
  </si>
  <si>
    <t>44310 S5A 300</t>
  </si>
  <si>
    <t>AL-78</t>
  </si>
  <si>
    <t xml:space="preserve">FORD - Pick Up  1961&gt;1981; Rural Willys 4x4 ; Rural Willys 4x4 1958&gt;1972; </t>
  </si>
  <si>
    <t>AL-780</t>
  </si>
  <si>
    <t xml:space="preserve">HYUNDAI - i30 2.0 2009&gt;; </t>
  </si>
  <si>
    <t>517502H000</t>
  </si>
  <si>
    <t>AL-781</t>
  </si>
  <si>
    <t xml:space="preserve">HYUNDAI - i30 2.0 c/ABS 2009&gt;2012; </t>
  </si>
  <si>
    <t>527302H000</t>
  </si>
  <si>
    <t>AL-782</t>
  </si>
  <si>
    <t xml:space="preserve">AUDI - A3 (novo) c/ABS Magnético 2006 &gt;; TT c/ABS Magnético 2006 &gt;; VOLKSWAGEN - Fusca 2.0 2013 &gt;; Jetta 2.0/ 2.5 - c/ABS Magnético 2006 &gt;; Passat 2.0/ 2.8 - c/ABS Magnético 2006 &gt;; Tiguan 1.4/ 2.0 - c/ABS Magnético 2006 &gt;; </t>
  </si>
  <si>
    <t>1T0598611 B</t>
  </si>
  <si>
    <t>AL-783</t>
  </si>
  <si>
    <t xml:space="preserve">AUDI - A3 c/ABS Magnético 2006 &gt;; A3 Sportback 2.0 Turbo c/ABS Magnético 2009 &gt;; TT c/ABS Magnético 2006 &gt;; TT Quattro c/ABS Magnético ; VOLKSWAGEN - Fusca 2.0 2013 &gt;; Jetta 2.0/ 2.5 - c/ABS Magnético 2006 &gt;; Passat 2.0/ 2.8 - c/ABS Magnético 2006 &gt;; Tiguan 1.4/ 2.0 - c/ABS Magnético 2006 &gt;; </t>
  </si>
  <si>
    <t>8J0598625</t>
  </si>
  <si>
    <t>AL-784</t>
  </si>
  <si>
    <t xml:space="preserve">CHRYSLER - Avanger  ; Sebring c/ABS ; Stratus  ; MITSUBISHI - Eclipse c/ e s/ABS 1994 &gt; 1999; </t>
  </si>
  <si>
    <t>MB-892408</t>
  </si>
  <si>
    <t>AL-786</t>
  </si>
  <si>
    <t xml:space="preserve">DODGE - Dakota Nacional 2003 &gt;; </t>
  </si>
  <si>
    <t>52 069 361</t>
  </si>
  <si>
    <t>AL-787</t>
  </si>
  <si>
    <t xml:space="preserve">DODGE - Ram 2500 4x4 c/ABS 2006 &gt; 2008; </t>
  </si>
  <si>
    <t>05179955 AA</t>
  </si>
  <si>
    <t>AL-788</t>
  </si>
  <si>
    <t xml:space="preserve">HYUNDAI - Santa Fé  2005&gt;; Vera Cruz  2007&gt;; KIA - Sorento  2009&gt;; </t>
  </si>
  <si>
    <t>51750 3J000</t>
  </si>
  <si>
    <t>AL-789</t>
  </si>
  <si>
    <t xml:space="preserve">TOYOTA - Corolla c/ABS (c/ tambor freio tras.) 1997 &gt; 2002; </t>
  </si>
  <si>
    <t>AL-79</t>
  </si>
  <si>
    <t xml:space="preserve">CHEVROLET / GM - Agile  2010&gt;2014; Astra  1995&gt;1996; Astra  1999&gt;2011; Blazer  1995&gt;2011; Calibra  1994&gt;1995; Celta  2001&gt;2016; Chevette  1973&gt;1994; Cobalt  2012&gt;2015; Corsa  1994&gt;2016; Cruze  2012&gt;2015; Kadett  1989&gt;1998; Meriva  2002&gt;2012; Montana  2002&gt;2016; Monza  1982&gt;1996; Omega  1993&gt;1998; Onix  2013&gt;2015; Prisma  2007&gt;2015; S10  1995&gt;2016; Sonic  2012&gt;2014; Spin  2013&gt;2016; Tigra  1998&gt;2000; Tracker  2014&gt;2015; Vectra  1994&gt;2011; Zafira  1999&gt;2011; </t>
  </si>
  <si>
    <t>11056093</t>
  </si>
  <si>
    <t>AL-790</t>
  </si>
  <si>
    <t xml:space="preserve">AUDI - A4 3.0 c/ABS 2002 &gt;; </t>
  </si>
  <si>
    <t>8033755 AA</t>
  </si>
  <si>
    <t>AL-791</t>
  </si>
  <si>
    <t xml:space="preserve">HYUNDAI - Azera c/ABS &lt; 2011; </t>
  </si>
  <si>
    <t>527303K200</t>
  </si>
  <si>
    <t>AL-792</t>
  </si>
  <si>
    <t xml:space="preserve">HYUNDAI - Azera  2007&gt;; Sportage 4x2 2011 &gt;; </t>
  </si>
  <si>
    <t>517503K000</t>
  </si>
  <si>
    <t>AL-793</t>
  </si>
  <si>
    <t xml:space="preserve">HONDA - Accord  1992/1997; </t>
  </si>
  <si>
    <t>44200 SM1008</t>
  </si>
  <si>
    <t>AL-794</t>
  </si>
  <si>
    <t xml:space="preserve">HYUNDAI - HR  2005 &gt;; </t>
  </si>
  <si>
    <t>AL-795</t>
  </si>
  <si>
    <t xml:space="preserve">HONDA - Accord EX 2008 &gt;; Accord EX V6 2008 &gt;; </t>
  </si>
  <si>
    <t>44600TAOAOO</t>
  </si>
  <si>
    <t>AL-796</t>
  </si>
  <si>
    <t xml:space="preserve">HONDA - Accord EX 2003 &gt; 2007; Accord EX V6 2003 &gt; 2007; Accord LX 2003 &gt; 2007; New Civic LXR - 2.0 2014  &gt;  2016; </t>
  </si>
  <si>
    <t>44600SDAA00</t>
  </si>
  <si>
    <t>AL-797</t>
  </si>
  <si>
    <t xml:space="preserve">HONDA - Accord EX V6 c/ABS (c/ freio disco tras.) 2008 &gt;2012; Accord LX V6 c/ABS (c/ freio disco tras.) 2008 &gt;2012; </t>
  </si>
  <si>
    <t>42200TA0A51</t>
  </si>
  <si>
    <t>AL-798</t>
  </si>
  <si>
    <t xml:space="preserve">HONDA - Accord EX c/ABS (c/ freio disco tras.) 2003 &gt; 2007; Accord EX V6 c/ABS (c/ freio disco tras.) 2003 &gt; 2007; Accord LX c/ABS (c/ freio disco tras.) 2003 &gt; 2007; </t>
  </si>
  <si>
    <t>42200SDAA51</t>
  </si>
  <si>
    <t>AL-799</t>
  </si>
  <si>
    <t xml:space="preserve">HONDA - Accord EX c/ABS (c/ freio disco tras.) 1998 &gt; 2002; Accord EXR c/ABS (c/ freio disco tras.) 1998 &gt; 2002; </t>
  </si>
  <si>
    <t>42200S84A51</t>
  </si>
  <si>
    <t>AL-80</t>
  </si>
  <si>
    <t>AL-800</t>
  </si>
  <si>
    <t xml:space="preserve">FORD - Royale todos 1991 &gt;; Versailles todos 1991 &gt;; VOLKSWAGEN - Gol 1.0 16V 08/2000 &gt;; Gol 1.0 16V Turbo 2000 &gt;; Gol 1.0 8V 08/2000 &gt;; Gol 1.0 G5 07/2008 &gt;; Gol G6 1.0 2012&gt;; Gol GTI 1989 &gt;; Gol todos 1980 &gt;; Parati 1.0 16V Turbo 2000 &gt;; Parati 1.6 1998 &gt;; Parati 2000 i 1997 &gt;; Parati todos 1982 &gt; 07/1985; Passat todos 1974 &gt; 1999; Polo Classic 1.8i 12/1995 &gt;; Quantum todos 1986 &gt; 1993; Santana todos 1984 &gt; 2006; Saveiro 1.8 08/1986 &gt;; Saveiro 2.0 1998 &gt;; Saveiro G5 / G6 2009&gt;; Saveiro todos 1982 &gt; 07/1986; Voyage (novo) 2009 &gt;; Voyage Sport 1990 &gt; 1994; Voyage todos 1982 &gt; 1996; </t>
  </si>
  <si>
    <t>ZBA407615</t>
  </si>
  <si>
    <t>AL-801</t>
  </si>
  <si>
    <t xml:space="preserve">FORD - Royale  ; Versailles  ; SEAT - Cordoba  .../1996; Ibiza  .../1996; VOLKSWAGEN - Fox 1.0 2OO4&gt;2014; Gol s/ ABS ; Golf GL - s/ Freio à Disco Traseiro 02.1995/07.1998; Golf GLX - s/ Freio à Disco Traseiro 02.1995/07.1998; Parati s/ ABS ; Passat s/ ABS ; Polo s/ ABS 1997&gt;; Quantum s/ ABS ; Santana s/ ABS ; Saveiro s/ ABS ; Voyage s/ ABS ; </t>
  </si>
  <si>
    <t>AL-802</t>
  </si>
  <si>
    <t xml:space="preserve">VOLKSWAGEN - Passat  Todos; </t>
  </si>
  <si>
    <t>803721154.1</t>
  </si>
  <si>
    <t>AL-803</t>
  </si>
  <si>
    <t xml:space="preserve">VOLKSWAGEN - Gol  Todos; Parati  ; Passat  ; Santana  ; Voyage  ; </t>
  </si>
  <si>
    <t>803711237.A</t>
  </si>
  <si>
    <t>AL-804</t>
  </si>
  <si>
    <t xml:space="preserve">SEAT - Cordoba  todos; Ibiza todos todos; Inca Furgão todos; Pick up Van 1998 &gt;; Toledo todos ; VOLKSWAGEN - Caddy Box 1.8 Tdi 1996 &gt; 2004; Corrado 1.8i 16V 04/1989 &gt; 07/1992; Corrado 2.0i 04/1983 &gt; 12/1995; Corrado 2.0i 16V 08/1991 &gt; 12/1995; Golf (II) 1.8 Gti 04/1990 &gt; 07/1991; Golf (III) 1.4 11/1991 &gt; 08/1997; Golf (III) 1.6 11/1991 &gt; 08/1997; Golf (III) 1.8 11/1991 &gt; 08/1997; Golf (III) 1.9 Diesel 11/1991 &gt; 08/1997; Golf (III) 2.0 11/1991 &gt; 08/1997; Golf 1.8i c/ABS 1995 &gt; 04/1998; Golf 2.0i 09/1993 &gt; 04/1998; Golf Cabrio (III) 1.8i c/ABS 1995 &gt; 04/1998; Golf Cabrio (III) 2.0i 09/1993 &gt; 04 &gt; 1998; Golf GL 1993 &gt; 1998; Golf GLX 1993 &gt; 1998; Golf GTI 1993 &gt; 1998; Golf Variant (III) 07/1993 &gt; 04/1999; Jetta (II) 1984 &gt; 1992; Polo Classic ; Polo Classic s/ABS 1998 &gt;; Van Pick up 1995 &gt; 1998; Vento  1991 &gt; 1998; </t>
  </si>
  <si>
    <t>AL-807</t>
  </si>
  <si>
    <t xml:space="preserve">VOLKSWAGEN - Golf GLX (c/ Freio à Disco 4 Rodas) ; Golf GTI (c/ Freio à Disco 4 Rodas) ; </t>
  </si>
  <si>
    <t>191501117-E</t>
  </si>
  <si>
    <t>AL-808</t>
  </si>
  <si>
    <t>191501118-D</t>
  </si>
  <si>
    <t>AL-809</t>
  </si>
  <si>
    <t xml:space="preserve">SEAT - Cordoba todos c/ABS todos; Ibiza GLX c/ABS todos; Ibiza SXE c/ABS todos; VOLKSWAGEN - Golf todos c/ABS 1994 &gt; 1998; Passat Alemão 2.0 c/ABS 1994 &gt; 1998; Polo Classic c/ABS ; </t>
  </si>
  <si>
    <t>357407613-B</t>
  </si>
  <si>
    <t>AL-810</t>
  </si>
  <si>
    <t xml:space="preserve">VOLKSWAGEN - Gol  1982/...; Parati  1982/...; Voyage  1982/...; </t>
  </si>
  <si>
    <t>305199331.1</t>
  </si>
  <si>
    <t>AL-811</t>
  </si>
  <si>
    <t xml:space="preserve">VOLKSWAGEN - Gol  &lt;1981; Passat  Todos; Voyage  &lt;1981; </t>
  </si>
  <si>
    <t>ZBA199331</t>
  </si>
  <si>
    <t>AL-813</t>
  </si>
  <si>
    <t xml:space="preserve">VOLKSWAGEN - Kombi Nacional ; </t>
  </si>
  <si>
    <t>PE - Utilitario</t>
  </si>
  <si>
    <t>211501231-4</t>
  </si>
  <si>
    <t>AL-814</t>
  </si>
  <si>
    <t xml:space="preserve">VOLKSWAGEN - Brasilia Diant Todos; Fusca Diant ; Gol Diant ; Parati Diant ; Passat Diant ; Santana Diant ; Voyage Diant ; </t>
  </si>
  <si>
    <t>305501249.1</t>
  </si>
  <si>
    <t>AL-815</t>
  </si>
  <si>
    <t xml:space="preserve">VOLKSWAGEN - Brasilia  Todos; Fusca  Todos; </t>
  </si>
  <si>
    <t>305501249.2</t>
  </si>
  <si>
    <t>AL-816</t>
  </si>
  <si>
    <t xml:space="preserve">VOLKSWAGEN - Brasilia Todos 1967/1986; Fusca Todos ; Kombi Todos 1967/1986; </t>
  </si>
  <si>
    <t>080141701-2</t>
  </si>
  <si>
    <t>AL-817</t>
  </si>
  <si>
    <t xml:space="preserve">VOLKSWAGEN - Brasilia  1973/...; Fusca Todos 1973/...; Kombi  1973/...; </t>
  </si>
  <si>
    <t>080141701-1</t>
  </si>
  <si>
    <t>AL-818</t>
  </si>
  <si>
    <t>PINO MANGA</t>
  </si>
  <si>
    <t xml:space="preserve">VOLKSWAGEN - Kombi 1500 ; Kombi 1600 ; </t>
  </si>
  <si>
    <t>PM - Utilitario</t>
  </si>
  <si>
    <t>2114053671</t>
  </si>
  <si>
    <t>AL-819</t>
  </si>
  <si>
    <t>AL-82</t>
  </si>
  <si>
    <t xml:space="preserve">CHEVROLET / GM - Chevette 4 Marchas Todos; Opala 4 Cilindros - 4 Marchas ; Opala 6 Cilindros - 4 Marchas ; </t>
  </si>
  <si>
    <t>AL-820</t>
  </si>
  <si>
    <t>S/ROLAMENTO</t>
  </si>
  <si>
    <t>AL-821</t>
  </si>
  <si>
    <t>AL-828</t>
  </si>
  <si>
    <t>TORÇÃO/FACÃO</t>
  </si>
  <si>
    <t xml:space="preserve">VOLKSWAGEN - Kombi Clipper - c/ Cruzeta 02.1978/...; </t>
  </si>
  <si>
    <t>211511205.4</t>
  </si>
  <si>
    <t>AL-829</t>
  </si>
  <si>
    <t xml:space="preserve">VOLKSWAGEN - Fusca  Todos; </t>
  </si>
  <si>
    <t>113511205.1</t>
  </si>
  <si>
    <t>AL-83</t>
  </si>
  <si>
    <t xml:space="preserve">CHEVROLET / GM - Chevette 5 Marchas Todos; </t>
  </si>
  <si>
    <t>AL-830</t>
  </si>
  <si>
    <t xml:space="preserve">VOLKSWAGEN - Brasilia Todos Todos; </t>
  </si>
  <si>
    <t>102511205.2</t>
  </si>
  <si>
    <t>AL-831</t>
  </si>
  <si>
    <t xml:space="preserve">VOLKSWAGEN - Kombi Clipper - c/ Homocinética 02.1978/...; </t>
  </si>
  <si>
    <t>AL-832</t>
  </si>
  <si>
    <t xml:space="preserve">VOLKSWAGEN - Variant  Todos; </t>
  </si>
  <si>
    <t>111511205.A</t>
  </si>
  <si>
    <t>AL-833</t>
  </si>
  <si>
    <t xml:space="preserve">VOLKSWAGEN - Kombi 1600 Todos; </t>
  </si>
  <si>
    <t>211511205.2</t>
  </si>
  <si>
    <t>AL-834</t>
  </si>
  <si>
    <t xml:space="preserve">VOLKSWAGEN - Gol 1.6 (Bolinha) ; Gol 1.8 (Bolinha) ; Gol G III - 1.0 16V ; </t>
  </si>
  <si>
    <t>AL-835</t>
  </si>
  <si>
    <t xml:space="preserve">VOLKSWAGEN - Gol G III - 2.0 16V ; </t>
  </si>
  <si>
    <t>377411309A</t>
  </si>
  <si>
    <t>AL-836</t>
  </si>
  <si>
    <t xml:space="preserve">VOLKSWAGEN - Gol  ; Gol G II - 1.0 8V 1998/...; Gol G III - 1.0 8V 1998/...; Gol G IV - 1.0 8V 1998/...; Parati  ; Parati  1994/1997; Saveiro  1994/...; Saveiro BX 1982/1995; Voyage  ; </t>
  </si>
  <si>
    <t>307411309-6</t>
  </si>
  <si>
    <t>AL-837</t>
  </si>
  <si>
    <t xml:space="preserve">VOLKSWAGEN - Polo Todos 1997&gt;; </t>
  </si>
  <si>
    <t>6K5411309</t>
  </si>
  <si>
    <t>AL-838</t>
  </si>
  <si>
    <t xml:space="preserve">VOLKSWAGEN - Golf Todos 1994 &gt; 1998; </t>
  </si>
  <si>
    <t>1H0411309-C</t>
  </si>
  <si>
    <t>AL-839</t>
  </si>
  <si>
    <t xml:space="preserve">VOLKSWAGEN - Kombi Todos ; </t>
  </si>
  <si>
    <t>BB - Utilitario</t>
  </si>
  <si>
    <t>AL-84</t>
  </si>
  <si>
    <t xml:space="preserve">CHEVROLET / GM - Agile  2009 &gt;; Celta  2001 &gt;2016; Corsa Sedan / Corsa Classic -  1994 &gt;; Corsa Wagon / Corsa Pick-up  1997 &gt; 2003; Meriva  2002 &gt; 2012; Montana  2004 &gt; 2010; Montana Nova  2011 &gt;; Novo Corsa  2002 &gt; 2012; Onix  2013 &gt;; Prisma todos ; Tigra  1998 &gt; 2000; </t>
  </si>
  <si>
    <t>AL-841</t>
  </si>
  <si>
    <t xml:space="preserve">VOLKSWAGEN - Gol BX Refrigerado à Água 1984/1990; </t>
  </si>
  <si>
    <t>014141701-E</t>
  </si>
  <si>
    <t>AL-842</t>
  </si>
  <si>
    <t xml:space="preserve">VOLKSWAGEN - Gol BX Refrigerado à Água ; Parati G III - 1.6 ; Parati G III - 1.8 ; Santana  1991/...; </t>
  </si>
  <si>
    <t>AL-843</t>
  </si>
  <si>
    <t xml:space="preserve">VOLKSWAGEN - Gol 1.0 16V AT ; Gol 1.0 8V AT ; Parati 1.0 16V AT ; Parati 1.0 8V AT ; </t>
  </si>
  <si>
    <t>013141703-1</t>
  </si>
  <si>
    <t>AL-844</t>
  </si>
  <si>
    <t xml:space="preserve">VOLKSWAGEN - Fusca Todos 1967/1986; </t>
  </si>
  <si>
    <t>113721305-B</t>
  </si>
  <si>
    <t>AL-845</t>
  </si>
  <si>
    <t xml:space="preserve">VOLKSWAGEN - Kombi todos 1982 &gt;; </t>
  </si>
  <si>
    <t>2115016191CRT</t>
  </si>
  <si>
    <t>AL-846</t>
  </si>
  <si>
    <t xml:space="preserve">AUDI - A3 1.6i c/ABS 1996 &gt; 2007; A3 1.8 20V c/ABS 1996 &gt; 2007; A3 1.8i 20V Turbo c/ABS 1996 &gt; 2007; A3 1.9 Tdi c/ABS 1996 &gt; 2001; A4 c/ABS 1999 &gt; 2002; S3 c/ ABS ; TT c/ ABS ; VOLKSWAGEN - Bora 1.4 16V c/ABS 2000 &gt; 2005; Bora 1.6 16V c/ABS 2000 &gt; 2005; Bora 2.0 c/ABS 1998 &gt; 2015; Bora 2.3 V5 c/ABS 1998 &gt; 2000; Golf (IV) 1.4 16V c/ABS 1997 &gt; 2005; Golf (IV) 1.6 16V c/ABS 2000 &gt; 2005; Golf (IV) 2.3 V5 c/ABS 1997 &gt; 2000; Golf 1.6i c/ABS 1999 &gt;; Golf 1.8i 20V c/ABS 1999 &gt;; New Beetle 2.0 c/ABS 1998 &gt;; Polo 2.0 8V c/ABS 2002 &gt;; </t>
  </si>
  <si>
    <t>1JO-598477</t>
  </si>
  <si>
    <t>AL-846/A</t>
  </si>
  <si>
    <t xml:space="preserve">AUDI - A3 1.6i s/ABS 1996 &gt; 2007; A3 1.8 20V s/ABS 1996 &gt; 2007; A3 1.8i 20V Turbo s/ABS 1996 &gt; 2007; A3 1.9 Tdi s/ABS 1996 &gt; 2001; A4 s/ABS 1999 &gt; 2002; S3 c/ABS ; TT s/ABS ; VOLKSWAGEN - Bora 1.4 16V s/ABS 2000 &gt; 2005; Bora 1.6 16V s/ABS 2000 &gt; 2005; Bora 2.0 s/ABS 1998 &gt; 2015; Bora 2.3 V5 s/ABS 1998 &gt; 2000; Golf (IV) 1.4 16V s/ABS 1997 &gt; 2005; Golf (IV) 1.6 16V s/ABS 2000 &gt; 2005; Golf (IV) 2.3 V5 s/ABS 1997 &gt; 2000; Golf 1.6i s/ABS 1999 &gt;; Golf 1.8i 20V s/ABS 1999 &gt;; New Beetle 2.0 s/ABS 1998 &gt;; Polo 2.0 8V s/ABS 2002 &gt;; </t>
  </si>
  <si>
    <t>1JO598477S/ABS</t>
  </si>
  <si>
    <t>AL-847</t>
  </si>
  <si>
    <t xml:space="preserve">AUDI - A3 c/ABS e s/ABS .../1999; VOLKSWAGEN - Bora c/ABS e s/ABS .../2002; Candy Argentino - c/ABS e s/ABS 30.07.1999/...; Golf A4 - c/ABS e s/ABS .../2002; Golf Import - c/ABS e s/ABS .../2002; New Beetle c/ABS e s/ABS 30.07.1999/...; Pick Up Van c/ABS e s/ABS 30.07.1999/...; Saveiro GV / G6 - c/ABS e s/ABS 2010/..; </t>
  </si>
  <si>
    <t>1JO501117-B</t>
  </si>
  <si>
    <t>AL-848</t>
  </si>
  <si>
    <t>211405579-2</t>
  </si>
  <si>
    <t>AL-849</t>
  </si>
  <si>
    <t xml:space="preserve">AUDI - A4 s/ABS 08/1999 &gt;; VOLKSWAGEN - Golf s/ABS 08/1999 &gt;; </t>
  </si>
  <si>
    <t>1JO407615 A</t>
  </si>
  <si>
    <t>AL-85</t>
  </si>
  <si>
    <t xml:space="preserve">CHEVROLET / GM - Ipanema  1989/1990; Kadett  1989/1990; Monza  1982/1991; </t>
  </si>
  <si>
    <t>AL-850</t>
  </si>
  <si>
    <t xml:space="preserve">VOLKSWAGEN - Gol G III &lt; 2003; Parati 2.0 8V - c/ ABS ; Quantum 2.0 8V - c/ ABS ; Santana 2.0 8V - c/ ABS ; </t>
  </si>
  <si>
    <t>333501118/A</t>
  </si>
  <si>
    <t>AL-851</t>
  </si>
  <si>
    <t>333501117/A</t>
  </si>
  <si>
    <t>AL-852</t>
  </si>
  <si>
    <t xml:space="preserve">VOLKSWAGEN - Crossfox todos s/ABS 08/2006 &gt;; Fox 1.0 s/ABS 09/2003 &gt;; Fox 1.6 S/ABS 09/2003 &gt;; Polo todos s/ABS 08/2006 &gt;; </t>
  </si>
  <si>
    <t>5Z0407615</t>
  </si>
  <si>
    <t>AL-853</t>
  </si>
  <si>
    <t xml:space="preserve">VOLKSWAGEN - Polo s/ABS 05/2002 &gt; 12/2007; </t>
  </si>
  <si>
    <t>6Q0407621AC</t>
  </si>
  <si>
    <t>AL-854</t>
  </si>
  <si>
    <t xml:space="preserve">SEAT - Cordoba c/ABS ; Ibiza c/ABS ; VOLKSWAGEN - Crossfox c/ABS 2004 &gt;; Fox 1.0 c/ABS 2003 &gt;; Fox 1.6 c/ABS 2003 &gt;; Polo c/ABS 08/2007 &gt;; Polo GT c/ABS 2009 &gt;; Polo Sedan c/ABS 2005 &gt;; Spacefox c/ ABS ; </t>
  </si>
  <si>
    <t>6Q0407621AD</t>
  </si>
  <si>
    <t>AL-855</t>
  </si>
  <si>
    <t xml:space="preserve">VOLKSWAGEN - Golf GLX (Freio à Disco Traseiro) c/ ABS 1994/1997; Golf GTI (Freio à Disco Traseiro) c/ ABS 1994/1997; Passat 2.0 VR6 Import ; </t>
  </si>
  <si>
    <t>AL-856</t>
  </si>
  <si>
    <t>AL-857</t>
  </si>
  <si>
    <t xml:space="preserve">SEAT - Cordoba c/ ABS 2000 &gt; 2002; Cordoba s/ ABS 2000 &gt; 2002; Ibiza  1999 &gt;; VOLKSWAGEN - Polo Classic c/ ABS 2000 &gt; 2003; Polo Classic s/ ABS 2000 &gt; 2003; </t>
  </si>
  <si>
    <t>6XO 598477</t>
  </si>
  <si>
    <t>AL-858</t>
  </si>
  <si>
    <t xml:space="preserve">VOLKSWAGEN - Inca Pick Up c/ ABS ; Inca Van c/ ABS ; Saveiro G V - c/ ABS 2009&gt;; </t>
  </si>
  <si>
    <t>6K9 501477</t>
  </si>
  <si>
    <t>AL-859</t>
  </si>
  <si>
    <t xml:space="preserve">AUDI - A3  09.2000/...; A4  08.1999/...; VOLKSWAGEN - Crossfox  2006/...; Fox  2004/...; Gol G V 2009/...; Polo Hatch  08.2002/...; Polo Sedan  08.2002/...; Saveiro G V 2009/...; Spacefox  2006/...; Voyage  2009/...; </t>
  </si>
  <si>
    <t>02T 141153 P</t>
  </si>
  <si>
    <t>AL-86</t>
  </si>
  <si>
    <t xml:space="preserve">CHEVROLET / GM - Astra  1995/1996; </t>
  </si>
  <si>
    <t>AL-863</t>
  </si>
  <si>
    <t xml:space="preserve">RENAULT - Clio  1997&gt;; Logan  2007&gt;; Sandero  2008&gt;; </t>
  </si>
  <si>
    <t>AL-865</t>
  </si>
  <si>
    <t xml:space="preserve">RENAULT - Logan 1.0 16V &lt; 05/2009; Logan 1.6 8V &lt; 05/2009; Sandero 1.0 16V &lt; 05/2009; Sandero 1.6 8V &lt; 05/2009; </t>
  </si>
  <si>
    <t>6001547685</t>
  </si>
  <si>
    <t>AL-866</t>
  </si>
  <si>
    <t xml:space="preserve">TOYOTA - Corolla XEi - s/ ABS 2009 &gt;; Corolla XLi - s/ ABS 2009 &gt;; </t>
  </si>
  <si>
    <t>4241002180</t>
  </si>
  <si>
    <t>AL-867</t>
  </si>
  <si>
    <t xml:space="preserve">TOYOTA - Corolla XEi - c/ ABS 2009 &gt;; Corolla XLi - c/ ABS 2009 &gt;; </t>
  </si>
  <si>
    <t>4245002200</t>
  </si>
  <si>
    <t>AL-868</t>
  </si>
  <si>
    <t xml:space="preserve">TOYOTA - Corolla XEi 2009 &gt;; Corolla XLi 2009 &gt;; </t>
  </si>
  <si>
    <t>4350202100</t>
  </si>
  <si>
    <t>AL-869</t>
  </si>
  <si>
    <t xml:space="preserve">HONDA - City  2009&gt;; New Fit EX Freio à Disco Traseiro - c/ ABS 2009 &gt;; New Fit LXL Freio à Disco Traseiro - c/ ABS 2009 &gt;; </t>
  </si>
  <si>
    <t>42200TFON51</t>
  </si>
  <si>
    <t>AL-87</t>
  </si>
  <si>
    <t xml:space="preserve">CHEVROLET / GM - Opala  1978/...; </t>
  </si>
  <si>
    <t>AL-870</t>
  </si>
  <si>
    <t xml:space="preserve">HONDA - City  ; New Fit LX (Freio à Tambor Traseiro) - c/ ABS 2009 &gt;; </t>
  </si>
  <si>
    <t>42200TFOZ51</t>
  </si>
  <si>
    <t>AL-871</t>
  </si>
  <si>
    <t xml:space="preserve">CITROEN - C3 1.6 16V 2003&gt;; </t>
  </si>
  <si>
    <t>C3 - 1.6</t>
  </si>
  <si>
    <t>AL-873</t>
  </si>
  <si>
    <t xml:space="preserve">TOYOTA - Corolla 1.8 .../2002; </t>
  </si>
  <si>
    <t>AL-875</t>
  </si>
  <si>
    <t xml:space="preserve">CITROEN - Berlingo 1.8 2001&gt;; 306 XS 1995; Partner 1.8 .../1999; </t>
  </si>
  <si>
    <t>BERLINGO</t>
  </si>
  <si>
    <t>AL-876</t>
  </si>
  <si>
    <t xml:space="preserve">HONDA - Civic Automático .../2006; </t>
  </si>
  <si>
    <t>44310S5DA11</t>
  </si>
  <si>
    <t>AL-877</t>
  </si>
  <si>
    <t xml:space="preserve">CHEVROLET / GM - Cobalt 1.4 - Mecânico 2012/...; Spin 1.8 Mecânico 2012/...; HYUNDAI - HB20 1.6 16V - Automático 2012 &gt;; i30 2.0 16V Mecânico (LD) ; Tucson 2.0 16V - Mecânico 2005 &gt; 2009; KIA - Sephia  ; Soul 1.6 16V 2009 &gt;; Sportage 2.0 16V - Mecânico 2005 &gt; 2009; </t>
  </si>
  <si>
    <t>i30/SOUL/SPIN</t>
  </si>
  <si>
    <t>AL-878</t>
  </si>
  <si>
    <t xml:space="preserve">CHRYSLER - PT Cruiser  2001&gt;; </t>
  </si>
  <si>
    <t>1-04670292 AC</t>
  </si>
  <si>
    <t>AL-879</t>
  </si>
  <si>
    <t xml:space="preserve">CHRYSLER - Grand Caravan Aro 15 1997&gt;2007; Grand Caravan Aro 16 1997&gt;2007; </t>
  </si>
  <si>
    <t>BR-930215</t>
  </si>
  <si>
    <t>AL-88</t>
  </si>
  <si>
    <t xml:space="preserve">CHEVROLET / GM - Chevette Todos ; </t>
  </si>
  <si>
    <t>AL-880</t>
  </si>
  <si>
    <t xml:space="preserve">CHRYSLER - PT Cruiser c/ ABS (Freio à Disco Traseiro) 2001/...; </t>
  </si>
  <si>
    <t>AL-881</t>
  </si>
  <si>
    <t xml:space="preserve">CHRYSLER - Grand Caravan Aro 14 ; </t>
  </si>
  <si>
    <t>BR-930216</t>
  </si>
  <si>
    <t>AL-882</t>
  </si>
  <si>
    <t xml:space="preserve">HYUNDAI - Tucson 2.0 - 4x2 - s/ ABS 2007 &gt;; </t>
  </si>
  <si>
    <t>527102E000</t>
  </si>
  <si>
    <t>AL-883</t>
  </si>
  <si>
    <t xml:space="preserve">HYUNDAI - Tucson 2.7 V6 - 4x4 todos; KIA - New Sportage 4x2 2003 &gt;; New Sportage 4x4 2003 &gt;; Sportage MY 10 ; </t>
  </si>
  <si>
    <t>527102E500</t>
  </si>
  <si>
    <t>AL-884</t>
  </si>
  <si>
    <t xml:space="preserve">HYUNDAI - Tucson 2.0 4x2 c/ABS (disco freio tras.) 2005 &gt;2010; KIA - Sportage 4x2 - 4x4 c/ABS 2005&lt;2010; </t>
  </si>
  <si>
    <t>52710 2E100</t>
  </si>
  <si>
    <t>AL-885</t>
  </si>
  <si>
    <t xml:space="preserve">HYUNDAI - Tucson 2.0 4x2 todos; Tucson 2.7 V6 4x4 todos; KIA - Cadenza  ; Magentis  ; Optima II ; Sportage 10MY 4x4 2007 &gt; 2010; </t>
  </si>
  <si>
    <t>517503A003</t>
  </si>
  <si>
    <t>AL-886</t>
  </si>
  <si>
    <t xml:space="preserve">HYUNDAI - Accent  05/1996 &gt; 1998; </t>
  </si>
  <si>
    <t>5271022000/400</t>
  </si>
  <si>
    <t>AL-887</t>
  </si>
  <si>
    <t xml:space="preserve">HYUNDAI - Accent  ; </t>
  </si>
  <si>
    <t>AL-888</t>
  </si>
  <si>
    <t xml:space="preserve">HONDA - Accord LX 1998/2002; </t>
  </si>
  <si>
    <t>44310S9A300</t>
  </si>
  <si>
    <t>AL-889</t>
  </si>
  <si>
    <t xml:space="preserve">AUDI - A3 180cv Tiptronic ; VOLKSWAGEN - Golf 1.8 Tiptronic ; Golf 2.0 (180cv) - Tiptronic ; Passat Alemão 1.8 Tiptronic ; Passat Alemão 2.0 (180cv) - Tiptronic ; </t>
  </si>
  <si>
    <t>A3  -  180CV</t>
  </si>
  <si>
    <t>AL-89</t>
  </si>
  <si>
    <t xml:space="preserve">CHEVROLET / GM - A60  1981/1984; A60 A60 1981/1984; A70  1981/1984; A70 A60 1981/1984; C60  1964/1981; C60  1981/1984; D60  1965/1980; D60 L64 1965/1980; D70  1965/1980; D70 L64 1965/1980; L28  1964/1981; L64  1965/1980; L64 L28 1965/1980; </t>
  </si>
  <si>
    <t>AL-890</t>
  </si>
  <si>
    <t xml:space="preserve">HONDA - Accord EX Automático 1992/2000; Accord LX Automático 1992/2000; </t>
  </si>
  <si>
    <t>44310SM4 980</t>
  </si>
  <si>
    <t>AL-891</t>
  </si>
  <si>
    <t xml:space="preserve">HONDA - Accord LX 2003/...; </t>
  </si>
  <si>
    <t>44310SDA A00</t>
  </si>
  <si>
    <t>AL-892</t>
  </si>
  <si>
    <t xml:space="preserve">HONDA - Accord LX Mecânico 1994/1997; CR-V  2000/2001; </t>
  </si>
  <si>
    <t>44310SM4310</t>
  </si>
  <si>
    <t>AL-893</t>
  </si>
  <si>
    <t xml:space="preserve">HONDA - City  2009&gt;2014; Civic EX 2001 &gt; 2005; Civic LX 2001 &gt; 2005; Civic LXL 2001 &gt; 2005; New Fit EX 2009&gt;2014; New Fit LX 2009&gt;2014; New Fit LXL 2009&gt;2014; </t>
  </si>
  <si>
    <t>44600S5AJ00</t>
  </si>
  <si>
    <t>AL-894</t>
  </si>
  <si>
    <t xml:space="preserve">HONDA - Civic  2006 &gt;; New Civic  2007 &gt;2016; </t>
  </si>
  <si>
    <t>44600SNAA00</t>
  </si>
  <si>
    <t>AL-895</t>
  </si>
  <si>
    <t xml:space="preserve">HONDA - New Civic c/ ABS 2007 &gt;; </t>
  </si>
  <si>
    <t>42200SNAA51</t>
  </si>
  <si>
    <t>AL-896</t>
  </si>
  <si>
    <t xml:space="preserve">CITROEN - Xantia c/ABS 1998 &gt;; PEUGEOT - 406 2.0 16V c/ABS 1998 &gt; 2005; </t>
  </si>
  <si>
    <t>AL-898</t>
  </si>
  <si>
    <t xml:space="preserve">VOLKSWAGEN - Gol GTI 16V 1995 &gt; 2002; Parati Turbo ; </t>
  </si>
  <si>
    <t>AL-899</t>
  </si>
  <si>
    <t xml:space="preserve">AUDI - A3  ; VOLKSWAGEN - Golf 2.0 - Automático ; Passat Alemão  ; </t>
  </si>
  <si>
    <t>AL-90</t>
  </si>
  <si>
    <t xml:space="preserve">CHEVROLET / GM - D11000  1985/1996; D12000  1985/1996; D14000  1985/1996; D22000  1985/1996; D60 Motor Detroit 1976/1979; D60 Motor Perkins 1981/1984; D70 Motor Detroit 1976/1979; D70 Motor Perkins 1981/1984; D80 Motor Perkins 1981/1984; </t>
  </si>
  <si>
    <t>AL-900</t>
  </si>
  <si>
    <t xml:space="preserve">ASIA - Topic HI 2.2 LE 1993 &gt; 1999; </t>
  </si>
  <si>
    <t>A70A04090</t>
  </si>
  <si>
    <t>AL-901</t>
  </si>
  <si>
    <t xml:space="preserve">ASIA - Topic HI 2.2 LD 1993 &gt; 1999; </t>
  </si>
  <si>
    <t>A70A04060</t>
  </si>
  <si>
    <t>AL-902/D</t>
  </si>
  <si>
    <t xml:space="preserve">ASIA - Besta 2.2 LD (Rosca Direita) 1993 &gt;; </t>
  </si>
  <si>
    <t>OK71033061</t>
  </si>
  <si>
    <t>AL-902/E</t>
  </si>
  <si>
    <t xml:space="preserve">ASIA - Besta 2.2 LE (Rosca Esquerda) 1993 &gt;; </t>
  </si>
  <si>
    <t>AL-903/D</t>
  </si>
  <si>
    <t xml:space="preserve">ASIA - Besta 2.7 LD (Rosca Direita) 1993 &gt;; </t>
  </si>
  <si>
    <t>OK71E33061</t>
  </si>
  <si>
    <t>AL-903/E</t>
  </si>
  <si>
    <t xml:space="preserve">ASIA - Besta 2.7 LE (Rosca Esquerda) 1993 &gt;; </t>
  </si>
  <si>
    <t>AL-904</t>
  </si>
  <si>
    <t xml:space="preserve">ASIA - Towner 2.2 1993 &gt;; </t>
  </si>
  <si>
    <t>AA100330090A</t>
  </si>
  <si>
    <t>AL-905</t>
  </si>
  <si>
    <t xml:space="preserve">RENAULT - Clio 1.0 16V 2000 &gt;; Clio 1.0 8V 2000 &gt;; Clio Argentino 2000 &gt;; Twingo todos 2000 &gt;; </t>
  </si>
  <si>
    <t>AL-906</t>
  </si>
  <si>
    <t xml:space="preserve">RENAULT - Clio 1.0 16V 2000 &gt;; Clio 1.6 16V 2000 &gt;; Clio 1.6 8V 2000 &gt;; Clio 1.6i s/ABS 1998 &gt;; Clio 1.8 16V 1991 &gt; 03/1996; Clio II 1.2 1999 &gt;; Clio II 1.4 16V 2001 &gt;; Clio II 1.9 Diesel 09/1998 &gt; 05/2005; Clio todos &lt; 1999; Express todos &lt; 1999; Kangoo todos s/ABS 1997 &gt;; Kangoo todos s/ABS 1998 &gt;; Laguna todos ; Megane 1.6i 11/1995 &gt;; Megane Cabriolet 1.6i 1997 &gt;; RN19 todos &lt; 1999; RT19 todos &lt; 1999; Symbol 1.6 8V 2009 &gt;; </t>
  </si>
  <si>
    <t>AL-907</t>
  </si>
  <si>
    <t xml:space="preserve">RENAULT - Nevada  ; R21  ; </t>
  </si>
  <si>
    <t>AL-908/D</t>
  </si>
  <si>
    <t xml:space="preserve">HYUNDAI - H100 QR Label 18 1995 &gt; 1999; </t>
  </si>
  <si>
    <t>AL-908/E</t>
  </si>
  <si>
    <t>AL-909</t>
  </si>
  <si>
    <t xml:space="preserve">PEUGEOT - 504 Pick up &lt; 1988; </t>
  </si>
  <si>
    <t>AL-91</t>
  </si>
  <si>
    <t xml:space="preserve">CHEVROLET / GM - Omega Todos (Exceto Suprema) 1993&gt;; </t>
  </si>
  <si>
    <t>AL-910</t>
  </si>
  <si>
    <t xml:space="preserve">CITROEN - C3 1.4 /1.5/ 1.6 2003&gt;; PEUGEOT - 106 Soleil 1996 &gt;; 206 1.0 16V ; 206 1.4 8V ; 206 Soleil 1.0 ; 206 Soleil 1.4 ; 206 Soleil 1.6 8V todos; 207 1.4 ; 208 1.5 / 1.6 Mecanico /Automático 2014&gt;; 309  ; </t>
  </si>
  <si>
    <t>AL-911</t>
  </si>
  <si>
    <t xml:space="preserve">CITROEN - Air Cross  2010&gt;; Berlingo 1,1i/ 1.8i 1997&gt;; Berlingo 1.9i Diesel 1997&gt;; Berlingo Box 1.1I 07/1996&gt;; Berlingo Box 1.6 16V 10/2000&gt;; Berlingo Box 1.8 / 1.9 - Diesel 07/1996&gt;; C4 Gran 2009&gt;; C4 Pallas 2007&gt;; C4 Todos 2009&gt;; Picasso Todos 2007&gt;; Xantia Todos 2007; Xsara Todos 2007; ZX Todos 2007&gt;; PEUGEOT - 206 1.0 16V ; 206 1.4 8V ; 206 1.6i 16V ; 208 1.5/1.6 -  Mecanico / Automatico 2014 &gt;; 306  ; 307  ; 405 1.4i 1987 &gt; 1996; 405 1.6i 1987 &gt; 1996; 405 1.8i 1982 &gt; 1996; 405 1.9i 1987 &gt; 1992; 405 2.0i 1993 &gt; 1996; 406 todos ; Escapade 1.0 16V ; Escapade 1.4 8V ; Escapade 1.6 16V ; Partner todos ; </t>
  </si>
  <si>
    <t>AL-912</t>
  </si>
  <si>
    <t xml:space="preserve">PEUGEOT - 205  ; </t>
  </si>
  <si>
    <t>AL-913</t>
  </si>
  <si>
    <t xml:space="preserve">ASIA - Besta GS 1998 &gt;; </t>
  </si>
  <si>
    <t>0K1T33061</t>
  </si>
  <si>
    <t>AL-914</t>
  </si>
  <si>
    <t xml:space="preserve">TOYOTA - Hilux 4x4 1996 &gt; 2001; </t>
  </si>
  <si>
    <t>AL-915</t>
  </si>
  <si>
    <t xml:space="preserve">TOYOTA - Corolla  1991 &gt; 2001; </t>
  </si>
  <si>
    <t>AL-916</t>
  </si>
  <si>
    <t xml:space="preserve">HONDA - Civic EX 1992 &gt; 1994; Civic EX 1999 &gt;; Civic EX 2003 &gt;; Civic LX 1999 &gt;; Civic LX 2003 &gt;; Civic Vti 1992 &gt; 1993; </t>
  </si>
  <si>
    <t>44600SR3A01</t>
  </si>
  <si>
    <t>AL-917</t>
  </si>
  <si>
    <t xml:space="preserve">HONDA - Civic LX 1992 &gt; 1993; </t>
  </si>
  <si>
    <t>44600SR3980</t>
  </si>
  <si>
    <t>AL-918</t>
  </si>
  <si>
    <t xml:space="preserve">HONDA - Civic LX 1994 &gt; 1995; </t>
  </si>
  <si>
    <t>44600SR1980</t>
  </si>
  <si>
    <t>AL-919</t>
  </si>
  <si>
    <t xml:space="preserve">HONDA - Civic EX 1995; </t>
  </si>
  <si>
    <t>44600SR1A00</t>
  </si>
  <si>
    <t>AL-92</t>
  </si>
  <si>
    <t xml:space="preserve">CHEVROLET / GM - Vectra Todos 1997/...; </t>
  </si>
  <si>
    <t>AL-920</t>
  </si>
  <si>
    <t xml:space="preserve">HONDA - Civic LX 1996 &gt; 1997; </t>
  </si>
  <si>
    <t>44600S01980</t>
  </si>
  <si>
    <t>AL-921</t>
  </si>
  <si>
    <t xml:space="preserve">HONDA - Civic EX 1996 &gt; 1998; Civic LX 1996 &gt; 1998; </t>
  </si>
  <si>
    <t>44600S01A00</t>
  </si>
  <si>
    <t>AL-922</t>
  </si>
  <si>
    <t xml:space="preserve">HONDA - Accord  1992 &gt; 1997; </t>
  </si>
  <si>
    <t>44600SM4020</t>
  </si>
  <si>
    <t>AL-923</t>
  </si>
  <si>
    <t xml:space="preserve">HONDA - Accord EX 1998 &gt; 2002; Accord EXR 1998 &gt; 2002; </t>
  </si>
  <si>
    <t>44600S84A00</t>
  </si>
  <si>
    <t>AL-926</t>
  </si>
  <si>
    <t xml:space="preserve">AUDI - A3 1.6 (4 cil.) c/ABS 1997 &gt;; VOLKSWAGEN - Bora C/ ABS 2000&gt;; Golf c/ ABS 1999&gt;; New Beetle c/ ABS 1998&gt;; </t>
  </si>
  <si>
    <t>1JO407613/G</t>
  </si>
  <si>
    <t>AL-927</t>
  </si>
  <si>
    <t xml:space="preserve">AUDI - A4 1.8 (4 cil.) Turbo 1995 &gt;; </t>
  </si>
  <si>
    <t>8D0407615/D</t>
  </si>
  <si>
    <t>AL-928</t>
  </si>
  <si>
    <t xml:space="preserve">AUDI - A4 2.8 (6 cil.) Turbo 1995 &gt;; </t>
  </si>
  <si>
    <t>4A0407615/D</t>
  </si>
  <si>
    <t>AL-929</t>
  </si>
  <si>
    <t xml:space="preserve">MITSUBISHI - L200 K34T 4x4 1992 &gt;; </t>
  </si>
  <si>
    <t>MB 290822</t>
  </si>
  <si>
    <t>AL-93</t>
  </si>
  <si>
    <t xml:space="preserve">CHEVROLET / GM - Opala  .../1978; </t>
  </si>
  <si>
    <t>AL-930</t>
  </si>
  <si>
    <t xml:space="preserve">MITSUBISHI - L200 Outdoor 2003 &gt;; L200 Sport 4x4 2003 &gt;; Pajero Sport 3.5 4x4 (gasolina) ; Pajero V33W (gasolina) todos; Pajero V36W (Diesel) todos; Pajero V43W (gasolina) todos; Pajero V44W (Diesel) todos; Pajero V45W (gasolina) todos; Pajero V46W (Diesel) todos; </t>
  </si>
  <si>
    <t>MB 891088</t>
  </si>
  <si>
    <t>AL-931</t>
  </si>
  <si>
    <t xml:space="preserve">MERCEDES BENZ - Classe A todos 1999&gt;; </t>
  </si>
  <si>
    <t>A1683370345</t>
  </si>
  <si>
    <t>AL-932</t>
  </si>
  <si>
    <t>A1683500035</t>
  </si>
  <si>
    <t>AL-933</t>
  </si>
  <si>
    <t xml:space="preserve">CITROEN - Jumper  2001&gt;2002; FIAT - Ducato 2.5 (10 lugares) 2001&gt;2002; Ducato 2.5 (10/15 lugares) 1998 &gt;; Ducato 2.8 (10/15 lugares) 1999 &gt;; Ducato 2.8 Combinado (10 lugares) &lt; 1998; Ducato 2.8 Turbo 1999 &gt;; Ducato 27 - 31 (15 lugares) 1999 &gt;; Ducato Carga 2.8 Furgão (aro 15) 1999 &gt;; Ducato Combinado 2.8 (15 lugares) 1999 &gt;; Ducato Maxi 1.8T 1998 &gt;; Ducato Maxi 2.8 1999 &gt;; Ducato Mini Bus (aro 15) 1999 &gt; 2005; Ducato Mini Bus 2.8 (15 lugares) &lt; 1998; Ducato Mini Bus 2.8 Turbo (15 lugares) 1999 &gt;; Ducato Passageiro 2.5 (aro 15) 1999 &gt; 2005; Ducato Passageiro 2.8 (aro 15) 1999 &gt; 2005; Ducato Vetrado 2.8 (teto alto e baixo) 2000 &gt;; Ducato Vetrado 2.8 Turbo (teto alto e baixo) 2000 &gt;; PEUGEOT - Boxer 1.9 Turbo Diesel 07/1999 &gt; 04/2002; Boxer 2.5 4x4 Diesel 07/1999 &gt; 04/2002; Boxer HDi 2.2 (aro 15) 1999 &gt; 2000; </t>
  </si>
  <si>
    <t>AL-934</t>
  </si>
  <si>
    <t xml:space="preserve">FIAT - Ducato 2.5 (10 lugares) 1998 &gt;; Ducato 2.8 (10/15 lugares) 1999 &gt;; Ducato 2.8 Turbo (10 lugares) 1999 &gt;; Ducato Combinado 2.8 (15 lugares) 1999 &gt;; Ducato Maxi 1.8T 1998 &gt;; Ducato Maxi 2.8 1999 &gt;; Ducato Mini Bus 2.8 (15 lugares) 1999 &gt;; Ducato Mini Bus 2.8 Turbo (15 lugares) 1999 &gt;; Ducato Passageiro 2.5 1998 &gt; 1998; Ducato Passageiro 2.8 1999 &gt;; Ducato Vetrado 2.8 (teto alto e baixo) 2000 &gt;; Ducato Vetrado 2.8 Turbo (teto alto e baixo) 2000 &gt;; </t>
  </si>
  <si>
    <t>AL-935</t>
  </si>
  <si>
    <t xml:space="preserve">CITROEN - Jumper Todas 2001&gt;2002; FIAT - Ducato 2.5 8V Carga (Furgão) / Combinato 1998; Ducato 2.8 MaxiCargo Turbo (aro 16) 1999; Ducato 2.8 MaxiCargo Turbo 2002 &gt; 2005; PEUGEOT - Boxer Todas 2001&gt;2002; </t>
  </si>
  <si>
    <t>AL-936</t>
  </si>
  <si>
    <t xml:space="preserve">FIAT - Ducato 2.5 8V 1998 &gt;; Ducato 2.8 MaxiCargo Turbo (aro 16) 1999 &gt; 2002; Ducato 27 - 31 (15 lugares) 1999 &gt;; Ducato Combinado 2.8 &lt; 1998; Ducato Mini Bus 2.8 (15 lugares) &lt; 1998; </t>
  </si>
  <si>
    <t>AL-937</t>
  </si>
  <si>
    <t xml:space="preserve">HYUNDAI - H-100  2000 &gt;; </t>
  </si>
  <si>
    <t>AL-94</t>
  </si>
  <si>
    <t xml:space="preserve">CHEVROLET / GM - Corsa Hatch  1994/1998; Corsa Sedan  1994/1998; Corsa Wagon  1994/1998; Corsa Wind 1994/1998; </t>
  </si>
  <si>
    <t>AL-940</t>
  </si>
  <si>
    <t xml:space="preserve">LADA - Niva todos 1990&gt;; </t>
  </si>
  <si>
    <t>AL-941</t>
  </si>
  <si>
    <t xml:space="preserve">BMW - 316 Ci - c/ABS ; 318 Ci - c/ABS ; 320 Ci - c/ABS ; 323 Ci - c/ABS ; 325 Ci - c/ABS ; 328 Ci - c/ABS ; 518 Ci - c/ABS ; 520 c/ABS ; 530 c/ABS ; 535 c/ABS ; 730 c/ABS ; 735 c/ABS ; 850 c/ABS ; M3 c/ABS ; Z3 c/ABS ; </t>
  </si>
  <si>
    <t>31221139345</t>
  </si>
  <si>
    <t>AL-942</t>
  </si>
  <si>
    <t xml:space="preserve">CITROEN - Jumper todos (aro 15) 2003&gt;2016; FIAT - Ducato 2.3 16V (aro 15) 2010 &gt;; Ducato Cargo 2.8 (aro 15) 2003 &gt; 2009; Ducato Cargo 2.8 Turbo (aro 15) 2003 &gt; 2009; Ducato Combinado 2.8 (aro 15) 2003 &gt; 2009; Ducato Combinado 2.8 Turbo Intercooler (aro 15) 2003 &gt; 2009; Ducato Mini Bus Intercooler 2.8 (aro 15) 2003 &gt; 2009; Ducato Vetrato 2.8 (aro 15) 2003 &gt; 2009; Ducato Vetrato 2.8 Turbo Intercooler (aro 15 2003 &gt; 2009; PEUGEOT - Boxer todos (aro 15) 2003&gt;2016; </t>
  </si>
  <si>
    <t>1328045080</t>
  </si>
  <si>
    <t>AL-943</t>
  </si>
  <si>
    <t xml:space="preserve">RENAULT - Express todos 1996 &gt;; Fuego 1.6 Turbo 1983 &gt; 10/1985; Fuego 2.1 Turbo Diesel 1983 &gt; 10/1985; Kangoo todos 1996 &gt;; Megane todos todos; Nevada todos todos; R18 todos ; R20  ; R21 todos todos; R25 todos ; Scenic todos s/ABS todos; Space I 2.0 1986 &gt; 1991; Space I 2.2 1986 &gt; 1991; Space II 2.2 4x4 1991 &gt; 1997; </t>
  </si>
  <si>
    <t>AL-944</t>
  </si>
  <si>
    <t xml:space="preserve">RENAULT - Scenic todos c/ABS (c/ tambor de freio) exceto disco ; </t>
  </si>
  <si>
    <t>AL-945</t>
  </si>
  <si>
    <t xml:space="preserve">RENAULT - Kangoo 1.6 16V 2007 &gt;; Kangoo Sportway 1.6 16V 2007 &gt;; Logan 1.0 16V 2010 &gt;; Logan 1.6 8V 2010 &gt;; Megane 1.6 16V 2006&gt;; Megane 2.0 16V ; Sandero 1.0/1.6 - 8V/16V 2011&gt;; Scenic s/ABS 1999 &gt;; StepWay 1.6 16V 2007 &gt;; </t>
  </si>
  <si>
    <t>AL-946</t>
  </si>
  <si>
    <t xml:space="preserve">RENAULT - Kangoo  &lt; 2007; </t>
  </si>
  <si>
    <t>AL-947</t>
  </si>
  <si>
    <t xml:space="preserve">CITROEN - Jumper Aro 16 2003&gt;2016; FIAT - Ducato 2.3 Multijet  Aro 15 2010&gt;; Ducato 2.8 MaxiCargo Turbo 2000 &gt; 2002; Ducato 2.8 MaxiCargo Turbo/Intercooler (aro 16) 2002 &gt; 2016; PEUGEOT - Boxer Aro 16 2003&gt;2016; </t>
  </si>
  <si>
    <t>AL-948</t>
  </si>
  <si>
    <t xml:space="preserve">AUDI - A3  ; A4  ; VOLKSWAGEN - Golf 1.8 Turbo Tiptronic ; Golf 2.0 Turbo Tiptronic ; Golf 2.8 Turbo Tiptronic ; </t>
  </si>
  <si>
    <t>AUDI - GOLF</t>
  </si>
  <si>
    <t>AL-949</t>
  </si>
  <si>
    <t xml:space="preserve">RENAULT - Laguna 2.0 8V (LD) ; Master 2.5 (LE) ; Master 2.8 (LE) ; R21 LD ; Scenic 2.0 8V (LD) ; </t>
  </si>
  <si>
    <t>AL-95</t>
  </si>
  <si>
    <t xml:space="preserve">CHEVROLET / GM - Celta  2007/...; Corsa Pick Up  1999/...; Corsa Sedan  1999/...; Corsa Wagon  1999/...; Prisma  2007/...; </t>
  </si>
  <si>
    <t>AL-950</t>
  </si>
  <si>
    <t xml:space="preserve">CITROEN - C4- Pallas  2009; Xantia  ; Xsara  1998&gt;; ZX  ; PEUGEOT - 306  1999&gt;; 308  1999&gt;; 405  1999&gt;; Partner 1.8 1999&gt;; </t>
  </si>
  <si>
    <t>3273N2</t>
  </si>
  <si>
    <t>AL-951</t>
  </si>
  <si>
    <t xml:space="preserve">PEUGEOT - 106  ; 205  ; 206 Soleil ; RENAULT - Clio  ; Kangoo  ; Logan 1.0/ 16V ; Megane  ; RN  ; RT19  ; Sandero 1.0 / 16V ; Scenic  ; Twingo  ; </t>
  </si>
  <si>
    <t>3273X8</t>
  </si>
  <si>
    <t>AL-952</t>
  </si>
  <si>
    <t xml:space="preserve">CHEVROLET / GM - Onix 1.4 8V - Mecânico 2013 &gt;; Prisma 1.4 8V - Mecânico 2013 &gt;; CITROEN - Air Cross 1.6 / 8V - Automático 2010 &gt;; C3 1.4 8V - Automático 2010 &gt;; HONDA - Fit Automático / Mecânico  - LD ; New Civic LXS/ EXS  Automático - LD ; New Civic LXS/ EXS - Automático - LE ; PEUGEOT - 206 1.4 8V 2000&gt;; </t>
  </si>
  <si>
    <t>ONIX/PRISMA/206</t>
  </si>
  <si>
    <t>AL-953</t>
  </si>
  <si>
    <t xml:space="preserve">HONDA - Civic Todos (Exceto  Import) &lt; 2000; </t>
  </si>
  <si>
    <t>44310SM3970</t>
  </si>
  <si>
    <t>AL-954</t>
  </si>
  <si>
    <t xml:space="preserve">TOYOTA - Corolla 1.6 16V Automático - DX ; Corolla 1.6 16V Mecânico - DX ; Corolla 1.8 16V Automático - LE ; Corolla 1.8 16V Mecânico - LE ; </t>
  </si>
  <si>
    <t>AL-955</t>
  </si>
  <si>
    <t xml:space="preserve">RENAULT - Clio  ; Laguna  ; Megane  ; Scenic  ; </t>
  </si>
  <si>
    <t>AL-958</t>
  </si>
  <si>
    <t xml:space="preserve">HONDA - Civic LX s/ABS 2001 &gt;; Civic LXL s/ABS 2001 &gt;; </t>
  </si>
  <si>
    <t>42200 S5A A21</t>
  </si>
  <si>
    <t>AL-959</t>
  </si>
  <si>
    <t xml:space="preserve">HONDA - Civic EX c/ABS 1996 &gt; 2000; </t>
  </si>
  <si>
    <t>42200 S04 951</t>
  </si>
  <si>
    <t>AL-96</t>
  </si>
  <si>
    <t xml:space="preserve">CHEVROLET / GM - Vectra 2.0 16V 1997 &gt; 2005; Vectra 2.2 16V 1997 &gt; 2005; </t>
  </si>
  <si>
    <t>AL-960</t>
  </si>
  <si>
    <t xml:space="preserve">HONDA - Fit todos ; </t>
  </si>
  <si>
    <t>44600 SEL 000</t>
  </si>
  <si>
    <t>AL-961</t>
  </si>
  <si>
    <t xml:space="preserve">HONDA - Fit s/ABS ; </t>
  </si>
  <si>
    <t>42200 SAA E03</t>
  </si>
  <si>
    <t>AL-962</t>
  </si>
  <si>
    <t xml:space="preserve">HONDA - Fit c/ABS ; </t>
  </si>
  <si>
    <t>42200 SAA G03</t>
  </si>
  <si>
    <t>AL-963</t>
  </si>
  <si>
    <t xml:space="preserve">HONDA - Civic s/ABS 1996 &gt; 2000; </t>
  </si>
  <si>
    <t>42200 S04 008</t>
  </si>
  <si>
    <t>AL-964</t>
  </si>
  <si>
    <t xml:space="preserve">HONDA - Civic EX c/ABS 2001 &gt;; </t>
  </si>
  <si>
    <t>42200 S5A 008</t>
  </si>
  <si>
    <t>AL-965</t>
  </si>
  <si>
    <t xml:space="preserve">TOYOTA - Corolla s/ABS (c/ tambor freio tras.) 1997 &gt; 2002; </t>
  </si>
  <si>
    <t>AL-966</t>
  </si>
  <si>
    <t xml:space="preserve">TOYOTA - Corolla c/ABS 2002 &gt;; Fielder todos - c/ ABS ; </t>
  </si>
  <si>
    <t>AL-967</t>
  </si>
  <si>
    <t xml:space="preserve">TOYOTA - Corolla s/ABS 2002 &gt;; Fielder todos - c/ ABS 2004&gt;; </t>
  </si>
  <si>
    <t>AL-968</t>
  </si>
  <si>
    <t xml:space="preserve">CITROEN - Xsara (fase I) 1.8 (c/ freio disco tras.) S/ e C/ ABS 1998&gt;; PEUGEOT - 205 c/ABS ; 306 c/ABS 1994 &gt; 1996; ZX C/ ABS ; </t>
  </si>
  <si>
    <t>AL-969</t>
  </si>
  <si>
    <t xml:space="preserve">CITROEN - Xsara (fase I) 1.8 16V (c/ freio a disco tras.) 1998&gt;; 306 c/ABS 1997 &gt;; </t>
  </si>
  <si>
    <t>AL-97</t>
  </si>
  <si>
    <t xml:space="preserve">CHEVROLET / GM - Opala 4 Cilindros ; Opala 6 Cilindros ; </t>
  </si>
  <si>
    <t>AL-970</t>
  </si>
  <si>
    <t xml:space="preserve">PEUGEOT - 206 1.6 16V s/ABS (com freio a disco) todos; 206 Cabriolet c/ABS (com freio a disco) ; 206 SW c/ABS (com freio a disco) ; </t>
  </si>
  <si>
    <t>AL-971</t>
  </si>
  <si>
    <t xml:space="preserve">CITROEN - BX s/ABS 1993 &gt; 1995; Xantia s/ABS 1993 &gt; 1995; PEUGEOT - 305 s/ABS ; 405 s/ABS todos; </t>
  </si>
  <si>
    <t>AL-972</t>
  </si>
  <si>
    <t xml:space="preserve">CITROEN - C4 c/ABS Magnético 2009 &gt;; C4 Pallas c/ABS Magnético 2007 &gt;; PEUGEOT - 307 1.6 c/ABS 2003 &gt; 2012; 307 2.0 c/ABS 2003 &gt; 2012; </t>
  </si>
  <si>
    <t>AL-973</t>
  </si>
  <si>
    <t xml:space="preserve">PEUGEOT - 206 1.6 ; 206 SW (disco freio tras.) s/ABS ; </t>
  </si>
  <si>
    <t>374841A</t>
  </si>
  <si>
    <t>AL-974</t>
  </si>
  <si>
    <t xml:space="preserve">SEAT - Cordoba c/ABS ; Ibiza c/ABS ; VOLKSWAGEN - CrossFox c/ABS 2005&gt;; Fox 1.0 / 1.6  c/ABS 06/2007&gt;; Polo c/ABS 2002 &gt;; SpaceCross  2005&gt;; SpaceFox todos c/ABS 2005&gt;; </t>
  </si>
  <si>
    <t>6QO598611</t>
  </si>
  <si>
    <t>AL-975</t>
  </si>
  <si>
    <t xml:space="preserve">VOLKSWAGEN - CrossFox todos s/ABS 2005&gt;; Fox 1.0 / 1.6  todos s/ABS 06/2007&gt;; Polo todos s/ABS 2002 &gt;; SpaceFox s/ABS 2005&gt;; </t>
  </si>
  <si>
    <t>6QO598611A</t>
  </si>
  <si>
    <t>AL-977</t>
  </si>
  <si>
    <t xml:space="preserve">CITROEN - C3 1.4 / 8V 2012&gt;; C3 1.6 (c/ disco de freio tras.) c/ABS ; PEUGEOT - 206 1.6 c/ ABS Magnético 2009&gt;; 206 SW (disco freio tras.) c/  ABS Magnético 2006&gt;; 207 1.6 16V C/ABS Magnético 2008&gt;; Escapade (disco freio tras.) c/ ABS Magnético 2006&gt;; </t>
  </si>
  <si>
    <t>AL-978</t>
  </si>
  <si>
    <t xml:space="preserve">CITROEN - Berlingo s/ABS todos; Picasso S/ ABS  Ano: todos ; Xantia 1.8i / 2.0i 1995&gt;2002; PEUGEOT - 406 s/ abs ; Partner s/ abs ; </t>
  </si>
  <si>
    <t>374843/374836</t>
  </si>
  <si>
    <t>AL-979</t>
  </si>
  <si>
    <t xml:space="preserve">CITROEN - Berlingo c/ABS todos; Picasso c/ABS ; Xsara c/ABS todos; PEUGEOT - 405 c/ ABS ; Hoggar - c/ abs 2014&gt;; Partner c/ ABS ; </t>
  </si>
  <si>
    <t>374844/374828</t>
  </si>
  <si>
    <t>AL-98</t>
  </si>
  <si>
    <t xml:space="preserve">CHEVROLET / GM - Astra S.W 1995 &gt; 1996; Astra todos 1995 &gt; 1996; Calibra todos 1994 &gt; 1995; Ipanema todos 1992 &gt; 1998; Kadett todos 1989 &gt; 1998; Monza todos 1982 &gt; 1996; Vectra todos 1994 &gt; 1996; </t>
  </si>
  <si>
    <t>AL-983</t>
  </si>
  <si>
    <t xml:space="preserve">TOYOTA - Corolla  2002 &gt;; Fielder todos 2004&gt;; </t>
  </si>
  <si>
    <t>AL-984</t>
  </si>
  <si>
    <t>43502OK030</t>
  </si>
  <si>
    <t>AL-985</t>
  </si>
  <si>
    <t xml:space="preserve">TOYOTA - Hilux 4x2 2005/...; Hilux 4x4 2005/...; TOYOTA - Prado 3.0 - 4X4 -  c/ABS 2002&gt;2009; </t>
  </si>
  <si>
    <t>90369T0003</t>
  </si>
  <si>
    <t>AL-986</t>
  </si>
  <si>
    <t>43502-T0003</t>
  </si>
  <si>
    <t>AL-99</t>
  </si>
  <si>
    <t xml:space="preserve">CHEVROLET / GM - Agile 1.4 2010 &gt;; Celta todos 2001 &gt;; Corsa 1.0 16V 1999 &gt; 2001; Corsa 1.0 1993 &gt; 2001; Corsa 1.6 1995 &gt; 2001; Corsa 1.6i 8V 1995 &gt; 2001; Corsa Pick-up 1995 &gt;; Corsa Sedan 1.0 16V 1999 &gt;; Prisma todos 2007&gt;2012; Tigra todos 1998 &gt; 1998; </t>
  </si>
  <si>
    <t>AL-990</t>
  </si>
  <si>
    <t xml:space="preserve">JEEP - Cherokee 4.0 4x4 1993 &gt; 1998; Grand Cherokee 4.0 4x4 1993 &gt; 1998; TROLLER - Troller  1998&gt;; Troller Sport 1998&gt;; </t>
  </si>
  <si>
    <t>AL-991</t>
  </si>
  <si>
    <t xml:space="preserve">RENAULT - Master todos &lt; 2012; </t>
  </si>
  <si>
    <t>AL-992</t>
  </si>
  <si>
    <t xml:space="preserve">RENAULT - Master 2.5 2001&gt;2012; Master 2.8 2001&gt;2012; </t>
  </si>
  <si>
    <t>AL-993</t>
  </si>
  <si>
    <t xml:space="preserve">HONDA - Accord EX c/ABS (c/ disco freio tras.) 1994  &gt; 1997; Accord LX c/ABS (c/ disco freio tras.) 1994  &gt; 1997; </t>
  </si>
  <si>
    <t>42200SV1J51</t>
  </si>
  <si>
    <t>AL-994</t>
  </si>
  <si>
    <t xml:space="preserve">CITROEN - C3 1.4 8V ; PEUGEOT - 106  ; </t>
  </si>
  <si>
    <t>AL-995</t>
  </si>
  <si>
    <t xml:space="preserve">TOYOTA - Camry  1991/1997; </t>
  </si>
  <si>
    <t>AL-996</t>
  </si>
  <si>
    <t xml:space="preserve">MITSUBISHI - Galant 2.4 1993 &gt;; </t>
  </si>
  <si>
    <t>MR 455003</t>
  </si>
  <si>
    <t>AL-997</t>
  </si>
  <si>
    <t xml:space="preserve">HONDA - Civic EX c/ABS 1992 &gt; 1995; Civic VTI c/ABS 1992 &gt; 1993; </t>
  </si>
  <si>
    <t>42200SR3A53</t>
  </si>
  <si>
    <t>AL-999</t>
  </si>
  <si>
    <t xml:space="preserve">TOYOTA - Prado 3.0 - Intercooler - 4x4 2002 &gt; 2009; </t>
  </si>
  <si>
    <t>ALK-3220</t>
  </si>
  <si>
    <t>Kit Roda Traseira</t>
  </si>
  <si>
    <t>CHEVROLET/GM - Tracker 2.0 - 1991 &gt; 1999; SUZUKI - Vitara 1.6/2.0 - 1991 &gt; 1998; Sidekick - 1989 &gt; 1998</t>
  </si>
  <si>
    <t>RL - Leve</t>
  </si>
  <si>
    <t>09269-35010</t>
  </si>
  <si>
    <t>01.049.00</t>
  </si>
  <si>
    <t>ALK-3924</t>
  </si>
  <si>
    <t>CHEVROLET/GM - Tracker 01... 2.0 8V TD RF - 01... 2.0 8V TD RHZ - 01...08 2.0 16V SUZUKI - Gran Vitara 1.6/2.0 16V/2.5 24V 98...09 | Jimny 1.3 16V 98...</t>
  </si>
  <si>
    <t>ALK-4506</t>
  </si>
  <si>
    <t>Kit Roda Dianteira</t>
  </si>
  <si>
    <t>CHEVROLET/GM - Chevette 1.6/1.4 8V 73...93  1.0 8V 93...  Chevy 500 1.6 8V 84..95  Marajó 1.4 8V 80...89  .6 8V 82..89</t>
  </si>
  <si>
    <t>ALK-4522</t>
  </si>
  <si>
    <t>FORD - Belina  Corcel 1.4 8V 04/70...  1.6 8V 79...  Del Rey 1.6 8V 81..91  Pampa 1.6/1.8 8V 82..97</t>
  </si>
  <si>
    <t>ALK-4528</t>
  </si>
  <si>
    <t xml:space="preserve">FORD - Escort 1.0/1.6/1.8/2.0 ...93  Verona 1.6/1.8/2.0 8V ...93 - VW - Apollo .8 8V 90...92 </t>
  </si>
  <si>
    <t>ALK-4529</t>
  </si>
  <si>
    <t>FORD - Royalle  Versailles 1.8/2.0 8V 92...96 - SEAT - Cordoba  Ibiza  Inca 1.6/1.8 8V 96...99 - VW - Apollo 1.8 8V 90...92  Fox 1.0/1.6 8V 07...10  Gol (Exceto G5 e G6 1.0 8/16V 91...12/1.3/1.6 8V 80...12/1.8 8V 84...09/2.0 8V 88...02  Golf 1.8/2.0 94...98   Parati 1.6 8V 83... / 1.8 8V 88.../ 2.0 96..1.0 97...04  Passat 1.8 8V 74...89/ 2.0/2.8 94...97  Polo 1.0 16V 96...02  Classic 1.8 8V 96...02  Quantum 1.8 8V 84...03/2.0 8V 87...03  Santana 1.8 8V 84...06/2.0  8V 87..06  Saveiro 1.3 8V 83...86/1.5  87...91/1.6 8V 82...12/1.8 8V 89...08/2.0 8V 98...04  Voyage 1.5 8V 81...05/1.0 8V 08.../1.6 8V 94.../1.8 8V 94...96</t>
  </si>
  <si>
    <t>191 598 625</t>
  </si>
  <si>
    <t>ALK-4544</t>
  </si>
  <si>
    <t>CHEVROLET/GM - Agile 1.4 8V 09...  Celta 1.0 8V 01...  1.4 8V 04... Classic 1.0  1.6 8/16V  1.4 8V 02...  Corsa 1.0 8/16V 94..02  1.4 8V 94...02  1.6 8/16V  Ipanema 1.8/2.0 8V 89...97  Kadett 1.8/2.0 8V 89...98  Monza 1.6/1.8 8V 82...86  2.0 8V 87...96  Prisma 1.0/1.4 8V 06...  Tigra 1.6 97...00 - DAEWOO - Espero 2.0 8V (Freio a Tambor) 91...97  Lanos 1.6 16V 97...02  Nubira 1.6 97...03</t>
  </si>
  <si>
    <t>ALK-4577</t>
  </si>
  <si>
    <t xml:space="preserve">FORD - Belina 1.6 8V 79...  Corcel 1.6  8V 79...  1.8 8V 89...  Del Rey 1.6 8V 81..91  1.8 8V 89...91 </t>
  </si>
  <si>
    <t>ALK-4578</t>
  </si>
  <si>
    <t>VW - Kombi 1.4 8V 05../1500 8V 74...75/1600 8V 76..06</t>
  </si>
  <si>
    <t>ALK-4579</t>
  </si>
  <si>
    <t>VW - Brasilia 1.600 8V 74...  Fusca 1.3001.5001.600 74...  Karmann Ghia  TC  TL 74... 1.00  Variant  I 74...77  4 furos</t>
  </si>
  <si>
    <t>ALK-4580</t>
  </si>
  <si>
    <t>VW - Brasilia 1.600 8V ...74  Fusca 1300/1500/1600 ...74  Karmann Ghia  TC  TL ...74 - Variant 1600 Mod. Variant I 69...74  5 furos</t>
  </si>
  <si>
    <t>ALK-4586</t>
  </si>
  <si>
    <t>VW - Brasilia 1600 8V  Fusca 1300/1500 67.../1600 74...  Variant 1600  Variant 1 69...77</t>
  </si>
  <si>
    <t>ALK-4587</t>
  </si>
  <si>
    <t xml:space="preserve">VW - Kombi 1.4 8V 05.../1600 8V 78... </t>
  </si>
  <si>
    <t>ALK-4687</t>
  </si>
  <si>
    <t>FORD - Escort 1.0/1.6/1.8/2.0 8V ..93  Hobby 94...  Verona 1.6/1.8/2.0 8V ..93 - VW - Apollo 1.8 8V 90...92</t>
  </si>
  <si>
    <t>5007040/81AB 1215 AB</t>
  </si>
  <si>
    <t>ALK-500</t>
  </si>
  <si>
    <t xml:space="preserve">EFFA - Furgão 08... 1.0 8V - M100 08... 1.0 8V / 08... 1.1 CH7101 16V - Picape 08... 1.0 8V - Van 08... 1.0 8V / 08... 1.0 MPFI 16V-HAFEI - Towner 07... 1.0 8V (Inclusive Towner Jr) - CHANA - PIcape Mini Star CE 07... 1.0 8V - Picape Mini Star CS 07... 1.0 8V - Picape Star CS 07... 1.0 8V - &gt; Star Family 11... 1.0 8V - Star Utily 11... 1.0 8V - </t>
  </si>
  <si>
    <t>ALK-600</t>
  </si>
  <si>
    <t xml:space="preserve">CHEVROLET/GM - S10 12... / Trailblazer 12... 3.4 V6 </t>
  </si>
  <si>
    <t>ALK-950</t>
  </si>
  <si>
    <t>Kit Barra Torção Bandeja Traseira</t>
  </si>
  <si>
    <t xml:space="preserve">FIAT - Brava 97... / Marea 1.8 / 2.0 / 2.4 97... Marea Weekend 97... / Palio Weekend 1.5 / 1.6 97... / Tipo 1.6 / 2.0 97... - ALFA ROMEO - 145 97... / 155 97... </t>
  </si>
  <si>
    <t>ALR-0004</t>
  </si>
  <si>
    <t xml:space="preserve">Rolamento Roda Dianteira </t>
  </si>
  <si>
    <t>FIAT - Marea 2.0 20V 99..07  2.4 20V 99... - ALFA ROMEO - 164 3.0 V6 24V 87...   Spider 3.0 96...</t>
  </si>
  <si>
    <t>ALR-0011</t>
  </si>
  <si>
    <t>VW - Variant Importada 2.0 00...05  Passat 2.0 00..05 - AUDI - 80 94...95 (Exceto V6)  100 94 (Exceto V6)  A4 95...01 (Exceto Turbo)</t>
  </si>
  <si>
    <t>4B0 498 625</t>
  </si>
  <si>
    <t>ALR-0013</t>
  </si>
  <si>
    <t>FIAT - Linea 1.4 16V  T-Jet 09...  Punto 1.4 8/16V 07...  Tipo 1.6 8V 93...97</t>
  </si>
  <si>
    <t>5890990/7555466</t>
  </si>
  <si>
    <t>ALR-0015</t>
  </si>
  <si>
    <t>Rolamento Roda Dianteira S/ABS</t>
  </si>
  <si>
    <t>FIAT - Gran Siena 1.4/1.6 8V 12&gt;; Novo Palio 1.0/1.6 8V 12&gt;; Novo Uno 1.0/1.4 8V 10&gt;</t>
  </si>
  <si>
    <t>ALR-0036</t>
  </si>
  <si>
    <t xml:space="preserve">VW - CrossFox 1.6 8V 05...  Fox 1.0 8V/ 03..07/1.6 8V 03...  Gol 1.0 8/16V 94.../1.6/1.8/2.0 8V 94...  Logus 1.6/1.8/2.0  8V 93...97  Parati 1.0 /1.6/1.8 94../2.0 96...  Pointer 1.8 /2.0 8V 93...96  Quantum  Santana 1.6 8V 94..12/1.6 94...03  Saveiro 1.6/1.8 8V 94.../2.0 8V 98..04  Space Fox 1.6 8V 06...  Voyage 1.5 8V 81...85/1.0 8V 08.../1.6 8V (inclui G5) 94.../1.8 8V 94...96 RODA DIANTEIRAFORD - Ecosport 1.0/1.68V/2.0 8/16V 4X2/4X4 03...  Focus  Fiesta (Exceto Fiesta Street) 1.0/1.6 8V 02../ Focus 2.0 16V 00..  1.8 16V 00..04  1.6/8/16V 04..07  Ka 1.0/1.6 8V 08.. &gt; CHERY - Face 10...  S18 11... - RODA DIANTEIRA &gt; CHEVROLET/GM - Astra 1.8/2.0 8V ...98  Calibra 2.0 16V 93...97  Ipanema 1.8/2.0 8V 89...97  Kadett 1.8/2.0 8V 89..98  Monza 1.6 8V 82..86  1.8 - LADA - Samara 1.3 90...95 - RODA DIANTEIRA </t>
  </si>
  <si>
    <t>3X0 407 625</t>
  </si>
  <si>
    <t>ALR-0051</t>
  </si>
  <si>
    <t>PEUGEOT - 106 1.01.4 9...04  206 1.0 01.../1.4 05...10/1.6 07...10  306 1.6 94...01  Hoggar 1.4 8V1.6 16V 10...  furo rol. 30Mm (4 Furos)CITROEN - C3 1.4 8/16V - 1.6 16V 02...10  Xsara 1.6 99...  4 furos -</t>
  </si>
  <si>
    <t>3350.32</t>
  </si>
  <si>
    <t>ALR-0053 ABS</t>
  </si>
  <si>
    <t>Rolamento Roda Dianteira C/ABS</t>
  </si>
  <si>
    <t>FIAT - Idea 1.4 8V 05...  Linea 1.4 16V  T-Jet 09...  Punto 1.4 8/16V 07...</t>
  </si>
  <si>
    <t>71714459, 71753062</t>
  </si>
  <si>
    <t>ALR-0055 ABS</t>
  </si>
  <si>
    <t>FIAT - Argo 1.8 L 2017 &gt; 2019 / Brava 1.6/1.8 16V  99...03  Cinquecento 1.4 8/16V 08...  Doblo 1.3 16V 01...06  1.4 8V 10... 1.6 16V 01...04  1.8 8/16V 03...  Idea 1.6 16V 10...  1.8 8/16V 05...  Linea 1.8 16V E-Torq  1.9F 16V 09...  Marea 1.6 16V 05...07  1.8 16V 99...07  Palio 1.6 8/16V 00  1.8 8V 03...  Punto 1.6 16V 10...  1.8 16V 08...  Siena 1.8 8V 03...  Strada 1.3 8/16V 03...05  1.4 8V 05...  1.5 8V 98...04  1.6 8/16V 98...03  1.8 8V 02...  Tempra 2.0 8/16V 92...99 - NISSAN - Kicks 16... - Livina 1.6/1.8 16V / March / Versa 1.6 16V 11... - RENAULT - Clio / Kwid 17... / Logan  Novo Logan 1.0 16V/1.6 8V 14… / Sandero / Symbol 1.6 16V 09… / Novo Sandero 14… - 1.0 16V – 14… 1.6 8V / Zoe 2019 &gt; (Todos c/ ABS)</t>
  </si>
  <si>
    <t>46512970/51758495/7701207677</t>
  </si>
  <si>
    <t>ALR-0058</t>
  </si>
  <si>
    <t>SUZUKI - Baleno 98...  1.6 GLX  Swift 93/94  1.3 GT / GTI 16V - 93/94  1.6 Sport 16V - 93/94  1.6 Sport R 16V</t>
  </si>
  <si>
    <t>ALR-0059</t>
  </si>
  <si>
    <t>M. BENZ - Classe A 160 1.6 99...05  Classe A 190 1.9 99...05 - BMW - Série 1: 116  118 1.6 16V 12... - 2.0 16V 10...  120 2.0 16V 05...  Série 3: 320 2.0 16V 05... Mod. E90  328 2.0 16V 11... Mod. E90  318 2.0 16V 12... Mod. E90  325 2.5 24V  05...12 Mod. E90  328 3.0 24V 05...07 Mod. E90  Z4 3.2 24V 09..10 Mod. E89</t>
  </si>
  <si>
    <t>M. BENZ</t>
  </si>
  <si>
    <t>168 981 0627</t>
  </si>
  <si>
    <t>ALR-0059 ABS</t>
  </si>
  <si>
    <t>Rolamento Roda Traseira c/ABS</t>
  </si>
  <si>
    <t>BMW - 118i / 320i / 328i - 1.6/2.0 - 2012 &gt;;</t>
  </si>
  <si>
    <t>33416792356</t>
  </si>
  <si>
    <t>ALR-0060</t>
  </si>
  <si>
    <t>MITSUBISHI - Colt  Lancer 1.6/1.8 16V 92...94  Mirage  Pajero IO 1.8  TR4 99...02 - NISSAN - Sentra 1.6/1.8/2.0 16V 00...06</t>
  </si>
  <si>
    <t>MB 808442, MR 449797</t>
  </si>
  <si>
    <t>ALR-0064 ABS</t>
  </si>
  <si>
    <t>FIAT - Cronos 17&gt;19; Fiorino 14&gt; 1,4 8v; Gran Siena 1.4/1.6 8V 12&gt;; Mobi 1.0 8V 16&gt;; Novo Palio 1.0/1.4/1.6 8V 12&gt;; Novo Uno 1.0/1.4 8V 10&gt;</t>
  </si>
  <si>
    <t>ALR-0072 ABS</t>
  </si>
  <si>
    <t>CITROEN - C3 1.4 8/16V - 1.6 16V 02...10 - PEUGEOT - 207 1.4/1.6 16V 08...</t>
  </si>
  <si>
    <t>3350.72/3350.86</t>
  </si>
  <si>
    <t>ALR-0076</t>
  </si>
  <si>
    <t>FIAT - Stilo 1.8 8/16V 02...10  2.4 20V 02...11 s/ ABS</t>
  </si>
  <si>
    <t>ALR-0077 ABS</t>
  </si>
  <si>
    <t xml:space="preserve">FIAT - Stilo 1.8L 02...11 c/ e s/ ABS </t>
  </si>
  <si>
    <t>71753820, 92403013</t>
  </si>
  <si>
    <t>ALR-0087</t>
  </si>
  <si>
    <t>SUZUKI - Swift 93/94  GL</t>
  </si>
  <si>
    <t>ALR-0106 ABS</t>
  </si>
  <si>
    <t xml:space="preserve">VW - Gol G5 E G6 ...09  Saveiro  Voyage G5  09... (Todos c/ ABS) - FORD - Ecosport 1.0/1.68V/2.0 8/16V 4X2  4X4 03... / Fiesta (Exceto Fiesta Street) 1.0/1.6 8V 02..  Focus 2.0 16V 00..  1.8 16V 00..04  1.6/8/16V 04..07  Ka 1.0/1.6 8V 08...  New Fiesta 1.5/1.6 8V 10.../ Novo KA 14... 1.0 SE 12V </t>
  </si>
  <si>
    <t>2S611215BC / 98AX1215BB</t>
  </si>
  <si>
    <t>ALR-0108</t>
  </si>
  <si>
    <t>CHERY - Celer 12...  Tiggo 10… / Tiggo 2 1.5L 17… - FORD - Fusion 2.3 16V 06..10  2.5  3.0 V6 10... - JAGUAR - Vanden Plas 96...00  XJ 8  XJR 99...03  XK 07...09  XK8 99...06  XKR 00...09 - KIA - Carens 1.8/2.0 02...06 - LIFAN -  X60 13...  1.8 16V - 13...  1.8 VIP 16V - MAZDA - 626 2.0 16V 93...99</t>
  </si>
  <si>
    <t>ALR-0171 ABS</t>
  </si>
  <si>
    <t>Rolamento Roda Dianteira e Traseira C/ABS</t>
  </si>
  <si>
    <t>CITROEN - RODA DIANTEIRA &gt;  - Aircross 10...  C3  C3 Picasso 12...  C4  C4 Picasso  Gran Picasso  Lounge  1.6 16V 07...  2.0 16V 04...  DS  11...  DS4 12...  Xsara 1.6 16V  Picasso 99...10 - RODA TRASEIRA &gt; CITROEN - C5 2.0 16V 01... - PEUGEOT - 205 1.4 83...87/1.6 83...10  206 1.0 01.../1.4 05...10/1.6 00...10  207 1.4/1.6 16V 08...  208 13...  306 1.6/1.8/2.0 97...01  307 1.6 16V 02...11/2.0 16V 03...11  308 1.6/2.0 16V 10...  405 1.6/1.8/2.0 87...96  406 2.0 16V/3.0 V6 24V 97...03  3008 1.6 16V Turbo 09...  Hoggar 1.4 8V/1.6 16V 10...  Partner 1.6/1.8 96...10</t>
  </si>
  <si>
    <t>3350.69 / 3350.84</t>
  </si>
  <si>
    <t>ALR-0174 ABS</t>
  </si>
  <si>
    <t>CITROEN - RODA DIANTEIRA &gt;  - Evasion 06/94...07/02 2.0 - RODA TRASEIRA &gt; LAND ROVER - Freelander 2 03...13 / 2.2 Diesel / 2.5 Gasolina - RODA DIANTEIRA &gt; PEUGEOT - 806 95/95  2.0 SV Turbo / 2.0 ST Turbo</t>
  </si>
  <si>
    <t>3350.27/LR 41425</t>
  </si>
  <si>
    <t>ALR-09074/194</t>
  </si>
  <si>
    <t>FORD - Aero Willys  F75  Jeep  Rural 4X2 (Externo)</t>
  </si>
  <si>
    <t>ALR-1011 R</t>
  </si>
  <si>
    <t>Rolamento Roda Dianteira Roletado</t>
  </si>
  <si>
    <t>CITROEN - Jumper 2.3D2.5 1800KG 09...2.8D 1800KG 00...09 - Ducato 2.3 D 1800 KG 09.. / 2.5 D 1800 KG 97...99 / 2.8D/TD 1800 KG 98...09  Aro 16" - IVECO - Daily 35-10; 35C10 Turbodaily 96&gt;03; 35-12 Turbodaily 96&gt;99; 35C12 99&gt;03; 35C13 99&gt;03; 49-10/12 Tubbodaily 96&gt;99; 40C13 Bus; 50C13 Bus 99&gt;03 - PEUGEOT - Boxer 2.8 D 2800KG 99&gt;09/2.3 D 1800KG 09&gt;</t>
  </si>
  <si>
    <t>7180066/46393024</t>
  </si>
  <si>
    <t>ALR-1024 R</t>
  </si>
  <si>
    <t xml:space="preserve">Rolamento Roda Dianteira Roletado </t>
  </si>
  <si>
    <t>IVECO - Daily 351035C10 96...03351249104912 Turbodaily 96..9935C1235C1340C1350C13 Bus 99..03</t>
  </si>
  <si>
    <t>ALR-102949/10</t>
  </si>
  <si>
    <t>Rolamento Roda Dianteira e Traseira</t>
  </si>
  <si>
    <t>TOYOTA - RODA DIANTEIRA &gt;  Bandeirante 3.7/4.0 83...01 (Interno)  Hilux 2.8/3.0 4x4 Diesel (Freio a Disco) ...95  Landcruiser (Externo) - RODA TRASEIRA &gt; TOYOTA - Bandeirante 3.7/4.0 83...01  Landcruiser 94 (Externo) - RODA DIANTEIRA/TRASEIRA &gt; TROLLER - T4  2.0 99...01/2.8 01...08/ 3.0 05...11 (Interno)RODA DIANTEIRA &gt; HYUNDAI - Galloper 2.5 TD/3.0 V6 92...97 (Externo/ Interno) - RODA TRASEIRA &gt; HYUNDAI - HR 2.5 Roda Simples (Interno) - RODA DIANTEIRA &gt; KIA - Sportage 2.0/2.2 93...02 (Interno) - RODA DIANTEIRA &gt; MITSUBISHI - L 200 2.5 4X4  L 300 2.5 95...99  Pajero 2.5 06...12 (Externo/ Interno)</t>
  </si>
  <si>
    <t>MB 932726/9002368011</t>
  </si>
  <si>
    <t>ALR-104948/10</t>
  </si>
  <si>
    <t>TOYOTA - RODA DIANTEIRA &gt;  Hilux 2.8/3.0 D 4X4 (Freio a Disco)  SW4 ...95  Landcruise 94 (Interno) - RODA TRASEIRA &gt; TOYOTA - Bandeirante 3.7/4.0 83...01  Landcruise 94 (Interno) - RODA DIANTEIRA/TRASEIRA &gt; TROLLER - T4  2.0 99...01/2.8 01...08/ 3.0 05...11 (Externo)</t>
  </si>
  <si>
    <t>ALR-10702</t>
  </si>
  <si>
    <t xml:space="preserve">RENAULT -  Trafic 2.2 97...99 / 2.0 00...02 -CHEVROLET/GM - Space Van 98... </t>
  </si>
  <si>
    <t>ALR-11590/20</t>
  </si>
  <si>
    <t>Rolamento Manga de Eixo</t>
  </si>
  <si>
    <t>FORD - Aero Willys 2.3  2.6 60...83  F75 2.6 Mot. BF 161 6 Cil. 57...76  2.3 Mot. OHC 4 Cil. 75...82  Jeep 2.6 57...82  2.3 Mot. OHC 75...82  Rural 2.3  2.6 60...83</t>
  </si>
  <si>
    <t>ALR-11749/10</t>
  </si>
  <si>
    <t xml:space="preserve">VW - Brasilia 1.600 8V 74...  Fusca 1.3001.5001.600 74...  Karmann Ghia  TC  TL 74...  1.00  Variant  I 74...77 (Externo)  4 furos - RODA TRASEIRA &gt; Apollo 1.8 8V 90...92  Fox 1.0/1.6 8V 07...10  Gol (Exceto G5 e G6 1.0 8/16V 91...12/1.3/1.6 8V 80...12/1.8 8V 84...09/2.0 8V 88...02  Golf 1.8/2.0 94...98  Parati 1.6 8V 83... / 1.8 8V 88.../ 2.0 96..1.0 97...04  Passat 1.8 8V 74...89/ 2.0/2.8 94...97  Polo 1.0 16V 96...02  Classic 1.8 8V 96...02  Quantum 1.8 8V 84...03/2.0 8V 87...03  Santana 1.8 8V 84...06/2.0  8V 87..06  Saveiro 1.3 8V 83...86/1.5  87...91/1.6 8V 82...12/1.8 8V 89...08/2.0 8V 98...04  Voyage 1.5 8V 81...05/1.0 8V 08.../1.6 8V 94.../1.8 8V 94...96 (Externo) - RODA TRASEIRA &gt; CHEVROLET/GM - Agile 1.4 8V 09...  Celta 1.0 8V 01...  1.4 8V 04... Classic 1.0  1.6 8/16V  1.4 8V 02...  Corsa 1.0 8/16V 94..02  1.4 8V 94...02  1.6 8/16V  Ipanema 1.8/2.0 8V 89...97  Kadett 1.8/2.0 8V 89...98  Monza 1.6/1.8 8V 82...86  2.0 8V 87...96  Prisma 1.0/1.4 8V 06...  Tigra 1.6 97...00 (Externo) - RODA TRASEIRA &gt; DAEWOO - Espero 2.0 8V (Freio a Tambor) 91...97  Lanos 1.6 16V 97...02  Nubira 1.6 97...03 (Externo) - RODA TRASEIRA &gt; FORD - Escosport 1.0/1.6/1.8/2.0 8V ...93  Explorer 4.0 V6  4X2 95  Royalle  Versailles 1.8  2.0 8V 92...96  Verona 1.6/1.8/2.0 8V ...93 (Externo) - RODA DIANTEIRA &gt; GURGEL - BR800 91 (Externo) - RODA TRASEIRA &gt; SEAT - Cordoba  Ibiza 1.6/1.8 8V 96...99  Inca (Externo) - RODA TRASEIRA &gt; TOYOTA - Paseo 93... (Externo) - RODA DIANTEIRA </t>
  </si>
  <si>
    <t>311 405 645 1</t>
  </si>
  <si>
    <t>ALR-11949/10</t>
  </si>
  <si>
    <t>VW - Kombi - RODA DIANTEIRA &gt; 1.4 8V 05.../1.500 8V 74...75/1.600 8V 76...06 - RODA TRASEIRA &gt; Van 1.6/1.8 8V 98...02 (Externo) - RODA TRASEIRA &gt; AUDI - 80 94...95  100 94 (Externo) - RODA DIANTEIRA &gt; CHEVROLET/GM - A/C10 64..78  D10 ...78  Caravan 2.5 4 Cil. 75... / 4.1 6 Cil. 75...  Opala 2.5 / 4.1 6 Cil. 75... (Externo) - RODA DIANTEIRA &gt; DODGE - Charger 75...77  Dart 70...79  Le Baron 79...81  Magnun 78...79 (Externo) - RODA DIANTEIRA &gt; FORD - F100 2.3 76..83  4.5 57..82  F150 Triton 4X2 ...92  Explorer  F1000 4X2 85..89  4X4  3.6 Eixo Albarus 46 85..92  4X2  79..89  4X4  3.9 D Eixo Albarus 46 79..92  Galaxie 74..  (Externo/ Interno) - RODA TRASEIRA &gt; Belina  Corcel 1.6 8V 79... 1.8 8V 89...  Del Rey 1.6 8V 81..91 - 1.8 8V 89..91  Pampa 1.6/1.8 8V 82..97  Ranger 2.3/4.0 4X2 ...95  2.3 4X2 95...  2.3 4X2 98...  2.8 4X2 01...  3.0 4X2 05...  4.0 4X2 95... (Externo) - RODA DIANTEIRA &gt; LADA - Laika 1.6 8V 90...95 (Externo) - RODA DIANTEIRA &gt; MAZDA - B 2500 98 (Externo)</t>
  </si>
  <si>
    <t>211 405 645 1</t>
  </si>
  <si>
    <t>ALR-12033</t>
  </si>
  <si>
    <t>RENAULT - Clio 1.0  8/16V 96...  Twingo 1.2 93...99/1.0 98..02</t>
  </si>
  <si>
    <t>ALR-1206</t>
  </si>
  <si>
    <t>Rolamento Roda Traseira</t>
  </si>
  <si>
    <t>FORD - Ecosport 1.0/1.6 8V /2.0 8/16V  4X2 03...  Fiesta 1.0/1.6 8V 02...  Focus 2.0 16V 00...  1.8 16V ...07 - 1.6 8/16V ...07</t>
  </si>
  <si>
    <t>1085565/1201568/1135043/1212541/1212546/YS4Z1A049AA</t>
  </si>
  <si>
    <t>ALR-12132 ABS</t>
  </si>
  <si>
    <t>FIAT - Palio  Siena  Strada 1.3/1.5/1.6</t>
  </si>
  <si>
    <t>ALR-1215 R ABS</t>
  </si>
  <si>
    <t>Rolamento Roda Dianteira Roletado C/ABS</t>
  </si>
  <si>
    <t>RENAULT - Master Nova 13... c/ ABS - FIAT - Ducato Nova 17... c/ ABS</t>
  </si>
  <si>
    <t>ALR-1222 R</t>
  </si>
  <si>
    <t>Rolamento Roda Traseira Roletado</t>
  </si>
  <si>
    <t>CITROEN - Aircross 10...  1.6 Exclusive 16V - 10...  1.6 Exclusive 16V Atacama - 10...  1.6 GL 16V - 10...  1.6 GLX 16V  DS 3 11...  1.6 THP 16V - 11...  1.6 Sport Chic 16V - RENAULT - Captur 2017 &gt; 2019 4X2 / Duster 12...  1.6 16V  4X2 - 12...  2.0 16V  4X2 / Zoe 2019&gt;</t>
  </si>
  <si>
    <t>3748.90/432102069R/432103106R/8200639543</t>
  </si>
  <si>
    <t>ALR-12649/10</t>
  </si>
  <si>
    <t>CHEVROLET/GM - A10 2.5  4.1 12V ...92  A20 4.1 ..97  Blazer 2.2 MPFI 95...01  4.3 MPFI 96...  2.8 D 00...  2.4 8V 02...  2.5 97...99  Bonanza 4.0  4.1 85...97  C10 2.5  4.1  4.3 85...89  C20 4.1 8V 4X2 85...96 Camaro 4X2  D10 4.0 79...84  D20 3.9 85...97  Gran Blazer 4.1  4.2 TDS  MPFI 98...99 S10 2.2 MPFI 95...01  4.3 MPFI 96...  2.5 97...99  2.8 D 00...  2.4 MPFI 02...  Silverado 4.1 MPFI 97...99  4.2 TDS 97...02  Suburban 4X2 94...  Veraneio 4.0 12V  4.1 8/12V 85...97 (Externo) - FORD - F150 Triton 4X2 93..  F1000 92 (Externo) - HYUNDAI - H1 2.5 TDS 01...07  H100 2.4/2.5 93...03 (Interno) - HR 2.4/2.5 93...03 (Externo) - MITSUBISHI - L 200 2.5 4X2  Pajero 4X2 (Externo/ Interno) - NISSAN - Terrano II 4X2 95...96 (Interno) - TOYOTA - Hilux 4X2 (Externo)</t>
  </si>
  <si>
    <t>MB 633087</t>
  </si>
  <si>
    <t>ALR-12749/10</t>
  </si>
  <si>
    <t>FORD - Crow Victoria 91...  Explorer 4.0 V6  4X2 95...  Maverick 73... (Externo) - M. BENZ - MB 180C 1.8 8V/93...98 (Externo)</t>
  </si>
  <si>
    <t>ALR-12955 ABS</t>
  </si>
  <si>
    <t>FIAT - Marea 99...07  2.0 20V  c/ABS - 99...  2.4 20V  c/ABS</t>
  </si>
  <si>
    <t>ALR-136</t>
  </si>
  <si>
    <t>AUDI - A3 1.6/1.8/1.8T 96&gt;03; S3; TT 1.8T 20V 98&gt;02 Chassi até 8N 2-070000 - KIA - Sephia 1.5 16V 93&gt;01 - MAZDA - 323 94&gt;; MX3 93&gt;97; ,MX5 92; Protegé 95 - VW - Bora 2.0 8v 00&gt;11; Golf 1.6 8v/1.8T/2.0 97&gt;05; New Beatle 2.0 8v 98&gt;04</t>
  </si>
  <si>
    <t>1J0 498 625</t>
  </si>
  <si>
    <t>ALR-1363</t>
  </si>
  <si>
    <t>VW - Caravelle 97... | Eurovan 98</t>
  </si>
  <si>
    <t>701 501 287D</t>
  </si>
  <si>
    <t>ALR-14125/274</t>
  </si>
  <si>
    <t>FORD - Aero Willys  F75  Jeep  Rural 4X2 (Interno)</t>
  </si>
  <si>
    <t>ALR-14138A/276</t>
  </si>
  <si>
    <t>KIA - Besta 2.7 92...04  Bongo K2700 97... (Interno) - JINBEI - TOPIC 2.0/2.2 08......</t>
  </si>
  <si>
    <t>OK-71E-33047</t>
  </si>
  <si>
    <t>ALR-14585/25</t>
  </si>
  <si>
    <t>KIA - Besta GS 3.0 00...06 (Interno) / Carnival 2.5/2.9 99...05 (Interno)</t>
  </si>
  <si>
    <t>OK-72A-33047</t>
  </si>
  <si>
    <t>ALR-15101/245</t>
  </si>
  <si>
    <t>FORD - RODA DIANTEIRA &gt;  F350 00...  F4000 (Externo) - RODA TRASEIRA &gt; FORD - F250 3.9D  4.2D  6.0/6.7D 99...(Externo)</t>
  </si>
  <si>
    <t>CBTZ-1216A/17A</t>
  </si>
  <si>
    <t>ALR-15103S/243</t>
  </si>
  <si>
    <t>CHEVROLET/GM - A40 4.1 / 4.8 85...  C20 4X4 93...  Gran Blazer  Silverado (Externo)</t>
  </si>
  <si>
    <t>ALR-15578/20</t>
  </si>
  <si>
    <t xml:space="preserve"> KIA - RODA DIANTEIRA &gt; Besta GS  3.0 00...06 (Externo) - RODA TRASEIRA &gt; KIA - Carnival 2.5/2.9 99...05 (Externo)</t>
  </si>
  <si>
    <t>ALR-17887/31</t>
  </si>
  <si>
    <t>Lateral da Coroa</t>
  </si>
  <si>
    <t xml:space="preserve">TOYOTA - Bandeirante </t>
  </si>
  <si>
    <t>ALR-18590/20</t>
  </si>
  <si>
    <t>FORD - Aero Willys 2.3/2.6 60...83  F75 60..83  2.3 Mot. OHC 4 Cil. 4X4 75..82  Jeep  Rural 2.3/2.6 60...83 (Externo/ Interno)CHEVROLET/GM - A20 4.1 4X4 ...97  Bonanza 4.1 4X4 85...97  C20 4.1 8V 4X4 85...96  Veraneio 4.0  4.1 8/12V 4X4 85...97 (Externo)</t>
  </si>
  <si>
    <t>ALR-2552</t>
  </si>
  <si>
    <t>CITROEN - C3 13...  1.5 Attraction 8V - 13...  1.5 Exclusive 8V - 13...  Origine 8V - 13...  Picasso GL 8V - 13...  Picasso GLX 8V - 13...  Picasso Tendance 8V - 13...  Tendance 8V - 13...  1.6 Exclusive 16V - 13...  1.6 Picasso Exclusive 16V - 13...  Picasso GL 16V - 13...  Picasso Tendance 16V - 13...  1.6 Tendance 16V - PEUGEOT - 208 13...  1.5 Active Pack 8V  c/ ABS - 13...  1.5 Allure 8V  c/ABS - 13...  1.6 Active 16V  c/ABS - 13...  1.6 Griffe 16V  c/ABS - 13...  Premier 16V  c/ABS</t>
  </si>
  <si>
    <t>3748A1</t>
  </si>
  <si>
    <t>ALR-26882/20</t>
  </si>
  <si>
    <t>TOYOTA - Bandeirante 3.0/4.0 67...83 (Interno)</t>
  </si>
  <si>
    <t>ALR-2755</t>
  </si>
  <si>
    <t>HONDA - TRX 420 14...20 / TRX 500 14...20 (Modelos Fourtrax 4X4)</t>
  </si>
  <si>
    <t>91051HR3A21</t>
  </si>
  <si>
    <t>ALR-2788/20</t>
  </si>
  <si>
    <t>TOYOTA - Bandeirante 3.0/4.0 67...83 (Externo)</t>
  </si>
  <si>
    <t>ALR-2858</t>
  </si>
  <si>
    <t>EFFA - RODA DIANTEIRA &gt; Furgão  Pick-Up  Van 08...</t>
  </si>
  <si>
    <t>HFJ3501321DA</t>
  </si>
  <si>
    <t>ALR-29749/10</t>
  </si>
  <si>
    <t>MITSUBISHI - L 200  L 300 4X2</t>
  </si>
  <si>
    <t>MB 001315</t>
  </si>
  <si>
    <t>ALR-300849/11</t>
  </si>
  <si>
    <t>FORD - RODA TRASEIRA &gt;Pampa 1.6/1.8 8V 4X4 82...97 (Externo/ Interno) - RODA DIANTEIRA &gt; NISSAN - Frontier 90...  2.5 16V - 90...07  2.8 (Todas 4X4) (Externo)</t>
  </si>
  <si>
    <t>113517185 B</t>
  </si>
  <si>
    <t>ALR-30203</t>
  </si>
  <si>
    <t>ASIA - Towner 93...98 (Interno)</t>
  </si>
  <si>
    <t>AA 100-33-075</t>
  </si>
  <si>
    <t>ALR-30205</t>
  </si>
  <si>
    <t xml:space="preserve"> KIA - RODA DIANTEIRA &gt; Besta 2.2/2.7 92...04  Bongo K2400/K2700 97... (Externo) - RODA DIANTEIRA &gt; ASIA - Hi-Topic  Rocsta  Topic 2.7 8V 91... (Externo) - RODA TRASEIRA &gt; CHEVROLET/GM - Space Van 98... (Externo) - RODA DIANTEIRA &gt; MAZDA - B 2200 94 (Interno) - RODA TRASEIRA &gt; RENAULT - Trafic 2.2 97...99 / 2.1 00...02 (Externo) - RODA DIANTEIRA &gt; JINBEI - TOPIC 2.0/2.2 - 08....</t>
  </si>
  <si>
    <t>OS-083-33047</t>
  </si>
  <si>
    <t>ALR-30208</t>
  </si>
  <si>
    <t xml:space="preserve"> KIA - Besta 2.2/2.7 92...04 (Externo/ Interno) - ASIA - Hi-Topic  Rocsta  Topic 2.7 8V 91... (Externo/ Interno) -MAZDA - B 200 94 (Externo/ Interno) - MITSUBISHI - L 200  L 300 4X4 - NISSAN - Frontier 2.5 16V 90..11/2.8 90..07  Pathfinder 3.5 V6 4X4 00/3.3 V6 4X4 96...01  Terrano II 95...96  X Terra 2.8 03...08 (Externo/ Interno)</t>
  </si>
  <si>
    <t>OK-670-26151</t>
  </si>
  <si>
    <t>ALR-30303 D</t>
  </si>
  <si>
    <t>TOYOTA - Bandeirante (Todos)</t>
  </si>
  <si>
    <t>ALR-30304</t>
  </si>
  <si>
    <t>VW - RODA DIANTEIRA &gt; - Brasilia 1.600 8V ...74  Fusca 1300/1500/1600 ...74  Karmann Ghia  TC  TL ...74  Variant 1600 Mod. Variant I 69...74 (Externo)  5 furosRODA TRASEIRA &gt; FORD - Belina  Corcel 1.4 8V ...78 (Externo)</t>
  </si>
  <si>
    <t>49979 /111 405 647</t>
  </si>
  <si>
    <t>ALR-30305</t>
  </si>
  <si>
    <t>VW - Brasilia 1.600 8V ...74  Fusca 1300/1500/1600 ...74  Karmann Ghia  TC  TL ...74 - Variant 1600 Mod. Variant I 69...74 (Interno)  5 furos</t>
  </si>
  <si>
    <t>111 407 627</t>
  </si>
  <si>
    <t>ALR-3050</t>
  </si>
  <si>
    <t>HONDA - TRX 300 00 / TRX 350 00...06 / TRX 400 04...07 / TRX 420 08...13 (Modelos Fourtrax 4X4)</t>
  </si>
  <si>
    <t>91051-HC5-003</t>
  </si>
  <si>
    <t>ALR-309946</t>
  </si>
  <si>
    <t>CHEVROLET/GM - Calibra 93...97  2.0 16V - Omega 92...98  3.0 12V - 95...98  4.1 12V - Suprema 92...98  3.0 12V - 95...98  4.1 12V - BMW - SERIE 5</t>
  </si>
  <si>
    <t>ALR-311315</t>
  </si>
  <si>
    <t xml:space="preserve"> VW - Gol 1.0 8V 91...94/1.3 8V 80..82/1.6 8V Refrig a ar/água 80..94/1.8 8V 84...94/2.0 8V 88...94  Parati 1.6/1.8 8V 83...94  Passat 1.8 8V 74...89  Quantum  Santana 1.6 8V Refrig a arágua 84...94  Saveiro 1.3 8V 83...86/1.5 87..911.6 8V 82...94/1.8 8V 89...94  Variant  Variant II 1.6 8V 78..82  Voyage 1.5 8V 81...85/ 1.6 83...94/1.8 8V 86...94 - CHERY - QQ 10...  1.0 MPFI 12V - 10...  1.0 MPFI ACT 12V - 10...  1.1 MPFI 16V - FORD - Royalle 1.8/2.0 8V 92...94  Versailles 1.8/2.0 8V 91...94 -</t>
  </si>
  <si>
    <t>811407625 F/813407625 F</t>
  </si>
  <si>
    <t>ALR-311443</t>
  </si>
  <si>
    <t xml:space="preserve"> VW - Golf 1.8/2.0 94...98  Passat 2.0/2.8 94...97  Polo 1.0 /1.8 16V  Classic 96...02  Van 1.6/1.8 8V 98...02 - Variant Importada 2.0/2.8 94...97 - RODA DIANTEIRA &gt; SEAT - Cordoba  Ibiza 1.6/1.8 8V 93...01  Inca</t>
  </si>
  <si>
    <t>357 498 625</t>
  </si>
  <si>
    <t>ALR-311443 ABS</t>
  </si>
  <si>
    <t>VW - Polo 1.0/1.6 MSI - 2018 &gt; .../ Virtus 1.6 MSI - 2018 &gt; ...;</t>
  </si>
  <si>
    <t>2QB407625</t>
  </si>
  <si>
    <t>ALR-32005 X</t>
  </si>
  <si>
    <t>ASIA - Towner 93...98 (Externo) - PEUGEOT - 504 2.3 Diesel ...89 (Externo)</t>
  </si>
  <si>
    <t>AA 100-33-047</t>
  </si>
  <si>
    <t>ALR-32006 X</t>
  </si>
  <si>
    <t>FIAT - Ducato 2.5 D CH6194399 10001400 KG 97...99 (Externo/ Interno)</t>
  </si>
  <si>
    <t>ALR-32007 X</t>
  </si>
  <si>
    <t>FORD - Belina  Corcel 1.4 8V ...04/70 (Externo/ Interno) - RODA TRASEIRA &gt; CHEVROLET/GM - Space Van 98... (Interno) - RODA DIANTEIRA &gt; DAIHATSU - Feroza 94 (Externo) - RODA DIANTEIRA &gt;  RODA TRASEIRA &gt; RENAULT - Trafic 2.2 97..99 / 2.2 00...02 (Interno)</t>
  </si>
  <si>
    <t>ALR-32008 X</t>
  </si>
  <si>
    <t>FIAT - Ducato (Interno) - RODA DIANTEIRA &gt; RODA DIANTEIRA &gt; DAIHATSU - Feroza 94 (Interno) - RODA TRASEIRA &gt;LADA - Niva 1.6 90...96 (Externo/ Interno)  Samara 1.3 90...95 (Prato de Mola)</t>
  </si>
  <si>
    <t>2121-3103020</t>
  </si>
  <si>
    <t>ALR-32009 X</t>
  </si>
  <si>
    <t>M. BENZ - RODA DIANTEIRA &gt; 180 D 2.4 Diesel 93...96 (Interno) - RODA TRASEIRA &gt; KIA Bongo K2400/2700 97... (Externo/ Interno)</t>
  </si>
  <si>
    <t>631 980 01 02</t>
  </si>
  <si>
    <t>ALR-32010 X</t>
  </si>
  <si>
    <t>FIAT - DUCATO - 97...99  2.5 D  Até CH6194399  1000/1400 Kg - 98...02  2.8 D/TD  Até CH619399  1000/1400 Kg (Exceto 8/10 Maxi) - HYUNDAI - HR 2.5 Roda Simples Externo - KIA - Ceres 1.6 16V 04...08 (Externo) - PEUGEOT - BOXER - 99...2002 1.9 / 2.5 Diesel - 99...00 Hdi 2.2 (Aro 15)</t>
  </si>
  <si>
    <t>ALR-32011 X</t>
  </si>
  <si>
    <t>FIAT - RODA TRASEIRA &gt; Ducato 2.5 D CH6194400 1800KG 97...99  2.8 DTD CH 6194400 1800KG  8/10 Maxi 98...05 (Externo/ Interno) - KIA - CERES - 04/04...05/08  1.6 16V</t>
  </si>
  <si>
    <t>ALR-32206</t>
  </si>
  <si>
    <t>FIAT - Ducato 2.5 D CH61944001800 KG 97..992.8 DTD CH 61944001800 KG 98..02 - CITROEN - Jumper ...02 (Externo)M. BENZ - 180 D 2.4 Diesel 93...96 (Externo)</t>
  </si>
  <si>
    <t>001 981 65 05</t>
  </si>
  <si>
    <t>ALR-329013</t>
  </si>
  <si>
    <t>FORD - Escort 1.0/1.6/2.0 8V - 1.8 8/16V 94...  Fiesta (Exceto Nova Fiesta) 1.0 8V 95..02  1.3 8V 95..99  1.4 8V 96..00  Ka 1.0/1.6 8V 97...  1.3 8V 97...02  Verona 1.6 8V  1.8  2.0 8V 94... - VW - Logus 1.6/1.8/2.0 8V 93..97  Pointer 1.8/2.0 8V 93..96 (Externo/ Interno)</t>
  </si>
  <si>
    <t>547405645, 89FB1238 AD/5020654</t>
  </si>
  <si>
    <t>ALR-329129 R</t>
  </si>
  <si>
    <t>Rolamento Roda Dianteira e Traseira Roletado</t>
  </si>
  <si>
    <t>FIAT - Ducato 2.3 D 1500KG 02.. / 2.5 D CH 6194400/1000/1400KG 97...99/2.5D / TD  CH 6194400 1000/1400KG 98...05/2.8 D/TD 1500KG 05...09/2.8 03...  Aro 15" - PEUGEOT - RODA DIANTEIRA &gt; Jumper 2.3D  2.5 800/1000/1400KG 09...  2.8D 800/1000/1400KG 00...09 - RODA TRASEIRA  M. BENZ - Sprinter 2.5 Eixo HLO 97...02/2.2 Eixo HLO 01... - RODA DIANTEIRA &gt; PEUGEOT - Boxer 2.8 D 800/1000/1400 KG 99...09/2.3 D 800/1000/1400KG 09... - RENAULT - Master 2.5/2.8 03...</t>
  </si>
  <si>
    <t>ALR-33108</t>
  </si>
  <si>
    <t>CITROEN - Jumper ...02 (Interno)</t>
  </si>
  <si>
    <t>ALR-33205</t>
  </si>
  <si>
    <t>M. BENZ - Sprinter (Eixo Dana)2.5 97...02/ 2.2 01... (Externo)</t>
  </si>
  <si>
    <t>003 981 22 05</t>
  </si>
  <si>
    <t>ALR-3464</t>
  </si>
  <si>
    <t>LADA - Samara 1.3L / 1.5L 1991...1997 / DAEWOO - Lanos SOHC / OHC 1997...2002</t>
  </si>
  <si>
    <t>2108-3103020 / 90279331</t>
  </si>
  <si>
    <t>ALR-3496 ABS</t>
  </si>
  <si>
    <t xml:space="preserve"> FORD - RODA DIANTEIRA &gt; Edge 3.5 V6 07... - RODA DIANTEIRA &gt; TOYOTA - Camry 11… / Lexus ES 14...16 - RODA TRASEIRA &gt; TOYOTA -  Camry 3.03.5 V6 24V 04...</t>
  </si>
  <si>
    <t>ALR-3562</t>
  </si>
  <si>
    <t>EFFA - M100 08...</t>
  </si>
  <si>
    <t>ALR-3564</t>
  </si>
  <si>
    <t>DAIHATSU - Applause 4X4 94</t>
  </si>
  <si>
    <t>DAIHATSU</t>
  </si>
  <si>
    <t>ALR-3566</t>
  </si>
  <si>
    <t>VW - Polo Classic 1.8 94...96 / Up! 14... s/ABS</t>
  </si>
  <si>
    <t>ALR-3566 ABS</t>
  </si>
  <si>
    <t>VW - UP! 14...  1.0 12V  c/ABS</t>
  </si>
  <si>
    <t>1S0 407 625</t>
  </si>
  <si>
    <t>ALR-3666 ABS</t>
  </si>
  <si>
    <t>KIA - New Picanto 1.0 12... c/ABS</t>
  </si>
  <si>
    <t>517201Y00</t>
  </si>
  <si>
    <t>ALR-368A/362A</t>
  </si>
  <si>
    <t>CHEVROLET/GM - A10 2.5  4.1 12V ...92  A20 4.1 ..97  A40 4.14.8 85...  Bonanaza 4.0  4.1 85...97  C20 4X2  D20 3.9 85...97  Silverado 4.1 MPFI 97...99  4.2 TDS 97...02  Veraneio 4.0 12V 85...07  4.1 8/12V 85...97 (Externo) - FORD - F350 00...  F4000 (Externo)</t>
  </si>
  <si>
    <t>61 4221/22A</t>
  </si>
  <si>
    <t>ALR-3768</t>
  </si>
  <si>
    <t xml:space="preserve">MITSUBISHI - Pajero TR4 / IO 02... 2.0 16V </t>
  </si>
  <si>
    <t>MR 410569</t>
  </si>
  <si>
    <t>ALR-3838</t>
  </si>
  <si>
    <t>LIFAN - 320 10...  1.3 16V</t>
  </si>
  <si>
    <t>LIFAN</t>
  </si>
  <si>
    <t>F2304510</t>
  </si>
  <si>
    <t>ALR-3869 ABS</t>
  </si>
  <si>
    <t>JAC - J2 12... 1.4 16V c/ ABS</t>
  </si>
  <si>
    <t>2901530U9080</t>
  </si>
  <si>
    <t>ALR-3870</t>
  </si>
  <si>
    <t>HYUNDAI - Accent 1.5 00...05 / Atos 1.0 8V 01..03 / HB20 1.0 12V/1.6 16V 12... - DAIHATSU - Applause 4X4  Charade 94  Terios 98... JAC - J3 10...  1.4 16V - 10...  1.4 Turin - 10...  1.5 S 16V - 10...  1.5 Turin 16V -  - T40 17... 1.5L / 1.6L - KIA - Picanto 04/04...07/10  1.0 12V - 04/04...07/10  1.1 12V - NISSAN - XTRAIL - 06/01...07/10  2.0 16V  4X4 - 06/01...07/10  2.5 16V  4X4</t>
  </si>
  <si>
    <t>2901520U8010XZ/51750-1C000</t>
  </si>
  <si>
    <t>ALR-3871</t>
  </si>
  <si>
    <t>TOYOTA - Paseo 93...</t>
  </si>
  <si>
    <t>ALR-3872</t>
  </si>
  <si>
    <t>TOYOTA - Corolla 1.6/1.8 16V 93...02  Corona ...98</t>
  </si>
  <si>
    <t>ALR-3873</t>
  </si>
  <si>
    <t>HONDA - RODA DIANTEIRA &gt; City 1.5 16V 09...  Civic 1.5/1.6 16V ...95  1.6 16V 96...00  CR-V 2.0 16V 05...06 / FIT 02-08 - RODA TRASEIRA &gt; HONDA - CR-V 2.4 16V 02..04/2.0 16V 05...06/Fit 1.4 16V 02...08 - RODA TRASEIRA &gt; SUBARU - Forester 2.0 16V 4X4 97...07  Imprenza 1.6/1.8 4X4 93...00/2.0  4X4 94..05/2.5 16V 00..07  Legacy 1.8/2.0/2.2/2.5 16V 90...03  Outback 2.5 16V 97...</t>
  </si>
  <si>
    <t>90369-38011 90369-38016/ 90369-38010</t>
  </si>
  <si>
    <t>ALR-3874</t>
  </si>
  <si>
    <t xml:space="preserve">TOYOTA - Celica 91...92  RAV4 2.0 16V 94...00 - NISSAN - NX 2000  Sentra 87...90 - </t>
  </si>
  <si>
    <t>ALR-3879</t>
  </si>
  <si>
    <t>NISSAN - X-Trail 06/01...07/10  2.0 16V - 06/01...07/10  2.5 16V</t>
  </si>
  <si>
    <t>ALR-387A/382A</t>
  </si>
  <si>
    <t>FORD - RODA DIANTEIRA &gt;  F250 3.9 D  4.2 D  6.0/6.7 D 99... (Interno) - RODA TRASEIRA &gt; FORD - F350 00...  F4000 (Interno)</t>
  </si>
  <si>
    <t>TCAA-1244A/TCAA-1243A</t>
  </si>
  <si>
    <t>ALR-3939 ABS</t>
  </si>
  <si>
    <t>CHERY - Cielo 10...  1.6 16V  c/ ABS – QQ 1.1 2011 &gt; 2018 c/ ABS</t>
  </si>
  <si>
    <t>M113001030</t>
  </si>
  <si>
    <t>ALR-3974</t>
  </si>
  <si>
    <t>KIA - Cerato 1.6 16V 04...08</t>
  </si>
  <si>
    <t>51720-2D000 / 51720-2D100</t>
  </si>
  <si>
    <t>ALR-3982/20</t>
  </si>
  <si>
    <t>CHEVROLET/GM - A10 2.5  4.1 12V ...92  A20 4.1 ..97  A40 4.14.8 85...  Bonanza 4.0  4.1 85...97  C20 4X2  D20 3.9 85...97  Silverado 4.1 MPFI 97...99  4.2 TDS 97...02  Veraneio 4.0 12V 85...07  4.1 8/12V 85...97 (Interno)</t>
  </si>
  <si>
    <t>ALR-40088 ABS</t>
  </si>
  <si>
    <t>FIAT - Bravo 1.4T 11...17 - Stilo Abarth 2.4L 02...11 c/ ABS</t>
  </si>
  <si>
    <t>50700495, 71753821, 48636200</t>
  </si>
  <si>
    <t>ALR-40096 R</t>
  </si>
  <si>
    <t>RENAULT - Master 2.5/2.8 03...</t>
  </si>
  <si>
    <t>ALR-40250</t>
  </si>
  <si>
    <t>RENAULT - Laguna 2.0 8/16V/3.0 V6 24V 97...01  Laguna Nevada ...98  Megane 2.0 16V 97...98</t>
  </si>
  <si>
    <t>ALR-4040 ABS</t>
  </si>
  <si>
    <t>MITSUBISHI - Airtrek 01...06 c/ABS</t>
  </si>
  <si>
    <t>MR 491449</t>
  </si>
  <si>
    <t>ALR-40570 E</t>
  </si>
  <si>
    <t>PEUGEOT - 106 1.0 91...96/1.0 99...04/1.4 96...99/1.4 99... (4 furos)  205 1.0/1.4 83...98  306 1.6 (Freio a Tambor) 94...01/1.8/2.0 (Freio a Disco/Tambor) 94...01 - CITROEN - AX 1.4 8V 92...98  C3 1.4 8/16V - 1.6 16V  02...10  Xsara 1.6 97...98  ZX 1.9 95...98 (Todos Freio a Tambor) - CHERY - QQ - 10... 1.0 MPFI 12V - 10... 1.0 MPFI ACT 12V - 10... 1.1 MPFI 16V</t>
  </si>
  <si>
    <t>3748.17/771205812</t>
  </si>
  <si>
    <t>ALR-40570 R</t>
  </si>
  <si>
    <t>RENAULT - CLIO 1.0/1.6 8/16V 96... / Fluence 1.6/2.0 16V 11...  Kwid 15... / Logan 1.0 16V/1.6 8/16V 07...  R19 1.6/1.8 8/16V (Freio a TamborDisco) ...98  Sandero 1.0 16V/1.6 8/16V 07...  Symbol 1.6 16V 09...  Twingo 1.2 93...99/1.0 98...02CITROEN - AX 1.4 8V 92...98  C3 1.4 8/16V - 1.6 16V  02...10  Xsara 1.6 97...98  ZX 1.9 95...98 (Todos Freio a Tambor) - PEUGEOT - 106 1.0 91...96/1.0 99...04/1.4 96...99/1.4 99... (4 furos)  205 1.0/1.4 83...98  306 1.6 (Freio a Tambor) 94...01/1.8/2.0 (Freio a Disco/Tambor) 94...01 - CHERY - QQ 10... 1.0 MPFI 12V - 10... 1.0 MPFI ACT 12V - 10... 1.1 MPFI 16V</t>
  </si>
  <si>
    <t>7701205812</t>
  </si>
  <si>
    <t>ALR-40574</t>
  </si>
  <si>
    <t>CITROEN - Berlingo 1.6 16V - 1.8 96...10  BX 1.6/1.9 16V 84...94  C5 2.0 16V 01...  Xantia  1.8 8/16V 95...99 - 2.0 8/16V 93...03 - 3.0 99...03  ZX 1.8 8/16V 92...94 - PEUGEOT - 307 1.6 16V 02...11/2.0 16V 03...11</t>
  </si>
  <si>
    <t>3307.56</t>
  </si>
  <si>
    <t>ALR-40650 E</t>
  </si>
  <si>
    <t>Rolamento Roda Traseira Duplo</t>
  </si>
  <si>
    <t>CHEVROLET/GM - Novo Corsa 02...  Meriva 1.8 8/16V  1.4 8V 03...</t>
  </si>
  <si>
    <t>ALR-40650 R</t>
  </si>
  <si>
    <t>CHEVROLET/GM - Novo Corsa 2002 &gt;; Meriva 1.8 8/16V 1.4 8V 2003 &gt;;</t>
  </si>
  <si>
    <t>ALR-4070</t>
  </si>
  <si>
    <t>MITSUBISHI - Airtrek 03...06  2.0 4X4 16V - 03...06  2.4 4X4 16V  Outlander 03...06</t>
  </si>
  <si>
    <t>ALR-40725 R</t>
  </si>
  <si>
    <t>RENAULT - Scénic (Todos c/ Disco de Freio)</t>
  </si>
  <si>
    <t>ALR-4074</t>
  </si>
  <si>
    <t xml:space="preserve">TOYOTA - Corolla 1.6 16V 02... 1.8 16V 02...08  Corolla 03/14... c/ e s/ ABS (Novo Corolla) / Corona 99... - GEELY - EC 7 14...  1.8 16V - LIFAN - 620 10..  1.6 16V - PONTIAC - Vibe 03...07 </t>
  </si>
  <si>
    <t>1064001701/2304510</t>
  </si>
  <si>
    <t>ALR-4074 CS</t>
  </si>
  <si>
    <t>MITSUBISHI - TR4 01...</t>
  </si>
  <si>
    <t>MB808442, MR519097</t>
  </si>
  <si>
    <t>ALR-4075</t>
  </si>
  <si>
    <t>FORD - Mondeo 1.8 16V 93..96 - 2.0 16V 97...06 - VOLVO - S 40  V 40 00...04</t>
  </si>
  <si>
    <t>93BB-1215 AB</t>
  </si>
  <si>
    <t>ALR-4076</t>
  </si>
  <si>
    <t xml:space="preserve">CHRYSLER - Neon 95...99  1.8 16V </t>
  </si>
  <si>
    <t>4641120B</t>
  </si>
  <si>
    <t>ALR-4078 ABS</t>
  </si>
  <si>
    <t>CHEVROLET/GM - Cobalt 1.4 8V 12... / Onix 1.0/1.4 8V 12... / Novo Prisma 1.0/1.4 8V 12... / Sonic 1.6 8V 12... / Spin 1.4 8V / 1.8 12... / Tracker 13... 1.8 4X2 16V c/ABS</t>
  </si>
  <si>
    <t>ALR-40784 R</t>
  </si>
  <si>
    <t>FIAT - Ducato 2.3 D 09... - CITROEN - Jumper 2.3D  2.5 800/1000/1400/1800 KG 09...  2.8D 800/1000/1400/1800KG 00...09PEUGEOT - Boxer 2.8 D 99...09/2.3 D 09...</t>
  </si>
  <si>
    <t>3730.32/1328029080, 71729126</t>
  </si>
  <si>
    <t>ALR-4080</t>
  </si>
  <si>
    <t xml:space="preserve">MITSUBISHI - L 200 Hpe Sport  Pajro (Exceto IO) - HYUNDAI - H 1  H 100  HR 2.5 Roda Dupla 03... </t>
  </si>
  <si>
    <t>52701-4A070</t>
  </si>
  <si>
    <t>ALR-40858 R</t>
  </si>
  <si>
    <t>RENAULT - Mégane 1.6/2.0 16V 02...12</t>
  </si>
  <si>
    <t>ALR-40880 ABS</t>
  </si>
  <si>
    <t>Rolamento Roda Traseira C/ABS</t>
  </si>
  <si>
    <t>RENAULT - Duster 12...  1.6 16V  4X4  c/ABS  - 12...  2.0 16V  4X4  c/ABS - Grand Scenic 04...09</t>
  </si>
  <si>
    <t>7701207676/770121011</t>
  </si>
  <si>
    <t>ALR-4090</t>
  </si>
  <si>
    <t xml:space="preserve">TOYOTA - Hilux 2.8 D/3.0 D 4X4 01...08 /SW4  01...08 (Freio a Disco) (Flutuante) </t>
  </si>
  <si>
    <t>ALR-41225 ABS</t>
  </si>
  <si>
    <t>PEUGEOT - RODA DIANTEIRA &gt;  407 05...  2.0 16V - 05...  3.0 V6 24V - RODA DIANTEIRA &gt; PEUGEOT - 607 04...  3.0 V6 24V  Mod. II - RODA TRASEIRA &gt; PEUGEOT - RCZ 11...  1.6 16V</t>
  </si>
  <si>
    <t>3350.82, 3350.85</t>
  </si>
  <si>
    <t>ALR-41245</t>
  </si>
  <si>
    <t>CITROEN - C4 1.6 / 1.8 / VTR 2004 &gt; 2006 - PEUGEOT - 307 1.6 / 2.0 2000 &gt; 2006 / Hatchback, CC e SW, fabricados até 09.2006</t>
  </si>
  <si>
    <t>3748.83</t>
  </si>
  <si>
    <t>ALR-41288 R</t>
  </si>
  <si>
    <t>NISSAN - March 11... / Versa 1.6 16V 11... - RENAULT - Fluence 11...  1.6 16V  c/ ABS - 11...  2.0 16V  c/ ABS</t>
  </si>
  <si>
    <t>432101HLOA</t>
  </si>
  <si>
    <t>ALR-41394 R</t>
  </si>
  <si>
    <t>CITROEN - C4 08...  2.0 16V- 08...  2.0 LA 16V  C4 Picasso  DS4 12...  1.6 MPFI 16V  Turbo Intercooler - 12...  1.6 THP CHIC 165 16V Turbo - 12...  1.6 THP CHIC 165 16V Intercooler - 12...  1.6 THP SO CHIC 165 16V Turbo Intercooler</t>
  </si>
  <si>
    <t>3748.94</t>
  </si>
  <si>
    <t>ALR-4168</t>
  </si>
  <si>
    <t>CHEVROLET/GM - Tracker 01...12 - SUZUKI - Gran Vitara 1.6/2.0 16V 98...00/2.5 24V 98...09  Jimny 1.3 16V 98...  Sidekick 93  Vitara 1.6 8/16V 88..96/2.0 94..98/1.6/2.0 99..00</t>
  </si>
  <si>
    <t>ALR-41793 ABS</t>
  </si>
  <si>
    <t>RENAULT - Captur 2017 &gt; 2019 / Duster 12…  1.6 16V  4X2 e 4X4  c/ ABS - 12...  2.0 16V  4X2 e 4X4  c/ABS  Fluence 1.6/2.0 16V 11...</t>
  </si>
  <si>
    <t>702107049R</t>
  </si>
  <si>
    <t>ALR-41922 R</t>
  </si>
  <si>
    <t>RENAULT - Nova Master 13...</t>
  </si>
  <si>
    <t>432104177R</t>
  </si>
  <si>
    <t>ALR-4272</t>
  </si>
  <si>
    <t>SUBARU - Forester 2.0 16V 4X4 97...07/2.0/2.5 16V 98...08 | Imprenza 1.6/1.8 93...00/2.0 94...07/2.5 00..07 | Legacy 1.8/2.0/2.2/2.5 16V 90..03/1.8/2.0/2.2/2.5 16V 94...04 | Outback 2.5 16V 96...03</t>
  </si>
  <si>
    <t>ALR-4276</t>
  </si>
  <si>
    <t>HYUNDAI - RODA DIANTEIRA &gt;  IX 35 2.0 16V 4X2 11... - RODA DIANTEIRA &gt; CHRYSLER - Neon 1.8 16V 02...05  PT Cruiser 2.0/2.4 16V 02...10 - RODA TRASEIRA &gt; FORD - Taurus 86..95 - MUSTANG 01...99  03...04 -Windstar 86...95 - RODA TRASEIRA &gt; KIA - Besta GS 04...  Carnival 2.5/2.9 99...05  Mohave 08...  Sorento 3.5 03...06/2.5 03...08 - RODA DIANTEIRA &gt; NISSAN - Maxima 95...02  Primera 97...98 - JAGUAR - XJ 8  97...98 - XK 8 97...98</t>
  </si>
  <si>
    <t>ALR-4278</t>
  </si>
  <si>
    <t>HYUNDAI - Elantra 1.6 1.8 16V 07...  I30 2.0 16V 09...  Veloster 1.6 16V 12... - KIA - Cerato 1.6 16V 09...12  Soul 1.6 16V 10...</t>
  </si>
  <si>
    <t>51720-0Q000</t>
  </si>
  <si>
    <t>ALR-4282 ABS</t>
  </si>
  <si>
    <t>TOYOTA - Hilux - 2015 &gt;;</t>
  </si>
  <si>
    <t>RL - Pickup</t>
  </si>
  <si>
    <t>90366-T0060</t>
  </si>
  <si>
    <t>ALR-4282 R</t>
  </si>
  <si>
    <t>TOYOTA - Hilux 09.../Pitbul</t>
  </si>
  <si>
    <t>90366T0044</t>
  </si>
  <si>
    <t>ALR-4290 ABS</t>
  </si>
  <si>
    <t>RENAULT - Kwid 15... 1.0 12V c/ ABS</t>
  </si>
  <si>
    <t>402107387R</t>
  </si>
  <si>
    <t>ALR-4347 ABS</t>
  </si>
  <si>
    <t>CHEVROLET/GM - Omega 08...12 3.6L Australiano</t>
  </si>
  <si>
    <t>ALR-4376</t>
  </si>
  <si>
    <t>NISSAN - X-Trail 07/01...07/10  2.0 16V  4X4 - 08/01...07/10  2.5 16V  4X4</t>
  </si>
  <si>
    <t>402102Y000</t>
  </si>
  <si>
    <t>ALR-4378 ABS</t>
  </si>
  <si>
    <t>HONDA - New Civic 06...16 1.8L c/ ABS</t>
  </si>
  <si>
    <t>44300-SNA-951, 44300-TR0-951</t>
  </si>
  <si>
    <t>ALR-4379</t>
  </si>
  <si>
    <t>HONDA - Civic 1.5 16V ...95  1.6 16V ...00  Fit 1.4/1.5 16V / New Fit 09... s/ ABS</t>
  </si>
  <si>
    <t>44300-S04-A01</t>
  </si>
  <si>
    <t>ALR-4379 ABS</t>
  </si>
  <si>
    <t>HONDA - City 09... / Fit 09... c/ Abs)</t>
  </si>
  <si>
    <t>44300-S04-A01/44300-SR3-A04</t>
  </si>
  <si>
    <t>ALR-4380 R ABS</t>
  </si>
  <si>
    <t>JEEP - Compass 07...14 - MITSUBISHI - Asx 10...  Lancer 08...13  Outlander 2.0/2.4 16V / 3.0 24V 07...12</t>
  </si>
  <si>
    <t>ALR-4382</t>
  </si>
  <si>
    <t>TOYOTA - RODA DIANTEIRA &gt;  Camry 2.2 16V 92..99/3.0 V6 24V 93...03/3.0 V6 24V 00...03  Lexus ES300  RAV 4 2.0 16V 01...05 - RODA TRASEIRA &gt; TOYOTA - MR 2 2.0 Turbo 91...94  RAV 4 2.0 16V 01...05</t>
  </si>
  <si>
    <t>ALR-44552</t>
  </si>
  <si>
    <t>TOYOTA - Bandeirante 67... / 14B 93...</t>
  </si>
  <si>
    <t>ALR-44649/10</t>
  </si>
  <si>
    <t>CHEVROLET/GM -RODA DIANTEIRA &gt;  Caravan 2.5 4 Cil. ...75 - 4.1 6 Cil.   ...75  Chevette  CHEVY 500 1.6 8V 84..95  Marajó 1.4 8V 80..89 / 1.6 8V 82...89  Opala 2.5 / 4.1 6 Cil. ...75 (Interno) - RODA TRASEIRA &gt; FORD - Belina 1.4 8V ...78  1.6 8V 79...  1.8 8V 89...  Corcel 1.4 8V ...78  1.6 8V 79...  1.8 8V 89...  Del Rey 1.6 8V 81..91 - 1.8 8V 89..91  Pampa 1.6 8V 82..97 (Interno)</t>
  </si>
  <si>
    <t>ALR-446762</t>
  </si>
  <si>
    <t>CITROEN - RODA DIANTEIRA &gt; AX 1.4 8V 92...98 - PEUGEOT - 106 1.0/1.4 91..99  205 1.0/1.4 ...98  306 1.6 97...01  furo rol. 35Mm (4 Furos) - RODA TRASEIRA &gt; PEUGEOT - 106 1.0 99...04  3 furos</t>
  </si>
  <si>
    <t>3350.17</t>
  </si>
  <si>
    <t>ALR-44724</t>
  </si>
  <si>
    <t>Rolamento de Agulha</t>
  </si>
  <si>
    <t>VW- Kombi - 1500 1973&gt;2014; Kombi - 1600 1973&gt;2014</t>
  </si>
  <si>
    <t>ALR-45084</t>
  </si>
  <si>
    <t>CHEVROLET/GM - Caravan / Opala - (Braseixos) - FORD - Ranger Opcional Redução 4,56/ 4,10  Crow Victoria 91...  Explorer 95...</t>
  </si>
  <si>
    <t>ALR-45086</t>
  </si>
  <si>
    <t>CHEVROLET/GM - Chevette / Marajó - (Braseixos)</t>
  </si>
  <si>
    <t>ALR-45087</t>
  </si>
  <si>
    <t>CHEVROLET/GM - A10 70...84  C10 70...84  D10 70...84  Veraneio 70...84 - DODGE - Charger 75...77  Dart 70...79  Le Baron 79...81  Magnun 78...79 - JEEP - Cherokee 96...01  2.4 - 96...01  2.5 - 96...01  3.1 - 96...01  3.7 - 96...01  4.0  8.25" Ring Gear  Liberty 02...07  2.5  Eixo 8.25" - 02...07  2.8 V6 12V  Eixo 8.25" - 02...07  3.7 V6 12V  Eixo 8.25"</t>
  </si>
  <si>
    <t>ALR-45226</t>
  </si>
  <si>
    <t>VW - Kombi 1.4 8V 05.../1600 8V 78... (Externo)</t>
  </si>
  <si>
    <t>211 501 283 1</t>
  </si>
  <si>
    <t>ALR-4540</t>
  </si>
  <si>
    <t>HONDA - Accord 02/98...12/02  2.0  s/ ABS - 02/98...12/02  2.3  s/ ABS - 02/98...12/02  2.5  s/ ABS</t>
  </si>
  <si>
    <t>ALR-4541 ABS</t>
  </si>
  <si>
    <t xml:space="preserve"> BMW - RODA DIANTEIRA &gt; X3 3.0 24V 04...10</t>
  </si>
  <si>
    <t>ALR-4542 ABS</t>
  </si>
  <si>
    <t xml:space="preserve"> HONDA - RODA DIANTEIRA &gt;Accord 02/98...12/02  2.0  c/ ABS - 02/98...12/02  2.3  c/ ABS - 02/98...12/02  2.5  c/ ABS - RODA DIANTEIRA/TRASEIRA &gt; HONDA - CR-V 2.0/2.4 16V 02...06</t>
  </si>
  <si>
    <t>44-300-S84-A02</t>
  </si>
  <si>
    <t>ALR-45449/10</t>
  </si>
  <si>
    <t xml:space="preserve">VW - Brasilia 1.600 8V 74...  Fusca 1.3001.5001.600 74...  Karmann Ghia  TC  TL 74...  1.00  Variant  I 74...77 (Interno)  4 furos - RODA TRASEIRA &gt; VW - Apollo 1.8 8V 90...92  Fox 1.0/1.6 8V 07...10  Gol (Exceto G5 e G6 1.0 8/16V 91...12/1.3/1.6 8V 80...12/1.8 8V 84...09/2.0 8V 88...02  Golf 1.8/2.0 94...98  Parati 1.6 8V 83... / 1.8 8V 88.../ 2.0 96..1.0 97...04  Passat 1.8 8V 74...89/ 2.0/2.8 94...97  Polo 1.0 16V 96...02  Classic 1.8 8V 96...02  Quantum 1.8 8V 84...03/2.0 8V 87...03  Santana 1.8 8V 84...06/2.0  8V 87..06  Saveiro 1.3 8V 83...86/1.5  87...91/1.6 8V 82...12/1.8 8V 89...08/2.0 8V 98...04  Voyage 1.5 8V 81...05/1.0 8V 08.../1.6 8V 94.../1.8 8V 94...96 (Interno) - RODA TRASEIRA &gt; CHEVROLET/GM - Agile 1.4 8V 09...  Celta 1.0 8V 01...  1.4 8V 04... Classic 1.0  1.6 8/16V  1.4 8V 02...  Corsa 1.0 8/16V 94..02  1.4 8V 94...02  1.6 8/16V  Ipanema 1.8/2.0 8V 89...97  Kadett 1.8/2.0 8V 89...98  Monza 1.6/1.8 8V 82...86  2.0 8V 87...96  Prisma 1.0/1.4 8V 06...  Tigra 1.6 97...00 (Interno) - RODA TRASEIRA &gt; DAEWOO - Espero 2.0 8V (Freio a Tambor) 91...97  Lanos 1.6 16V 97...02  Nubira 1.6 97...03 (Interno) - RODA TRASEIRA &gt; FORD - Escort 1.0/1.6/1.8/2.0  8V ...93  Royale  Versailles 1.8/2.0 8V 92..96  Verona 1.6/1.8/2.0 8V ..93 (Interno) - RODA TRASEIRA &gt; GURGEL - BR800 91 (Interno) - RODA TRASEIRA &gt; SEAT - Cordoba  Ibiza 1.6/1.8 8V 96...99 (Interno) - RODA DIANTEIRA - LIFAN 320 1.3 16V 10...  </t>
  </si>
  <si>
    <t>ALR-4545 R</t>
  </si>
  <si>
    <t>SSANGYUNG -RODA DIANTEIRA &gt; Actyon 06...13|2.3/2.0 DI 4X2 - RODA TRASEIRA &gt; SSANGYOUNG -  Actyon 03/06...01/13 | Gasolina - RODA DIANTEIRA &gt; SSANGYOUNG - Actyon Sport 06...15| 2WD|07...13|2.0 DI 4X2 - RODA DIANTEIRA &gt; SSANGYOUNG - Kyron 05...17| 4X2|10...17|2.3 4X2 - RODA TRASEIRA &gt; SSANGYOUNG - Kyron 05..17|2.4 DI 4X2|08...17|3.2 4X4 - RODA TRASEIRA &gt; SSANGYOUNG -  Rexton 02...06|3.2 4X2|06..13|2.7XDI 4X4|11..13|2.7 XDI Turbo 4x4|3...17|W2.0/2.2XDI 4X2 - RODA DIANTEIRA &gt; SSANGYOUNG - Rodius 05..12|2.7XDI/3.2 |4X4/4X2|13...17 | 2.2 XDI 4X2|05..17|2.7 XDI 4X2 - RODA TRASEIRA &gt; SSANGYOUNG - Rodius 13..17|2.2XDI 4X2/4X4|05...12|2.7XDI/3.2 4X2</t>
  </si>
  <si>
    <t>SSANGYOUNG</t>
  </si>
  <si>
    <t>4242321200, 42423-21300</t>
  </si>
  <si>
    <t>ALR-4548 ABS</t>
  </si>
  <si>
    <t>Rolamento Roda Dianteira c/ABS</t>
  </si>
  <si>
    <t>MERCEDES - A200/ C200/ GLA 200 1.6 16V TURBO - 2013 &gt;;</t>
  </si>
  <si>
    <t>2469810006</t>
  </si>
  <si>
    <t>ALR-45698</t>
  </si>
  <si>
    <t>CHEVROLET/GM - A20 / C20 - (Braseixos 4X4)  D20 84...  4X4  Silverado 84...  Braseixos 4X4  - FORD - F1000 Braseixos</t>
  </si>
  <si>
    <t>ALR-4582 ABS</t>
  </si>
  <si>
    <t>FORD - Focus 14&gt; 1.6L / 2.0L c/ ABS</t>
  </si>
  <si>
    <t>1501642/1668557/1796001/CV6Z1215A/8V4Z1215C</t>
  </si>
  <si>
    <t>ALR-4584</t>
  </si>
  <si>
    <t>HYUNDAI - Azera 3.0 V6 24V 12... / Creta 2017 &gt; 2019 / IX35 2.0 16V 4X2/4X4 11… / Santa Fé 2.7 V6 24V3.5 01..06  Sonata 2.02.42.52.73.303.3 16V 11...  Tucson 2.0 16V2.7 04... - KIA - Sportage 04...09 - M.BENZ 180  93...98  1.8 8V</t>
  </si>
  <si>
    <t>51720-1D000</t>
  </si>
  <si>
    <t>ALR-4586 ABS</t>
  </si>
  <si>
    <t>CITROEN - Jumpy 1.6 HDI 17... c/ ABS - PEUGEOT Expert 1.6 HDI 17... c/ ABS</t>
  </si>
  <si>
    <t>3350.93</t>
  </si>
  <si>
    <t>ALR-4587</t>
  </si>
  <si>
    <t>HYUNDAI - Azera 3.3 V6 24V 06...11 - KIA - Amanti 04...</t>
  </si>
  <si>
    <t>ALR-4678 R</t>
  </si>
  <si>
    <t>VW - Amarok 10... 2.0 TD / 3.0 TD c/ ABS</t>
  </si>
  <si>
    <t>ALR-4788</t>
  </si>
  <si>
    <t>FORD - Ranger 12.03.2012... s/ABS</t>
  </si>
  <si>
    <t>AB311215DC</t>
  </si>
  <si>
    <t>ALR-4788 ABS</t>
  </si>
  <si>
    <t>FORD - Ranger Nova 12... 4X2 e 4X4 c/ ABS</t>
  </si>
  <si>
    <t>1725901, 1725906, AB311215BC</t>
  </si>
  <si>
    <t>ALR-4842 ABS</t>
  </si>
  <si>
    <t xml:space="preserve"> LAND ROVER -  Evoque 12...14 - RODA DIANTEIRA &gt; HONDA - Acord 2.0 16V 03..11 / New Civic 07...  2.0 SI - RODA TRASEIRA &gt;</t>
  </si>
  <si>
    <t>44-300-DAS-A51/LR 24508</t>
  </si>
  <si>
    <t>ALR-48548/10</t>
  </si>
  <si>
    <t>CHEVROLET/GM - RODA DIANTEIRA &gt; ACD10 64...78  2.5  4.1 12V ...92  A20 4.1...97  Bonanza 4.0  41 85...97  C10 2.5  4.1  4.3 85...89  C20 4.1 8V  4X2 85...96  D10 4.0 79...84  D20 3.9 85...97  Suburban 4X2 94...  Veraneio 4.0 12V  4.1 8/12V 85...97 (Externo) - ASIA - Hi-Topic  Rocsta  Topic 2.7 8V 91... (Interno) - RODA DIANTEIRA &gt; FORD - Explorer 4.0 V6  4X2 95...  F100 2.3 76..82  4.5 57..82  F150 Triton 4X2  F1000  4X2 85..89  4X4  3.6 Eixo Albarus 46 85..92  4X2 79..89  4X4 3.9 D  79..92  Galaxie 74...  Ranger 2.3  4X2 95...  2.3  4X2 98...  2.8  4X2 01...  3.0 4X2 05...  4.0  4X2 95... (Interno) - RODA DIANTEIRA &gt; HYUNDAI - H1 2.5 TDS 01...07  H100 2.4/2.5 93...03 (Externo) - HR 2.4/2.5 93...03 (Interno) - RODA DIANTEIRA &gt; KIA - Besta 2.2 92...04  Bongo K2400 97... (Interno) - RODA DIANTEIRA &gt; MAZDA - B 2200 94 (Externo) - B 2500 98 (Interno) - RODA DIANTEIRA &gt; MITSUBISHI L 200 2.5 4X2  Pajero 4X2 (Interno) - RODA DIANTEIRA &gt; TOYOTA Hilux 4X2 (Interno) - NISSAN - TERRANO II 95...96 4X2 - X-TERRA 08  2.8  03...</t>
  </si>
  <si>
    <t>ALR-4988 ABS</t>
  </si>
  <si>
    <t>2H0498627</t>
  </si>
  <si>
    <t>ALR-4990 ABS</t>
  </si>
  <si>
    <t xml:space="preserve"> BMW - RODA DIANTEIRA &gt; X5 00...10  3.0 24V - 00...10  4.4 V8 32V - 00...10  4.8 V8 32V - RODA TRASEIRA &gt;  BMW - Z4 07...08  2.0 16V - 07...08  3.0 24V - 07...08  3.2 24V</t>
  </si>
  <si>
    <t>ALR-5000</t>
  </si>
  <si>
    <t>PEUGEOT - 106 91...97 (3 Furos)</t>
  </si>
  <si>
    <t>3350.19</t>
  </si>
  <si>
    <t>ALR-5001</t>
  </si>
  <si>
    <t xml:space="preserve">PEUGEOT - 106 1.0  91...00 (3 furos) </t>
  </si>
  <si>
    <t>3350.18</t>
  </si>
  <si>
    <t>ALR-501349/10</t>
  </si>
  <si>
    <t>CHEVROLET/GM - RODA DIANTEIRA &gt;  A40 4.1  4.8 85...  C20 4X4 93...  Gran Blazer  Silverado (Interno) - RODA DIANTEIRA &gt; FORD - F350 00...  F4000 (Interno) - RODA TRASEIRA &gt; FORD - F250 3.9D  4.2D  6.0/6.7D 99... (Interno) - RODA DIANTEIRA &gt; M. BENZ - Sprinter (Eixo Dana) 2.5 97..02/2.2  01... (Interno)</t>
  </si>
  <si>
    <t>4572232/B7A-4220A/688.981.7005</t>
  </si>
  <si>
    <t>ALR-501349/14</t>
  </si>
  <si>
    <t>FORD - F150 Triton 4X4  F1000 (Eixo Alb. 46) 2.5 HSD 96..98  4X2 90..96   4X4  3.6 3.9 D 93..96 4.3 D 96..98  4.9 GAS 95..98 (Externo)</t>
  </si>
  <si>
    <t>ALR-503349/10</t>
  </si>
  <si>
    <t xml:space="preserve"> M. BENZ - RODA DIANTEIRA &gt;180 D 2.4 Diesel 93...96 (Externo) - RODA TRASEIRA &gt; M. BENZ - 180 D 2.4 Diesel 93...96 (Interno)</t>
  </si>
  <si>
    <t>008 981 59 05</t>
  </si>
  <si>
    <t>ALR-5089 R</t>
  </si>
  <si>
    <t>LAND ROVER - Discovery 3 05... / Discovery 4 V6</t>
  </si>
  <si>
    <t>LR 45917</t>
  </si>
  <si>
    <t>ALR-5191 ABS</t>
  </si>
  <si>
    <t>HONDA - CR-V 2.0 16V 07...14  HRV 15...  1.8 EX 16V – 15...  1.8 ELX 16V – 15...  1.8 LX 16V  c/ABS</t>
  </si>
  <si>
    <t>44-300-TAX-951</t>
  </si>
  <si>
    <t>ALR-5196 R ABS</t>
  </si>
  <si>
    <t>LAND ROVER - Discovery V 16...19 / Discovery Sport 14...19 - RODA DIANTEIRA &gt; LAND ROVER - Range Rover Evoque 11...19 (4X4 e 4X2) / Velar 17...20 - RODA DIANTEIRA/TRASEIRA &gt; RODA DIANTEIRA/TRASEIRA &gt; AUDI Q7 4.2 V8 32V 07...10  3.6 V6 24V 08...10  3.0 V6 24V 11... - RODA DIANTEIRA &gt; JAGUAR - E-Pace 17...20 - RODA DIANTEIRA/TRASEIRA &gt;PORSCHE Carrera 1.6 16V 04..06 - Cayenne 3.0 S / 3.2 V6 24V / 3.8 S / 4.5 V8 32V/4.8 V8 32V  02...11 - RODA DIANTEIRA/TRASEIRA &gt; VW - Touareg 3.2 V6 24V 05.../3.6 V6 24V 06.../4.2 V8 03...</t>
  </si>
  <si>
    <t>7L0498287/RLB000011, LR024267</t>
  </si>
  <si>
    <t>ALR-5291 ABS</t>
  </si>
  <si>
    <t>HONDA - Accord 08...12 2.0L / 3.5L c/ ABS</t>
  </si>
  <si>
    <t>44300-TA0-A51/44300-TA0-A61/44300-TA0-A62</t>
  </si>
  <si>
    <t>ALR-5496 R</t>
  </si>
  <si>
    <t>TOYOTA - Hilux SW4 2.8 / 3.0 95...04</t>
  </si>
  <si>
    <t>ALR-6007 2RS</t>
  </si>
  <si>
    <t>Rolamento Tulipa / Semi-Eixo</t>
  </si>
  <si>
    <t xml:space="preserve"> FIAT - TULIPA  &gt; Ducato - MITSUBISHI - SEMI-EIXO &gt;  L 200 00/HPE</t>
  </si>
  <si>
    <t>ALR-603049/11</t>
  </si>
  <si>
    <t>FORD - RODA DIANTEIRA &gt; Explorer 4.0 V6  4X4  F150 Triton 4X4  F1000 Eixo Albarus 46 2.5 HSD 96..98  4X2 90..96  3.6  4X4 3.9 D 93..96  4.3 D 96..98  4.9 GAS 95..98 (Externo/ Interno) - RODA DIANTEIRA &gt; LAND ROVER - 90/110/130 Defender 2.4/2.5/3.5 87...06  Discovery 2.5/3.5 Chassi HJA 032851 92...98 (Externo/ Interno) - RODA TRASEIRA &gt; LAND ROVER - 90/110/130 Defender 2.4/2.5/3.5 87...06  Discovery 2.5/3.5 Chassi HJA 032851 92...98 (Externo/ Interno) - RODA DIANTEIRA &gt; NISSAN - Frontier 90...  2.5 16V - 90...07  2.8 (Todas 4X4) (Interno)</t>
  </si>
  <si>
    <t>40210-50W10</t>
  </si>
  <si>
    <t>ALR-603049/12</t>
  </si>
  <si>
    <t>CHEVROLET/GM - Trailblazer 12...  3.6 4X4 V6</t>
  </si>
  <si>
    <t>ALR-6207 C3</t>
  </si>
  <si>
    <t>VW - Kombi 1.4 8V 05.../ 1600 8V 78... (Interno)</t>
  </si>
  <si>
    <t>211 501 287 1</t>
  </si>
  <si>
    <t>ALR-621785 ABS</t>
  </si>
  <si>
    <t>Rolamento Roda Dianteiro</t>
  </si>
  <si>
    <t>VW - Polo/Virtus/Nivus/T-Cross - TSI - 2018 &gt;;</t>
  </si>
  <si>
    <t>2QB 407 625 B</t>
  </si>
  <si>
    <t>ALR-62208 2RS</t>
  </si>
  <si>
    <t>LADA - Niva 4X4 1990...1997</t>
  </si>
  <si>
    <t>2121-2403080</t>
  </si>
  <si>
    <t>ALR-63006 2RS C3</t>
  </si>
  <si>
    <t>Rolamento Semi eixo</t>
  </si>
  <si>
    <t>FIAT - Palio / Siena / Strada (Todos) / Tempra 2.0 8/16V 92...99 s/ABS - ALFA ROMEO - 145 146 (Todos)</t>
  </si>
  <si>
    <t>ALR-6306 2RS</t>
  </si>
  <si>
    <t>ASIA - Towner 93...98 - LADA Laika 90...95  1.6 8V</t>
  </si>
  <si>
    <t>AA100-25151</t>
  </si>
  <si>
    <t>ALR-6306 C3</t>
  </si>
  <si>
    <t>VW - Brasilia 1600 8V  Fusca 1300/1500 67../1600 74...  Karmann Ghia (Todos)  Variant 1600  Variant  69...77</t>
  </si>
  <si>
    <t>311 501 283</t>
  </si>
  <si>
    <t>ALR-633313</t>
  </si>
  <si>
    <t>FIAT - 147  1050  1.3  CITY 77...85  Oggi  Panorama 1.3 8V 83...85  Pick-Up 1050  1.3 77...85  Spazio 1.3 8V 83...86  Uno Mille 1.0 8V ...85 - RODA TRASEIRA &gt; LADA - Samara 1.3 90...95 - CAN-AM - QUEST 2002 - 500/650 2003 - Max,STD,XT 2004</t>
  </si>
  <si>
    <t>5891194, 7510753</t>
  </si>
  <si>
    <t>ALR-633531</t>
  </si>
  <si>
    <t>FIAT - Brava 1.6/1.8  16V 99...03  Coupe 2.0 16V 95...98  Doblo 1.3 16V 01...06 1.4 8V 10...  1.6 16V 01...04  1.8 8/16V 03...  Fiorino 1.6 8V 94...  Idea 1.6 16V 10...  1.8 8/16V 05...  Linea 1.8 16V  E -Torq 11...  1.9 16V 09...  Marea 1.6 16V 05...07  1.8 16V 99...07  Palio 1.8 8V 02...  Punto 1.6 16V 10...  1.8 16V 08...  Siena 1.8 8V 03...  Strada 1.3 8/16V 03...05  1.4 8V 05...12  1.5 8V 98...04  1.6 8/16V 98...03  1.8 8V 02... Tempra 2.0 8/16V 92...99  Tipo 2.0 816V 94...95 ALFA ROMEO - 145  146  155 ...99 - RENAULT - Clio 1.6 8/16V 96...  Express 98..  Kangoo 1.0/1.6 8/16V 99...12  Laguna 2.0 8/16V (Geração Mod. I s/ Suspens. Ref.) 95...01  Laguna Nevada ...98  Logan 1.0 16V/1.6 8/16V 07...  Megane 2.0 16V</t>
  </si>
  <si>
    <t>46773662, 46423869</t>
  </si>
  <si>
    <t>ALR-633815</t>
  </si>
  <si>
    <t xml:space="preserve"> AUDI - RODA DIANTEIRA &gt; 80 V6 94...95  100 94 V6  A4 1.8T 20V 97...01  A6 2.8 97...01 / S4 11...  S6 01...02  S8 97..98 - RODA TRASEIRA &gt; AUDI - 80  100 Quattro  S4 11...  S6 01...02  S8 97...98 - RODA DIANTEIRA &gt; VW - Passat  Variant 2.8 98...</t>
  </si>
  <si>
    <t>4A0 498 625</t>
  </si>
  <si>
    <t>ALR-633960</t>
  </si>
  <si>
    <t xml:space="preserve">BMW - Bmw 1 (E81,E87,E82) 17...11 / 128i 17...11 </t>
  </si>
  <si>
    <t>33416762321, 33416775842</t>
  </si>
  <si>
    <t>ALR-633967</t>
  </si>
  <si>
    <t>FIAT - 147 1050  1.3  CITY  85...  Elba 1.3 8V 86..89 - 1.5 8V 86...96  1.6 8V 89...96  Fiorino 1.6 8V 89...94  Idea 1.4 8V 05...  Palio 1.0/1.6 8/16V 96...  1.3 8V 00..06  1.4 8V 05...  1.5 8V 96...  Pick-Up 1050  1.3 85...  Premio 1.3 8V 85...91  1.5 8V 85..95  1.6 8V 85...96  Siena 1.0 8/16V 97...12  1.3 8V 01...05  1.4 8V 05...  1.5 8V 99...04  1.6 8/16V 98...  Uno Mille 1.0/1.3 8V 85...  1.4 8V 93...  1.5 8V 84...95  1.6 8V 90...</t>
  </si>
  <si>
    <t>500005010, 46439334</t>
  </si>
  <si>
    <t>ALR-636096</t>
  </si>
  <si>
    <t>CHEVROLET/GM - Vectra 2.0 8/16V 96...05</t>
  </si>
  <si>
    <t>ALR-636114</t>
  </si>
  <si>
    <t>CHEVROLET/GM - Agile 1.4 8V 09...  Celta 1.0 8V 01.../1.4 8V 04...  Classic 1.0/1.6 8/16V/1.4 8V 02...  Corsa 1.0  8/16V 94..02  1.4 8V 94...02/  1.6 8/16V 94..04 \ Prisma 1.0/1.4 8V 06...  Tigra 1.6 97...00</t>
  </si>
  <si>
    <t>ALR-636149 ABS</t>
  </si>
  <si>
    <t>SUZUKI - S-Cross 13...19 (FWD e AWD) / Swift 06...17 (FWD-MZ, EZ-1.6L) / Sx4 06...13 (AWD) / Vitara 16...19 1.4T, 1.6L (4All, 4you e 4you Allgri (Todos c/ ABS)</t>
  </si>
  <si>
    <t>3440-79J00, 43440-80J00, 43440-61M00</t>
  </si>
  <si>
    <t>ALR-67048/10</t>
  </si>
  <si>
    <t xml:space="preserve"> CHEVROLET/GM - RODA DIANTEIRA &gt;Blazer 2.2 MPFI 95..01  4.3 MPFI 96...  2.8 D2.4 8V  00...  2.5 97..99  Camaro 4X2  Caravan 2.5 4 Cil.  4.1 6 Cil. 75...  Gran Blazer M4.1 MPFI  4.2 TDS 98...99  Opala 2.5  4.1 6  Cil. 75...  S10 2.2 MPFI 95...01  4.3 MPFI 96...  2.5 97..99  2.8 D 00...  2.4 MPFI 02...  Silverado 4.1 MPFI 97...99  4.2 TDS 97..02 (Interno) - RODA DIANTEIRA &gt; DODGE - Charger 75...77  Dart 70...79  Le Baron 79...81  Magnun 78...79 (Interno) - RODA DIANTEIRA &gt; FORD - Explorer 4.0 V6  4X2 ...95  Ranger 2.3  4.0 4X2...95 (Interno) - RODA TRASEIRA &gt; FORD - Taurus  Windstar 86...95 (Interno) - RODA TRASEIRA &gt; VW - Kombi 1.4 8V 05...1.500 8V 74..75 1.600 8V 76...06 (Interno)</t>
  </si>
  <si>
    <t>11055119 00457194/5</t>
  </si>
  <si>
    <t>ALR-68145/11</t>
  </si>
  <si>
    <t>FORD - Escort 1.0/1.6/1.8/2.0 8V ...93  Hobby 94...  Verona 1.6/1.8/2.0 8V ...93 (Externo/ Interno) - VW - Apollo 1.8 8V 90...92 (Externo/ Interno)</t>
  </si>
  <si>
    <t>81AB1215AB</t>
  </si>
  <si>
    <t>ALR-6825 ABS</t>
  </si>
  <si>
    <t>HONDA - RODA DIANTEIRA &gt;  City 1.5 16V 09… / FIT 02-08 - RODA TRASEIRA &gt; HONDA - CR-V 2.4 16V 02...04/2.0 16V 05..06</t>
  </si>
  <si>
    <t>44300-SAA-003,  44300-SCA-E51</t>
  </si>
  <si>
    <t>ALR-69349/10</t>
  </si>
  <si>
    <t>FORD - Crow Victoria 91... (Interno) -CHRYSLER - Dakota 2.5 8V - 3.0 V6 12V 96... (Interno) -  KIA - Sportage 2.0/2.2 93...02 (Externo) - MAZDA - 323 ...94 (Externo/ Interno)</t>
  </si>
  <si>
    <t>ALR-78349/10</t>
  </si>
  <si>
    <t>FORD - Belina  Corcel 1.4 8V 04/70...  1.6 8V 79...  Del Rey 1.6 8V 81..91  Pampa 1.6/1.8 8V 82...97 (Externo/ Interno)</t>
  </si>
  <si>
    <t>ALR-803775</t>
  </si>
  <si>
    <t>CHEVROLET/GM - Novo Corsa 02...  Meriva 1.8 8/16V 03...  1.4 8V 08...  Montana 1.8 8V 04../1.4 8V 08...</t>
  </si>
  <si>
    <t>ALR-803837 R</t>
  </si>
  <si>
    <t>RENAULT - Express 98...  Kangoo 1.6 8/16V (Freio a Tambor) 99...07  Laguna 2.0 8/16V 93...01 (Freio a Tambor)  Novo Logan 1.0 16V/1.6 8V 14... / Novo Sandero 14...  1.0 16V - 14...  1.6 8V - M. BENZ - Classe A 160 1.6 99...05 / Classe A 190 1.9 99...05</t>
  </si>
  <si>
    <t>168 981 0327</t>
  </si>
  <si>
    <t>ALR-804348 R</t>
  </si>
  <si>
    <t>CHEVROLET/GM - Silverado 99... 6CC Dana 60</t>
  </si>
  <si>
    <t>ALR-84887</t>
  </si>
  <si>
    <t>Rolamento de Semi Eixo</t>
  </si>
  <si>
    <t>FIAT - Fiorino 1.0 8v 1994 &gt; 1996 / Palio 1.0 8v 1994 &gt; 1996</t>
  </si>
  <si>
    <t>46307336</t>
  </si>
  <si>
    <t>ALR-84888</t>
  </si>
  <si>
    <t>FIAT - Palio 1.5 / Palio 1.6 / Strada</t>
  </si>
  <si>
    <t>46307337</t>
  </si>
  <si>
    <t>ALR-88128 R</t>
  </si>
  <si>
    <t xml:space="preserve">FORD - Aero Willys F75 68...71 / F100 / Galaxie 74... / Jeep Rural 68...71 / Maverick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</si>
</sst>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R$&quot;\ * #,##0.00_-;\-&quot;R$&quot;\ * #,##0.00_-;_-&quot;R$&quot;\ * &quot;-&quot;??_-;_-@"/>
    <numFmt numFmtId="165" formatCode="0.000"/>
  </numFmts>
  <fonts count="18">
    <font>
      <sz val="11.0"/>
      <color theme="1"/>
      <name val="Calibri"/>
      <scheme val="minor"/>
    </font>
    <font>
      <sz val="11.0"/>
      <color theme="1"/>
      <name val="Calibri"/>
    </font>
    <font>
      <b/>
      <sz val="28.0"/>
      <color theme="0"/>
      <name val="Calibri"/>
    </font>
    <font/>
    <font>
      <b/>
      <sz val="10.0"/>
      <color theme="0"/>
      <name val="Calibri"/>
    </font>
    <font>
      <b/>
      <sz val="9.0"/>
      <color theme="0"/>
      <name val="Calibri"/>
    </font>
    <font>
      <b/>
      <sz val="10.0"/>
      <color theme="1"/>
      <name val="Calibri"/>
    </font>
    <font>
      <b/>
      <sz val="16.0"/>
      <color theme="0"/>
      <name val="Calibri"/>
    </font>
    <font>
      <b/>
      <sz val="18.0"/>
      <color theme="0"/>
      <name val="Calibri"/>
    </font>
    <font>
      <b/>
      <sz val="11.0"/>
      <color theme="0"/>
      <name val="Calibri"/>
    </font>
    <font>
      <b/>
      <sz val="11.0"/>
      <color rgb="FF0C0C0C"/>
      <name val="Calibri"/>
    </font>
    <font>
      <b/>
      <sz val="12.0"/>
      <color theme="1"/>
      <name val="Calibri"/>
    </font>
    <font>
      <sz val="12.0"/>
      <color theme="1"/>
      <name val="Calibri"/>
    </font>
    <font>
      <b/>
      <sz val="11.0"/>
      <color theme="1"/>
      <name val="Calibri"/>
    </font>
    <font>
      <b/>
      <sz val="12.0"/>
      <color theme="1"/>
      <name val="Arial"/>
    </font>
    <font>
      <sz val="9.0"/>
      <color theme="1"/>
      <name val="Calibri"/>
    </font>
    <font>
      <sz val="9.0"/>
      <color theme="1"/>
      <name val="Arial"/>
    </font>
    <font>
      <sz val="8.0"/>
      <color theme="1"/>
      <name val="Arial"/>
    </font>
  </fonts>
  <fills count="6">
    <fill>
      <patternFill patternType="none"/>
    </fill>
    <fill>
      <patternFill patternType="lightGray"/>
    </fill>
    <fill>
      <patternFill patternType="solid">
        <fgColor rgb="FFA5A5A5"/>
        <bgColor rgb="FFA5A5A5"/>
      </patternFill>
    </fill>
    <fill>
      <patternFill patternType="solid">
        <fgColor rgb="FFC5E0B3"/>
        <bgColor rgb="FFC5E0B3"/>
      </patternFill>
    </fill>
    <fill>
      <patternFill patternType="solid">
        <fgColor rgb="FF00FF00"/>
        <bgColor rgb="FF00FF00"/>
      </patternFill>
    </fill>
    <fill>
      <patternFill patternType="solid">
        <fgColor rgb="FFFFFF00"/>
        <bgColor rgb="FFFFFF00"/>
      </patternFill>
    </fill>
  </fills>
  <borders count="20">
    <border/>
    <border>
      <left style="medium">
        <color rgb="FF000000"/>
      </left>
      <right/>
      <top style="medium">
        <color rgb="FF000000"/>
      </top>
      <bottom/>
    </border>
    <border>
      <left/>
      <right/>
      <top style="medium">
        <color rgb="FF000000"/>
      </top>
      <bottom/>
    </border>
    <border>
      <left/>
      <top style="medium">
        <color rgb="FF000000"/>
      </top>
    </border>
    <border>
      <top style="medium">
        <color rgb="FF000000"/>
      </top>
    </border>
    <border>
      <right/>
      <top style="medium">
        <color rgb="FF000000"/>
      </top>
    </border>
    <border>
      <left/>
      <right style="medium">
        <color rgb="FF000000"/>
      </right>
      <top style="medium">
        <color rgb="FF000000"/>
      </top>
      <bottom/>
    </border>
    <border>
      <left style="medium">
        <color rgb="FF000000"/>
      </left>
      <right/>
      <top/>
      <bottom/>
    </border>
    <border>
      <left/>
      <right/>
      <top/>
      <bottom/>
    </border>
    <border>
      <left/>
      <bottom/>
    </border>
    <border>
      <bottom/>
    </border>
    <border>
      <right/>
      <bottom/>
    </border>
    <border>
      <left/>
      <right style="medium">
        <color rgb="FF000000"/>
      </right>
      <top/>
      <bottom/>
    </border>
    <border>
      <left style="medium">
        <color rgb="FF000000"/>
      </left>
      <right/>
      <top/>
      <bottom style="medium">
        <color rgb="FF000000"/>
      </bottom>
    </border>
    <border>
      <left/>
      <right/>
      <top/>
      <bottom style="medium">
        <color rgb="FF000000"/>
      </bottom>
    </border>
    <border>
      <left/>
      <top/>
      <bottom style="medium">
        <color rgb="FF000000"/>
      </bottom>
    </border>
    <border>
      <right/>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bottom style="medium">
        <color rgb="FF000000"/>
      </bottom>
    </border>
    <border>
      <left style="medium">
        <color rgb="FF000000"/>
      </left>
      <right style="medium">
        <color rgb="FF000000"/>
      </right>
      <top/>
      <bottom style="medium">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1" fillId="2" fontId="1" numFmtId="0" xfId="0" applyBorder="1" applyFill="1" applyFont="1"/>
    <xf borderId="2" fillId="2" fontId="1" numFmtId="164" xfId="0" applyBorder="1" applyFont="1" applyNumberFormat="1"/>
    <xf borderId="3" fillId="2" fontId="2" numFmtId="49" xfId="0" applyAlignment="1" applyBorder="1" applyFont="1" applyNumberFormat="1">
      <alignment horizontal="center" vertical="center"/>
    </xf>
    <xf borderId="4" fillId="0" fontId="3" numFmtId="0" xfId="0" applyBorder="1" applyFont="1"/>
    <xf borderId="5" fillId="0" fontId="3" numFmtId="0" xfId="0" applyBorder="1" applyFont="1"/>
    <xf borderId="2" fillId="2" fontId="1" numFmtId="0" xfId="0" applyBorder="1" applyFont="1"/>
    <xf borderId="6" fillId="2" fontId="1" numFmtId="0" xfId="0" applyBorder="1" applyFont="1"/>
    <xf borderId="7" fillId="2" fontId="1" numFmtId="0" xfId="0" applyBorder="1" applyFont="1"/>
    <xf borderId="8" fillId="2" fontId="1" numFmtId="164" xfId="0" applyBorder="1" applyFont="1" applyNumberFormat="1"/>
    <xf borderId="9" fillId="0" fontId="3" numFmtId="0" xfId="0" applyBorder="1" applyFont="1"/>
    <xf borderId="10" fillId="0" fontId="3" numFmtId="0" xfId="0" applyBorder="1" applyFont="1"/>
    <xf borderId="11" fillId="0" fontId="3" numFmtId="0" xfId="0" applyBorder="1" applyFont="1"/>
    <xf borderId="8" fillId="2" fontId="4" numFmtId="0" xfId="0" applyBorder="1" applyFont="1"/>
    <xf borderId="8" fillId="2" fontId="5" numFmtId="0" xfId="0" applyAlignment="1" applyBorder="1" applyFont="1">
      <alignment horizontal="center"/>
    </xf>
    <xf borderId="12" fillId="2" fontId="1" numFmtId="0" xfId="0" applyBorder="1" applyFont="1"/>
    <xf borderId="13" fillId="2" fontId="1" numFmtId="0" xfId="0" applyBorder="1" applyFont="1"/>
    <xf borderId="14" fillId="2" fontId="6" numFmtId="164" xfId="0" applyBorder="1" applyFont="1" applyNumberFormat="1"/>
    <xf borderId="14" fillId="2" fontId="4" numFmtId="49" xfId="0" applyBorder="1" applyFont="1" applyNumberFormat="1"/>
    <xf borderId="14" fillId="2" fontId="7" numFmtId="49" xfId="0" applyBorder="1" applyFont="1" applyNumberFormat="1"/>
    <xf borderId="14" fillId="2" fontId="8" numFmtId="49" xfId="0" applyBorder="1" applyFont="1" applyNumberFormat="1"/>
    <xf borderId="15" fillId="2" fontId="4" numFmtId="49" xfId="0" applyAlignment="1" applyBorder="1" applyFont="1" applyNumberFormat="1">
      <alignment horizontal="center"/>
    </xf>
    <xf borderId="16" fillId="0" fontId="3" numFmtId="0" xfId="0" applyBorder="1" applyFont="1"/>
    <xf borderId="14" fillId="2" fontId="9" numFmtId="49" xfId="0" applyBorder="1" applyFont="1" applyNumberFormat="1"/>
    <xf borderId="14" fillId="2" fontId="5" numFmtId="49" xfId="0" applyAlignment="1" applyBorder="1" applyFont="1" applyNumberFormat="1">
      <alignment horizontal="center" vertical="center"/>
    </xf>
    <xf borderId="17" fillId="3" fontId="10" numFmtId="0" xfId="0" applyAlignment="1" applyBorder="1" applyFill="1" applyFont="1">
      <alignment horizontal="center"/>
    </xf>
    <xf borderId="18" fillId="2" fontId="1" numFmtId="0" xfId="0" applyBorder="1" applyFont="1"/>
    <xf borderId="17" fillId="2" fontId="11" numFmtId="0" xfId="0" applyAlignment="1" applyBorder="1" applyFont="1">
      <alignment horizontal="center" vertical="center"/>
    </xf>
    <xf borderId="17" fillId="2" fontId="11" numFmtId="164" xfId="0" applyAlignment="1" applyBorder="1" applyFont="1" applyNumberFormat="1">
      <alignment horizontal="center" vertical="center"/>
    </xf>
    <xf borderId="17" fillId="4" fontId="11" numFmtId="164" xfId="0" applyAlignment="1" applyBorder="1" applyFill="1" applyFont="1" applyNumberFormat="1">
      <alignment horizontal="center" vertical="center"/>
    </xf>
    <xf borderId="17" fillId="2" fontId="12" numFmtId="0" xfId="0" applyAlignment="1" applyBorder="1" applyFont="1">
      <alignment horizontal="center" vertical="center"/>
    </xf>
    <xf borderId="17" fillId="2" fontId="13" numFmtId="0" xfId="0" applyAlignment="1" applyBorder="1" applyFont="1">
      <alignment horizontal="center" vertical="center"/>
    </xf>
    <xf borderId="19" fillId="2" fontId="11" numFmtId="0" xfId="0" applyAlignment="1" applyBorder="1" applyFont="1">
      <alignment horizontal="center" vertical="center"/>
    </xf>
    <xf borderId="19" fillId="2" fontId="11" numFmtId="165" xfId="0" applyAlignment="1" applyBorder="1" applyFont="1" applyNumberFormat="1">
      <alignment horizontal="center" vertical="center"/>
    </xf>
    <xf borderId="17" fillId="5" fontId="12" numFmtId="0" xfId="0" applyAlignment="1" applyBorder="1" applyFill="1" applyFont="1">
      <alignment horizontal="center" vertical="center"/>
    </xf>
    <xf borderId="0" fillId="0" fontId="14" numFmtId="0" xfId="0" applyFont="1"/>
    <xf borderId="0" fillId="0" fontId="11" numFmtId="164" xfId="0" applyAlignment="1" applyFont="1" applyNumberFormat="1">
      <alignment horizontal="center"/>
    </xf>
    <xf borderId="0" fillId="0" fontId="1" numFmtId="2" xfId="0" applyAlignment="1" applyFont="1" applyNumberFormat="1">
      <alignment horizontal="center"/>
    </xf>
    <xf borderId="0" fillId="0" fontId="1" numFmtId="9" xfId="0" applyAlignment="1" applyFont="1" applyNumberFormat="1">
      <alignment horizontal="center"/>
    </xf>
    <xf borderId="0" fillId="0" fontId="15" numFmtId="0" xfId="0" applyAlignment="1" applyFont="1">
      <alignment horizontal="center"/>
    </xf>
    <xf borderId="0" fillId="0" fontId="1" numFmtId="1" xfId="0" applyAlignment="1" applyFont="1" applyNumberFormat="1">
      <alignment horizontal="left"/>
    </xf>
    <xf borderId="0" fillId="0" fontId="1" numFmtId="0" xfId="0" applyAlignment="1" applyFont="1">
      <alignment horizontal="left"/>
    </xf>
    <xf borderId="0" fillId="0" fontId="1" numFmtId="0" xfId="0" applyAlignment="1" applyFont="1">
      <alignment horizontal="center"/>
    </xf>
    <xf borderId="0" fillId="0" fontId="16" numFmtId="49" xfId="0" applyAlignment="1" applyFont="1" applyNumberFormat="1">
      <alignment horizontal="center"/>
    </xf>
    <xf borderId="0" fillId="0" fontId="1" numFmtId="1" xfId="0" applyAlignment="1" applyFont="1" applyNumberFormat="1">
      <alignment horizontal="center"/>
    </xf>
    <xf borderId="0" fillId="0" fontId="1" numFmtId="165" xfId="0" applyAlignment="1" applyFont="1" applyNumberFormat="1">
      <alignment horizontal="center"/>
    </xf>
    <xf borderId="0" fillId="0" fontId="14" numFmtId="0" xfId="0" applyAlignment="1" applyFont="1">
      <alignment vertical="center"/>
    </xf>
    <xf borderId="0" fillId="0" fontId="1" numFmtId="3" xfId="0" applyAlignment="1" applyFont="1" applyNumberFormat="1">
      <alignment horizontal="center"/>
    </xf>
    <xf borderId="8" fillId="5" fontId="1" numFmtId="1" xfId="0" applyAlignment="1" applyBorder="1" applyFont="1" applyNumberFormat="1">
      <alignment horizontal="center"/>
    </xf>
    <xf borderId="0" fillId="0" fontId="14" numFmtId="9" xfId="0" applyFont="1" applyNumberFormat="1"/>
    <xf borderId="8" fillId="3" fontId="14" numFmtId="0" xfId="0" applyBorder="1" applyFont="1"/>
    <xf borderId="8" fillId="3" fontId="11" numFmtId="164" xfId="0" applyAlignment="1" applyBorder="1" applyFont="1" applyNumberFormat="1">
      <alignment horizontal="center"/>
    </xf>
    <xf borderId="8" fillId="3" fontId="1" numFmtId="2" xfId="0" applyAlignment="1" applyBorder="1" applyFont="1" applyNumberFormat="1">
      <alignment horizontal="center"/>
    </xf>
    <xf borderId="8" fillId="3" fontId="1" numFmtId="9" xfId="0" applyAlignment="1" applyBorder="1" applyFont="1" applyNumberFormat="1">
      <alignment horizontal="center"/>
    </xf>
    <xf borderId="8" fillId="3" fontId="15" numFmtId="0" xfId="0" applyAlignment="1" applyBorder="1" applyFont="1">
      <alignment horizontal="center"/>
    </xf>
    <xf borderId="8" fillId="3" fontId="1" numFmtId="1" xfId="0" applyAlignment="1" applyBorder="1" applyFont="1" applyNumberFormat="1">
      <alignment horizontal="left"/>
    </xf>
    <xf borderId="8" fillId="3" fontId="1" numFmtId="0" xfId="0" applyAlignment="1" applyBorder="1" applyFont="1">
      <alignment horizontal="left"/>
    </xf>
    <xf borderId="8" fillId="3" fontId="1" numFmtId="0" xfId="0" applyAlignment="1" applyBorder="1" applyFont="1">
      <alignment horizontal="center"/>
    </xf>
    <xf borderId="8" fillId="3" fontId="16" numFmtId="49" xfId="0" applyAlignment="1" applyBorder="1" applyFont="1" applyNumberFormat="1">
      <alignment horizontal="center"/>
    </xf>
    <xf borderId="8" fillId="3" fontId="1" numFmtId="1" xfId="0" applyAlignment="1" applyBorder="1" applyFont="1" applyNumberFormat="1">
      <alignment horizontal="center"/>
    </xf>
    <xf borderId="8" fillId="3" fontId="1" numFmtId="165" xfId="0" applyAlignment="1" applyBorder="1" applyFont="1" applyNumberFormat="1">
      <alignment horizontal="center"/>
    </xf>
    <xf borderId="8" fillId="3" fontId="1" numFmtId="0" xfId="0" applyBorder="1" applyFont="1"/>
    <xf borderId="0" fillId="0" fontId="17" numFmtId="49" xfId="0" applyAlignment="1" applyFont="1" applyNumberFormat="1">
      <alignment horizontal="center"/>
    </xf>
    <xf borderId="0" fillId="0" fontId="1" numFmtId="49" xfId="0" applyAlignment="1" applyFont="1" applyNumberFormat="1">
      <alignment horizontal="left"/>
    </xf>
    <xf borderId="8" fillId="3" fontId="1" numFmtId="49" xfId="0" applyAlignment="1" applyBorder="1" applyFont="1" applyNumberFormat="1">
      <alignment horizontal="left"/>
    </xf>
    <xf borderId="0" fillId="0" fontId="1" numFmtId="0" xfId="0" applyFont="1"/>
    <xf borderId="0" fillId="0" fontId="14" numFmtId="0" xfId="0" applyAlignment="1" applyFont="1">
      <alignment horizontal="left"/>
    </xf>
    <xf borderId="0" fillId="0" fontId="14" numFmtId="9" xfId="0" applyAlignment="1" applyFont="1" applyNumberFormat="1">
      <alignment horizontal="left"/>
    </xf>
    <xf borderId="0" fillId="0" fontId="15" numFmtId="0" xfId="0" applyAlignment="1" applyFont="1">
      <alignment horizontal="left"/>
    </xf>
    <xf borderId="8" fillId="3" fontId="15" numFmtId="0" xfId="0" applyAlignment="1" applyBorder="1" applyFont="1">
      <alignment horizontal="left"/>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ECECEC"/>
          <bgColor rgb="FFECECEC"/>
        </patternFill>
      </fill>
      <border/>
    </dxf>
    <dxf>
      <font/>
      <fill>
        <patternFill patternType="solid">
          <fgColor rgb="FFDEEAF6"/>
          <bgColor rgb="FFDEEAF6"/>
        </patternFill>
      </fill>
      <border/>
    </dxf>
  </dxfs>
  <tableStyles count="1">
    <tableStyle count="3" pivot="0" name="Lista de Preço 02_202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247650</xdr:colOff>
      <xdr:row>0</xdr:row>
      <xdr:rowOff>161925</xdr:rowOff>
    </xdr:from>
    <xdr:ext cx="600075" cy="5905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171450</xdr:colOff>
      <xdr:row>0</xdr:row>
      <xdr:rowOff>0</xdr:rowOff>
    </xdr:from>
    <xdr:ext cx="1819275" cy="8001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4:Q1645" displayName="Table_1" id="1">
  <tableColumns count="17">
    <tableColumn name="Código" id="1"/>
    <tableColumn name="Preço" id="2"/>
    <tableColumn name="Liquido S/Imp" id="3"/>
    <tableColumn name="Preço C/Imp SP" id="4"/>
    <tableColumn name="IPI" id="5"/>
    <tableColumn name="ICMS SP" id="6"/>
    <tableColumn name="Leve/Pesada" id="7"/>
    <tableColumn name="Produto" id="8"/>
    <tableColumn name="Aplicação" id="9"/>
    <tableColumn name="Sub Grupo" id="10"/>
    <tableColumn name="Montadora" id="11"/>
    <tableColumn name="Nº Original" id="12"/>
    <tableColumn name="NCM" id="13"/>
    <tableColumn name="CEST" id="14"/>
    <tableColumn name="Peso (Kg)" id="15"/>
    <tableColumn name="Código de Barras" id="16"/>
    <tableColumn name="Múltiplos" id="17"/>
  </tableColumns>
  <tableStyleInfo name="Lista de Preço 02_202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0.71"/>
    <col customWidth="1" min="2" max="2" width="13.57"/>
    <col customWidth="1" min="3" max="4" width="20.86"/>
    <col customWidth="1" min="5" max="5" width="8.0"/>
    <col customWidth="1" min="6" max="7" width="13.57"/>
    <col customWidth="1" min="8" max="8" width="16.43"/>
    <col customWidth="1" min="9" max="9" width="22.86"/>
    <col customWidth="1" min="10" max="10" width="13.43"/>
    <col customWidth="1" min="11" max="11" width="16.71"/>
    <col customWidth="1" min="12" max="12" width="17.29"/>
    <col customWidth="1" min="13" max="13" width="10.29"/>
    <col customWidth="1" min="14" max="14" width="10.14"/>
    <col customWidth="1" min="15" max="15" width="20.43"/>
    <col customWidth="1" min="16" max="16" width="23.29"/>
    <col customWidth="1" min="17" max="17" width="14.86"/>
  </cols>
  <sheetData>
    <row r="1" ht="26.25" customHeight="1">
      <c r="A1" s="1"/>
      <c r="B1" s="2"/>
      <c r="C1" s="3" t="s">
        <v>0</v>
      </c>
      <c r="D1" s="4"/>
      <c r="E1" s="4"/>
      <c r="F1" s="4"/>
      <c r="G1" s="4"/>
      <c r="H1" s="4"/>
      <c r="I1" s="4"/>
      <c r="J1" s="4"/>
      <c r="K1" s="4"/>
      <c r="L1" s="4"/>
      <c r="M1" s="4"/>
      <c r="N1" s="5"/>
      <c r="O1" s="6"/>
      <c r="P1" s="6"/>
      <c r="Q1" s="7"/>
    </row>
    <row r="2" ht="21.0" customHeight="1">
      <c r="A2" s="8"/>
      <c r="B2" s="9"/>
      <c r="C2" s="10"/>
      <c r="D2" s="11"/>
      <c r="E2" s="11"/>
      <c r="F2" s="11"/>
      <c r="G2" s="11"/>
      <c r="H2" s="11"/>
      <c r="I2" s="11"/>
      <c r="J2" s="11"/>
      <c r="K2" s="11"/>
      <c r="L2" s="11"/>
      <c r="M2" s="11"/>
      <c r="N2" s="12"/>
      <c r="O2" s="13"/>
      <c r="P2" s="14" t="s">
        <v>1</v>
      </c>
      <c r="Q2" s="15"/>
    </row>
    <row r="3" ht="18.0" customHeight="1">
      <c r="A3" s="16"/>
      <c r="B3" s="17"/>
      <c r="C3" s="17"/>
      <c r="D3" s="17"/>
      <c r="E3" s="18"/>
      <c r="F3" s="19"/>
      <c r="G3" s="19"/>
      <c r="H3" s="20"/>
      <c r="I3" s="21"/>
      <c r="J3" s="22"/>
      <c r="K3" s="23"/>
      <c r="L3" s="24" t="s">
        <v>2</v>
      </c>
      <c r="M3" s="13"/>
      <c r="N3" s="13"/>
      <c r="O3" s="13"/>
      <c r="P3" s="25" t="s">
        <v>3</v>
      </c>
      <c r="Q3" s="26"/>
    </row>
    <row r="4">
      <c r="A4" s="27" t="s">
        <v>4</v>
      </c>
      <c r="B4" s="28" t="s">
        <v>5</v>
      </c>
      <c r="C4" s="28" t="s">
        <v>6</v>
      </c>
      <c r="D4" s="29" t="s">
        <v>7</v>
      </c>
      <c r="E4" s="27" t="s">
        <v>8</v>
      </c>
      <c r="F4" s="27" t="s">
        <v>9</v>
      </c>
      <c r="G4" s="27" t="s">
        <v>10</v>
      </c>
      <c r="H4" s="27" t="s">
        <v>11</v>
      </c>
      <c r="I4" s="30" t="s">
        <v>12</v>
      </c>
      <c r="J4" s="27" t="s">
        <v>13</v>
      </c>
      <c r="K4" s="31" t="s">
        <v>14</v>
      </c>
      <c r="L4" s="27" t="s">
        <v>15</v>
      </c>
      <c r="M4" s="32" t="s">
        <v>16</v>
      </c>
      <c r="N4" s="32" t="s">
        <v>17</v>
      </c>
      <c r="O4" s="33" t="s">
        <v>18</v>
      </c>
      <c r="P4" s="27" t="s">
        <v>19</v>
      </c>
      <c r="Q4" s="34" t="s">
        <v>20</v>
      </c>
    </row>
    <row r="5">
      <c r="A5" s="35" t="s">
        <v>21</v>
      </c>
      <c r="B5" s="36">
        <v>92.2867512401279</v>
      </c>
      <c r="C5" s="36">
        <f>'Lista de Preço 02_2022'!$B5*0.9*0.9*0.9*0.9*0.9*0.97</f>
        <v>52.85957163</v>
      </c>
      <c r="D5" s="36">
        <f>'Lista de Preço 02_2022'!$C5*1.1712</f>
        <v>61.90913029</v>
      </c>
      <c r="E5" s="37">
        <v>3.25</v>
      </c>
      <c r="F5" s="38">
        <v>0.18</v>
      </c>
      <c r="G5" s="38" t="s">
        <v>22</v>
      </c>
      <c r="H5" s="39" t="s">
        <v>23</v>
      </c>
      <c r="I5" s="40" t="s">
        <v>24</v>
      </c>
      <c r="J5" s="41" t="s">
        <v>25</v>
      </c>
      <c r="K5" s="42" t="s">
        <v>26</v>
      </c>
      <c r="L5" s="43" t="s">
        <v>27</v>
      </c>
      <c r="M5" s="44">
        <v>8.708999E7</v>
      </c>
      <c r="N5" s="44" t="s">
        <v>28</v>
      </c>
      <c r="O5" s="45">
        <v>1.506</v>
      </c>
      <c r="P5" s="44">
        <v>7.898233430014E12</v>
      </c>
      <c r="Q5" s="44">
        <v>1.0</v>
      </c>
    </row>
    <row r="6">
      <c r="A6" s="35" t="s">
        <v>29</v>
      </c>
      <c r="B6" s="36">
        <v>18.694503244549445</v>
      </c>
      <c r="C6" s="36">
        <f>'Lista de Preço 02_2022'!$B6*0.9*0.9*0.9*0.9*0.9*0.97</f>
        <v>10.7077497</v>
      </c>
      <c r="D6" s="36">
        <f>'Lista de Preço 02_2022'!$C6*1.1712</f>
        <v>12.54091645</v>
      </c>
      <c r="E6" s="37">
        <v>3.25</v>
      </c>
      <c r="F6" s="38">
        <v>0.18</v>
      </c>
      <c r="G6" s="38" t="s">
        <v>22</v>
      </c>
      <c r="H6" s="39" t="s">
        <v>30</v>
      </c>
      <c r="I6" s="40" t="s">
        <v>31</v>
      </c>
      <c r="J6" s="41" t="s">
        <v>32</v>
      </c>
      <c r="K6" s="42" t="s">
        <v>26</v>
      </c>
      <c r="L6" s="43" t="s">
        <v>33</v>
      </c>
      <c r="M6" s="44">
        <v>8.708999E7</v>
      </c>
      <c r="N6" s="44" t="s">
        <v>28</v>
      </c>
      <c r="O6" s="45">
        <v>0.634</v>
      </c>
      <c r="P6" s="44">
        <v>7.898233430021E12</v>
      </c>
      <c r="Q6" s="44">
        <v>1.0</v>
      </c>
    </row>
    <row r="7">
      <c r="A7" s="35" t="s">
        <v>34</v>
      </c>
      <c r="B7" s="36">
        <v>20.247952732910438</v>
      </c>
      <c r="C7" s="36">
        <f>'Lista de Preço 02_2022'!$B7*0.9*0.9*0.9*0.9*0.9*0.97</f>
        <v>11.5975272</v>
      </c>
      <c r="D7" s="36">
        <f>'Lista de Preço 02_2022'!$C7*1.1712</f>
        <v>13.58302386</v>
      </c>
      <c r="E7" s="37">
        <v>3.25</v>
      </c>
      <c r="F7" s="38">
        <v>0.18</v>
      </c>
      <c r="G7" s="38" t="s">
        <v>22</v>
      </c>
      <c r="H7" s="39" t="s">
        <v>30</v>
      </c>
      <c r="I7" s="40" t="s">
        <v>31</v>
      </c>
      <c r="J7" s="41" t="s">
        <v>32</v>
      </c>
      <c r="K7" s="42" t="s">
        <v>26</v>
      </c>
      <c r="L7" s="43" t="s">
        <v>35</v>
      </c>
      <c r="M7" s="44">
        <v>8.708999E7</v>
      </c>
      <c r="N7" s="44" t="s">
        <v>28</v>
      </c>
      <c r="O7" s="45">
        <v>0.836</v>
      </c>
      <c r="P7" s="44">
        <v>7.898233430038E12</v>
      </c>
      <c r="Q7" s="44">
        <v>1.0</v>
      </c>
    </row>
    <row r="8">
      <c r="A8" s="35" t="s">
        <v>36</v>
      </c>
      <c r="B8" s="36">
        <v>148.76189497888845</v>
      </c>
      <c r="C8" s="36">
        <f>'Lista de Preço 02_2022'!$B8*0.9*0.9*0.9*0.9*0.9*0.97</f>
        <v>85.20713903</v>
      </c>
      <c r="D8" s="36">
        <f>'Lista de Preço 02_2022'!$C8*1.1627</f>
        <v>99.07034054</v>
      </c>
      <c r="E8" s="37">
        <v>2.6</v>
      </c>
      <c r="F8" s="38">
        <v>0.18</v>
      </c>
      <c r="G8" s="38" t="s">
        <v>37</v>
      </c>
      <c r="H8" s="39" t="s">
        <v>38</v>
      </c>
      <c r="I8" s="40" t="s">
        <v>39</v>
      </c>
      <c r="J8" s="41" t="s">
        <v>40</v>
      </c>
      <c r="K8" s="42" t="s">
        <v>26</v>
      </c>
      <c r="L8" s="43" t="s">
        <v>41</v>
      </c>
      <c r="M8" s="42">
        <v>8.70893E7</v>
      </c>
      <c r="N8" s="44" t="s">
        <v>28</v>
      </c>
      <c r="O8" s="45">
        <v>0.866</v>
      </c>
      <c r="P8" s="44">
        <v>7.898233430045E12</v>
      </c>
      <c r="Q8" s="44">
        <v>1.0</v>
      </c>
    </row>
    <row r="9">
      <c r="A9" s="35" t="s">
        <v>42</v>
      </c>
      <c r="B9" s="36">
        <v>57.62626000140242</v>
      </c>
      <c r="C9" s="36">
        <f>'Lista de Preço 02_2022'!$B9*0.9*0.9*0.9*0.9*0.9*0.97</f>
        <v>33.00689836</v>
      </c>
      <c r="D9" s="36">
        <f>'Lista de Preço 02_2022'!$C9*1.1712</f>
        <v>38.65767936</v>
      </c>
      <c r="E9" s="37">
        <v>3.25</v>
      </c>
      <c r="F9" s="38">
        <v>0.18</v>
      </c>
      <c r="G9" s="38" t="s">
        <v>22</v>
      </c>
      <c r="H9" s="39" t="s">
        <v>43</v>
      </c>
      <c r="I9" s="40" t="s">
        <v>44</v>
      </c>
      <c r="J9" s="41" t="s">
        <v>45</v>
      </c>
      <c r="K9" s="42" t="s">
        <v>26</v>
      </c>
      <c r="L9" s="43" t="s">
        <v>46</v>
      </c>
      <c r="M9" s="44">
        <v>8.708999E7</v>
      </c>
      <c r="N9" s="44" t="s">
        <v>28</v>
      </c>
      <c r="O9" s="45">
        <v>0.334</v>
      </c>
      <c r="P9" s="44">
        <v>7.898233430052E12</v>
      </c>
      <c r="Q9" s="44">
        <v>1.0</v>
      </c>
    </row>
    <row r="10">
      <c r="A10" s="35" t="s">
        <v>47</v>
      </c>
      <c r="B10" s="36">
        <v>3.6351568809045007</v>
      </c>
      <c r="C10" s="36">
        <f>'Lista de Preço 02_2022'!$B10*0.9*0.9*0.9*0.9*0.9*0.97</f>
        <v>2.082128073</v>
      </c>
      <c r="D10" s="36">
        <f>'Lista de Preço 02_2022'!$C10*1.1712</f>
        <v>2.438588399</v>
      </c>
      <c r="E10" s="37">
        <v>3.25</v>
      </c>
      <c r="F10" s="38">
        <v>0.18</v>
      </c>
      <c r="G10" s="38" t="s">
        <v>22</v>
      </c>
      <c r="H10" s="39" t="s">
        <v>48</v>
      </c>
      <c r="I10" s="40" t="s">
        <v>49</v>
      </c>
      <c r="J10" s="41" t="s">
        <v>32</v>
      </c>
      <c r="K10" s="42" t="s">
        <v>26</v>
      </c>
      <c r="L10" s="43" t="s">
        <v>50</v>
      </c>
      <c r="M10" s="44">
        <v>8.708999E7</v>
      </c>
      <c r="N10" s="44" t="s">
        <v>28</v>
      </c>
      <c r="O10" s="45">
        <v>0.12</v>
      </c>
      <c r="P10" s="44">
        <v>7.898233430069E12</v>
      </c>
      <c r="Q10" s="44">
        <v>1.0</v>
      </c>
    </row>
    <row r="11">
      <c r="A11" s="35" t="s">
        <v>51</v>
      </c>
      <c r="B11" s="36">
        <v>7.010438716706041</v>
      </c>
      <c r="C11" s="36">
        <f>'Lista de Preço 02_2022'!$B11*0.9*0.9*0.9*0.9*0.9*0.97</f>
        <v>4.015406139</v>
      </c>
      <c r="D11" s="36">
        <f>'Lista de Preço 02_2022'!$C11*1.1712</f>
        <v>4.70284367</v>
      </c>
      <c r="E11" s="37">
        <v>3.25</v>
      </c>
      <c r="F11" s="38">
        <v>0.18</v>
      </c>
      <c r="G11" s="38" t="s">
        <v>22</v>
      </c>
      <c r="H11" s="39" t="s">
        <v>48</v>
      </c>
      <c r="I11" s="40" t="s">
        <v>52</v>
      </c>
      <c r="J11" s="41" t="s">
        <v>32</v>
      </c>
      <c r="K11" s="42" t="s">
        <v>26</v>
      </c>
      <c r="L11" s="43" t="s">
        <v>53</v>
      </c>
      <c r="M11" s="44">
        <v>8.708999E7</v>
      </c>
      <c r="N11" s="44" t="s">
        <v>28</v>
      </c>
      <c r="O11" s="45">
        <v>0.168</v>
      </c>
      <c r="P11" s="44">
        <v>7.898233430076E12</v>
      </c>
      <c r="Q11" s="44">
        <v>1.0</v>
      </c>
    </row>
    <row r="12">
      <c r="A12" s="35" t="s">
        <v>54</v>
      </c>
      <c r="B12" s="36">
        <v>181.89521291434758</v>
      </c>
      <c r="C12" s="36">
        <f>'Lista de Preço 02_2022'!$B12*0.9*0.9*0.9*0.9*0.9*0.97</f>
        <v>104.1850851</v>
      </c>
      <c r="D12" s="36">
        <f>'Lista de Preço 02_2022'!$C12*1.1712</f>
        <v>122.0215717</v>
      </c>
      <c r="E12" s="37">
        <v>3.25</v>
      </c>
      <c r="F12" s="38">
        <v>0.18</v>
      </c>
      <c r="G12" s="38" t="s">
        <v>22</v>
      </c>
      <c r="H12" s="39" t="s">
        <v>55</v>
      </c>
      <c r="I12" s="40" t="s">
        <v>56</v>
      </c>
      <c r="J12" s="41" t="s">
        <v>57</v>
      </c>
      <c r="K12" s="42" t="s">
        <v>26</v>
      </c>
      <c r="L12" s="43" t="s">
        <v>58</v>
      </c>
      <c r="M12" s="44">
        <v>8.708999E7</v>
      </c>
      <c r="N12" s="44" t="s">
        <v>28</v>
      </c>
      <c r="O12" s="45">
        <v>1.62</v>
      </c>
      <c r="P12" s="44">
        <v>7.898233430083E12</v>
      </c>
      <c r="Q12" s="44">
        <v>1.0</v>
      </c>
    </row>
    <row r="13">
      <c r="A13" s="35" t="s">
        <v>59</v>
      </c>
      <c r="B13" s="36">
        <v>127.1692298671812</v>
      </c>
      <c r="C13" s="36">
        <f>'Lista de Preço 02_2022'!$B13*0.9*0.9*0.9*0.9*0.9*0.97</f>
        <v>72.83939379</v>
      </c>
      <c r="D13" s="36">
        <f>'Lista de Preço 02_2022'!$C13*1.1712</f>
        <v>85.309498</v>
      </c>
      <c r="E13" s="37">
        <v>3.25</v>
      </c>
      <c r="F13" s="38">
        <v>0.18</v>
      </c>
      <c r="G13" s="38" t="s">
        <v>22</v>
      </c>
      <c r="H13" s="39" t="s">
        <v>23</v>
      </c>
      <c r="I13" s="40" t="s">
        <v>60</v>
      </c>
      <c r="J13" s="41" t="s">
        <v>25</v>
      </c>
      <c r="K13" s="42" t="s">
        <v>26</v>
      </c>
      <c r="L13" s="43">
        <v>5.47407601E8</v>
      </c>
      <c r="M13" s="44">
        <v>8.708999E7</v>
      </c>
      <c r="N13" s="44" t="s">
        <v>28</v>
      </c>
      <c r="O13" s="45">
        <v>1.61</v>
      </c>
      <c r="P13" s="44">
        <v>7.89823343009E12</v>
      </c>
      <c r="Q13" s="44">
        <v>1.0</v>
      </c>
    </row>
    <row r="14">
      <c r="A14" s="35" t="s">
        <v>61</v>
      </c>
      <c r="B14" s="36">
        <v>189.9439260261316</v>
      </c>
      <c r="C14" s="36">
        <f>'Lista de Preço 02_2022'!$B14*0.9*0.9*0.9*0.9*0.9*0.97</f>
        <v>108.7951892</v>
      </c>
      <c r="D14" s="36">
        <f>'Lista de Preço 02_2022'!$C14*1.1712</f>
        <v>127.4209256</v>
      </c>
      <c r="E14" s="37">
        <v>3.25</v>
      </c>
      <c r="F14" s="38">
        <v>0.18</v>
      </c>
      <c r="G14" s="38" t="s">
        <v>22</v>
      </c>
      <c r="H14" s="39" t="s">
        <v>23</v>
      </c>
      <c r="I14" s="40" t="s">
        <v>62</v>
      </c>
      <c r="J14" s="41" t="s">
        <v>25</v>
      </c>
      <c r="K14" s="42" t="s">
        <v>26</v>
      </c>
      <c r="L14" s="43" t="s">
        <v>63</v>
      </c>
      <c r="M14" s="44">
        <v>8.708999E7</v>
      </c>
      <c r="N14" s="44" t="s">
        <v>28</v>
      </c>
      <c r="O14" s="45">
        <v>2.102</v>
      </c>
      <c r="P14" s="44">
        <v>7.898233430106E12</v>
      </c>
      <c r="Q14" s="44">
        <v>1.0</v>
      </c>
    </row>
    <row r="15">
      <c r="A15" s="35" t="s">
        <v>64</v>
      </c>
      <c r="B15" s="36">
        <v>102.02972003637032</v>
      </c>
      <c r="C15" s="36">
        <f>'Lista de Preço 02_2022'!$B15*0.9*0.9*0.9*0.9*0.9*0.97</f>
        <v>58.4401035</v>
      </c>
      <c r="D15" s="36">
        <f>'Lista de Preço 02_2022'!$C15*1.1712</f>
        <v>68.44504922</v>
      </c>
      <c r="E15" s="37">
        <v>3.25</v>
      </c>
      <c r="F15" s="38">
        <v>0.18</v>
      </c>
      <c r="G15" s="38" t="s">
        <v>22</v>
      </c>
      <c r="H15" s="39" t="s">
        <v>65</v>
      </c>
      <c r="I15" s="40" t="s">
        <v>66</v>
      </c>
      <c r="J15" s="41" t="s">
        <v>67</v>
      </c>
      <c r="K15" s="42" t="s">
        <v>68</v>
      </c>
      <c r="L15" s="43">
        <v>9.462879E7</v>
      </c>
      <c r="M15" s="44">
        <v>8.708999E7</v>
      </c>
      <c r="N15" s="44" t="s">
        <v>28</v>
      </c>
      <c r="O15" s="45">
        <v>0.89</v>
      </c>
      <c r="P15" s="44">
        <v>7.898233430557E12</v>
      </c>
      <c r="Q15" s="44">
        <v>1.0</v>
      </c>
    </row>
    <row r="16">
      <c r="A16" s="46" t="s">
        <v>69</v>
      </c>
      <c r="B16" s="36">
        <v>200.31849453948004</v>
      </c>
      <c r="C16" s="36">
        <f>'Lista de Preço 02_2022'!$B16*0.9*0.9*0.9*0.9*0.9*0.97</f>
        <v>114.7374858</v>
      </c>
      <c r="D16" s="36">
        <f>'Lista de Preço 02_2022'!$C16*1.1712</f>
        <v>134.3805434</v>
      </c>
      <c r="E16" s="37">
        <v>3.25</v>
      </c>
      <c r="F16" s="38">
        <v>0.18</v>
      </c>
      <c r="G16" s="38" t="s">
        <v>22</v>
      </c>
      <c r="H16" s="39" t="s">
        <v>70</v>
      </c>
      <c r="I16" s="40" t="s">
        <v>71</v>
      </c>
      <c r="J16" s="41" t="s">
        <v>72</v>
      </c>
      <c r="K16" s="42" t="s">
        <v>73</v>
      </c>
      <c r="L16" s="42" t="s">
        <v>74</v>
      </c>
      <c r="M16" s="44">
        <v>8.708999E7</v>
      </c>
      <c r="N16" s="44" t="s">
        <v>28</v>
      </c>
      <c r="O16" s="45">
        <v>1.688</v>
      </c>
      <c r="P16" s="44">
        <v>7.898233435088E12</v>
      </c>
      <c r="Q16" s="44">
        <v>1.0</v>
      </c>
    </row>
    <row r="17">
      <c r="A17" s="46" t="s">
        <v>75</v>
      </c>
      <c r="B17" s="36">
        <v>204.20817404510095</v>
      </c>
      <c r="C17" s="36">
        <f>'Lista de Preço 02_2022'!$B17*0.9*0.9*0.9*0.9*0.9*0.97</f>
        <v>116.9653982</v>
      </c>
      <c r="D17" s="36">
        <f>'Lista de Preço 02_2022'!$C17*1.1712</f>
        <v>136.9898743</v>
      </c>
      <c r="E17" s="37">
        <v>3.25</v>
      </c>
      <c r="F17" s="38">
        <v>0.18</v>
      </c>
      <c r="G17" s="38" t="s">
        <v>22</v>
      </c>
      <c r="H17" s="39" t="s">
        <v>70</v>
      </c>
      <c r="I17" s="40" t="s">
        <v>76</v>
      </c>
      <c r="J17" s="41" t="s">
        <v>72</v>
      </c>
      <c r="K17" s="42" t="s">
        <v>73</v>
      </c>
      <c r="L17" s="42" t="s">
        <v>77</v>
      </c>
      <c r="M17" s="44">
        <v>8.708999E7</v>
      </c>
      <c r="N17" s="44" t="s">
        <v>28</v>
      </c>
      <c r="O17" s="45">
        <v>1.688</v>
      </c>
      <c r="P17" s="44">
        <v>7.898233435071E12</v>
      </c>
      <c r="Q17" s="44">
        <v>1.0</v>
      </c>
    </row>
    <row r="18">
      <c r="A18" s="46" t="s">
        <v>78</v>
      </c>
      <c r="B18" s="36">
        <v>175.10741177938135</v>
      </c>
      <c r="C18" s="36">
        <f>'Lista de Preço 02_2022'!$B18*0.9*0.9*0.9*0.9*0.9*0.97</f>
        <v>100.2972003</v>
      </c>
      <c r="D18" s="36">
        <f>'Lista de Preço 02_2022'!$C18*1.1712</f>
        <v>117.468081</v>
      </c>
      <c r="E18" s="37">
        <v>3.25</v>
      </c>
      <c r="F18" s="38">
        <v>0.18</v>
      </c>
      <c r="G18" s="38" t="s">
        <v>22</v>
      </c>
      <c r="H18" s="39" t="s">
        <v>70</v>
      </c>
      <c r="I18" s="40" t="s">
        <v>79</v>
      </c>
      <c r="J18" s="41" t="s">
        <v>80</v>
      </c>
      <c r="K18" s="42" t="s">
        <v>73</v>
      </c>
      <c r="L18" s="42">
        <v>146139.0</v>
      </c>
      <c r="M18" s="44">
        <v>8.708999E7</v>
      </c>
      <c r="N18" s="44" t="s">
        <v>28</v>
      </c>
      <c r="O18" s="45">
        <v>1.432</v>
      </c>
      <c r="P18" s="44">
        <v>7.898233435057E12</v>
      </c>
      <c r="Q18" s="44">
        <v>1.0</v>
      </c>
    </row>
    <row r="19">
      <c r="A19" s="46" t="s">
        <v>81</v>
      </c>
      <c r="B19" s="36">
        <v>183.8627823683504</v>
      </c>
      <c r="C19" s="36">
        <f>'Lista de Preço 02_2022'!$B19*0.9*0.9*0.9*0.9*0.9*0.97</f>
        <v>105.3120603</v>
      </c>
      <c r="D19" s="36">
        <f>'Lista de Preço 02_2022'!$C19*1.1712</f>
        <v>123.3414851</v>
      </c>
      <c r="E19" s="37">
        <v>3.25</v>
      </c>
      <c r="F19" s="38">
        <v>0.18</v>
      </c>
      <c r="G19" s="38" t="s">
        <v>22</v>
      </c>
      <c r="H19" s="39" t="s">
        <v>70</v>
      </c>
      <c r="I19" s="40" t="s">
        <v>82</v>
      </c>
      <c r="J19" s="41" t="s">
        <v>80</v>
      </c>
      <c r="K19" s="42" t="s">
        <v>73</v>
      </c>
      <c r="L19" s="42" t="s">
        <v>83</v>
      </c>
      <c r="M19" s="44">
        <v>8.708999E7</v>
      </c>
      <c r="N19" s="44" t="s">
        <v>28</v>
      </c>
      <c r="O19" s="45">
        <v>1.434</v>
      </c>
      <c r="P19" s="44">
        <v>7.899823502487E12</v>
      </c>
      <c r="Q19" s="44">
        <v>1.0</v>
      </c>
    </row>
    <row r="20">
      <c r="A20" s="46" t="s">
        <v>84</v>
      </c>
      <c r="B20" s="36">
        <v>297.1977646884861</v>
      </c>
      <c r="C20" s="36">
        <f>'Lista de Preço 02_2022'!$B20*0.9*0.9*0.9*0.9*0.9*0.97</f>
        <v>170.2275388</v>
      </c>
      <c r="D20" s="36">
        <f>'Lista de Preço 02_2022'!$C20*1.1712</f>
        <v>199.3704935</v>
      </c>
      <c r="E20" s="37">
        <v>3.25</v>
      </c>
      <c r="F20" s="38">
        <v>0.18</v>
      </c>
      <c r="G20" s="38" t="s">
        <v>22</v>
      </c>
      <c r="H20" s="39" t="s">
        <v>70</v>
      </c>
      <c r="I20" s="40" t="s">
        <v>85</v>
      </c>
      <c r="J20" s="41" t="s">
        <v>72</v>
      </c>
      <c r="K20" s="42" t="s">
        <v>86</v>
      </c>
      <c r="L20" s="43" t="s">
        <v>87</v>
      </c>
      <c r="M20" s="44">
        <v>8.708999E7</v>
      </c>
      <c r="N20" s="44" t="s">
        <v>28</v>
      </c>
      <c r="O20" s="45">
        <v>3.954</v>
      </c>
      <c r="P20" s="44">
        <v>7.899823502494E12</v>
      </c>
      <c r="Q20" s="44">
        <v>1.0</v>
      </c>
    </row>
    <row r="21" ht="15.75" customHeight="1">
      <c r="A21" s="35" t="s">
        <v>88</v>
      </c>
      <c r="B21" s="36">
        <v>94.4719629966392</v>
      </c>
      <c r="C21" s="36">
        <f>'Lista de Preço 02_2022'!$B21*0.9*0.9*0.9*0.9*0.9*0.97</f>
        <v>54.11120695</v>
      </c>
      <c r="D21" s="36">
        <f>'Lista de Preço 02_2022'!$C21*1.1712</f>
        <v>63.37504558</v>
      </c>
      <c r="E21" s="37">
        <v>3.25</v>
      </c>
      <c r="F21" s="38">
        <v>0.18</v>
      </c>
      <c r="G21" s="38" t="s">
        <v>22</v>
      </c>
      <c r="H21" s="39" t="s">
        <v>65</v>
      </c>
      <c r="I21" s="40" t="s">
        <v>89</v>
      </c>
      <c r="J21" s="41" t="s">
        <v>67</v>
      </c>
      <c r="K21" s="42" t="s">
        <v>68</v>
      </c>
      <c r="L21" s="43">
        <v>9.0129572E7</v>
      </c>
      <c r="M21" s="44">
        <v>8.708999E7</v>
      </c>
      <c r="N21" s="44" t="s">
        <v>28</v>
      </c>
      <c r="O21" s="45">
        <v>0.896</v>
      </c>
      <c r="P21" s="44">
        <v>7.898233430564E12</v>
      </c>
      <c r="Q21" s="44">
        <v>1.0</v>
      </c>
    </row>
    <row r="22" ht="15.75" customHeight="1">
      <c r="A22" s="46" t="s">
        <v>90</v>
      </c>
      <c r="B22" s="36">
        <v>141.12725675490046</v>
      </c>
      <c r="C22" s="36">
        <f>'Lista de Preço 02_2022'!$B22*0.9*0.9*0.9*0.9*0.9*0.97</f>
        <v>80.83420683</v>
      </c>
      <c r="D22" s="36">
        <f>'Lista de Preço 02_2022'!$C22*1.1712</f>
        <v>94.67302303</v>
      </c>
      <c r="E22" s="37">
        <v>3.25</v>
      </c>
      <c r="F22" s="38">
        <v>0.18</v>
      </c>
      <c r="G22" s="38" t="s">
        <v>22</v>
      </c>
      <c r="H22" s="39" t="s">
        <v>70</v>
      </c>
      <c r="I22" s="40" t="s">
        <v>91</v>
      </c>
      <c r="J22" s="41" t="s">
        <v>80</v>
      </c>
      <c r="K22" s="42" t="s">
        <v>73</v>
      </c>
      <c r="L22" s="42" t="s">
        <v>92</v>
      </c>
      <c r="M22" s="44">
        <v>8.708999E7</v>
      </c>
      <c r="N22" s="44" t="s">
        <v>28</v>
      </c>
      <c r="O22" s="45">
        <v>1.734</v>
      </c>
      <c r="P22" s="44">
        <v>7.898233435187E12</v>
      </c>
      <c r="Q22" s="44">
        <v>1.0</v>
      </c>
    </row>
    <row r="23" ht="15.75" customHeight="1">
      <c r="A23" s="46" t="s">
        <v>93</v>
      </c>
      <c r="B23" s="36">
        <v>148.5878190173318</v>
      </c>
      <c r="C23" s="36">
        <f>'Lista de Preço 02_2022'!$B23*0.9*0.9*0.9*0.9*0.9*0.97</f>
        <v>85.10743261</v>
      </c>
      <c r="D23" s="36">
        <f>'Lista de Preço 02_2022'!$C23*1.1712</f>
        <v>99.67782508</v>
      </c>
      <c r="E23" s="37">
        <v>3.25</v>
      </c>
      <c r="F23" s="38">
        <v>0.18</v>
      </c>
      <c r="G23" s="38" t="s">
        <v>22</v>
      </c>
      <c r="H23" s="39" t="s">
        <v>70</v>
      </c>
      <c r="I23" s="40" t="s">
        <v>94</v>
      </c>
      <c r="J23" s="41" t="s">
        <v>80</v>
      </c>
      <c r="K23" s="42" t="s">
        <v>95</v>
      </c>
      <c r="L23" s="42" t="s">
        <v>96</v>
      </c>
      <c r="M23" s="44">
        <v>8.708999E7</v>
      </c>
      <c r="N23" s="44" t="s">
        <v>28</v>
      </c>
      <c r="O23" s="45">
        <v>1.81</v>
      </c>
      <c r="P23" s="44">
        <v>7.898233435194E12</v>
      </c>
      <c r="Q23" s="44">
        <v>1.0</v>
      </c>
    </row>
    <row r="24" ht="15.75" customHeight="1">
      <c r="A24" s="46" t="s">
        <v>97</v>
      </c>
      <c r="B24" s="36">
        <v>195.94766008270207</v>
      </c>
      <c r="C24" s="36">
        <f>'Lista de Preço 02_2022'!$B24*0.9*0.9*0.9*0.9*0.9*0.97</f>
        <v>112.2339798</v>
      </c>
      <c r="D24" s="36">
        <f>'Lista de Preço 02_2022'!$C24*1.1712</f>
        <v>131.4484371</v>
      </c>
      <c r="E24" s="37">
        <v>3.25</v>
      </c>
      <c r="F24" s="38">
        <v>0.18</v>
      </c>
      <c r="G24" s="38" t="s">
        <v>22</v>
      </c>
      <c r="H24" s="39" t="s">
        <v>70</v>
      </c>
      <c r="I24" s="40" t="s">
        <v>98</v>
      </c>
      <c r="J24" s="41" t="s">
        <v>80</v>
      </c>
      <c r="K24" s="42" t="s">
        <v>26</v>
      </c>
      <c r="L24" s="42" t="s">
        <v>99</v>
      </c>
      <c r="M24" s="44">
        <v>8.708999E7</v>
      </c>
      <c r="N24" s="44" t="s">
        <v>28</v>
      </c>
      <c r="O24" s="45">
        <v>2.034</v>
      </c>
      <c r="P24" s="44">
        <v>7.898233435217E12</v>
      </c>
      <c r="Q24" s="44">
        <v>1.0</v>
      </c>
    </row>
    <row r="25" ht="15.75" customHeight="1">
      <c r="A25" s="46" t="s">
        <v>100</v>
      </c>
      <c r="B25" s="36">
        <v>185.3014582867256</v>
      </c>
      <c r="C25" s="36">
        <f>'Lista de Preço 02_2022'!$B25*0.9*0.9*0.9*0.9*0.9*0.97</f>
        <v>106.1360984</v>
      </c>
      <c r="D25" s="36">
        <f>'Lista de Preço 02_2022'!$C25*1.1712</f>
        <v>124.3065984</v>
      </c>
      <c r="E25" s="37">
        <v>3.25</v>
      </c>
      <c r="F25" s="38">
        <v>0.18</v>
      </c>
      <c r="G25" s="38" t="s">
        <v>22</v>
      </c>
      <c r="H25" s="39" t="s">
        <v>70</v>
      </c>
      <c r="I25" s="40" t="s">
        <v>101</v>
      </c>
      <c r="J25" s="41" t="s">
        <v>80</v>
      </c>
      <c r="K25" s="42" t="s">
        <v>26</v>
      </c>
      <c r="L25" s="42" t="s">
        <v>102</v>
      </c>
      <c r="M25" s="44">
        <v>8.708999E7</v>
      </c>
      <c r="N25" s="44" t="s">
        <v>28</v>
      </c>
      <c r="O25" s="45">
        <v>2.046</v>
      </c>
      <c r="P25" s="44">
        <v>7.898233435224E12</v>
      </c>
      <c r="Q25" s="44">
        <v>1.0</v>
      </c>
    </row>
    <row r="26" ht="15.75" customHeight="1">
      <c r="A26" s="46" t="s">
        <v>103</v>
      </c>
      <c r="B26" s="36">
        <v>170.17480863066632</v>
      </c>
      <c r="C26" s="36">
        <f>'Lista de Preço 02_2022'!$B26*0.9*0.9*0.9*0.9*0.9*0.97</f>
        <v>97.47192707</v>
      </c>
      <c r="D26" s="36">
        <f>'Lista de Preço 02_2022'!$C26*1.1712</f>
        <v>114.159121</v>
      </c>
      <c r="E26" s="37">
        <v>3.25</v>
      </c>
      <c r="F26" s="38">
        <v>0.18</v>
      </c>
      <c r="G26" s="38" t="s">
        <v>22</v>
      </c>
      <c r="H26" s="39" t="s">
        <v>70</v>
      </c>
      <c r="I26" s="40" t="s">
        <v>104</v>
      </c>
      <c r="J26" s="41" t="s">
        <v>80</v>
      </c>
      <c r="K26" s="42" t="s">
        <v>73</v>
      </c>
      <c r="L26" s="42" t="s">
        <v>105</v>
      </c>
      <c r="M26" s="44">
        <v>8.708999E7</v>
      </c>
      <c r="N26" s="44" t="s">
        <v>28</v>
      </c>
      <c r="O26" s="45">
        <v>1.712</v>
      </c>
      <c r="P26" s="44">
        <v>7.898233435231E12</v>
      </c>
      <c r="Q26" s="44">
        <v>1.0</v>
      </c>
    </row>
    <row r="27" ht="15.75" customHeight="1">
      <c r="A27" s="46" t="s">
        <v>106</v>
      </c>
      <c r="B27" s="36">
        <v>201.68866208078973</v>
      </c>
      <c r="C27" s="36">
        <f>'Lista de Preço 02_2022'!$B27*0.9*0.9*0.9*0.9*0.9*0.97</f>
        <v>115.5222839</v>
      </c>
      <c r="D27" s="36">
        <f>'Lista de Preço 02_2022'!$C27*1.1712</f>
        <v>135.2996989</v>
      </c>
      <c r="E27" s="37">
        <v>3.25</v>
      </c>
      <c r="F27" s="38">
        <v>0.18</v>
      </c>
      <c r="G27" s="38" t="s">
        <v>22</v>
      </c>
      <c r="H27" s="39" t="s">
        <v>70</v>
      </c>
      <c r="I27" s="40" t="s">
        <v>107</v>
      </c>
      <c r="J27" s="41" t="s">
        <v>80</v>
      </c>
      <c r="K27" s="42" t="s">
        <v>68</v>
      </c>
      <c r="L27" s="42" t="s">
        <v>108</v>
      </c>
      <c r="M27" s="44">
        <v>8.708999E7</v>
      </c>
      <c r="N27" s="44" t="s">
        <v>28</v>
      </c>
      <c r="O27" s="45">
        <v>2.392</v>
      </c>
      <c r="P27" s="44">
        <v>7.898233435248E12</v>
      </c>
      <c r="Q27" s="44">
        <v>1.0</v>
      </c>
    </row>
    <row r="28" ht="15.75" customHeight="1">
      <c r="A28" s="46" t="s">
        <v>109</v>
      </c>
      <c r="B28" s="36">
        <v>151.26171842930003</v>
      </c>
      <c r="C28" s="36">
        <f>'Lista de Preço 02_2022'!$B28*0.9*0.9*0.9*0.9*0.9*0.97</f>
        <v>86.63897615</v>
      </c>
      <c r="D28" s="36">
        <f>'Lista de Preço 02_2022'!$C28*1.1712</f>
        <v>101.4715689</v>
      </c>
      <c r="E28" s="37">
        <v>3.25</v>
      </c>
      <c r="F28" s="38">
        <v>0.18</v>
      </c>
      <c r="G28" s="38" t="s">
        <v>22</v>
      </c>
      <c r="H28" s="39" t="s">
        <v>70</v>
      </c>
      <c r="I28" s="40" t="s">
        <v>110</v>
      </c>
      <c r="J28" s="41" t="s">
        <v>80</v>
      </c>
      <c r="K28" s="42" t="s">
        <v>68</v>
      </c>
      <c r="L28" s="42" t="s">
        <v>111</v>
      </c>
      <c r="M28" s="44">
        <v>8.708999E7</v>
      </c>
      <c r="N28" s="44" t="s">
        <v>28</v>
      </c>
      <c r="O28" s="45">
        <v>1.856</v>
      </c>
      <c r="P28" s="44">
        <v>7.898233435255E12</v>
      </c>
      <c r="Q28" s="44">
        <v>1.0</v>
      </c>
    </row>
    <row r="29" ht="15.75" customHeight="1">
      <c r="A29" s="46" t="s">
        <v>112</v>
      </c>
      <c r="B29" s="36">
        <v>203.71651004192813</v>
      </c>
      <c r="C29" s="36">
        <f>'Lista de Preço 02_2022'!$B29*0.9*0.9*0.9*0.9*0.9*0.97</f>
        <v>116.6837852</v>
      </c>
      <c r="D29" s="36">
        <f>'Lista de Preço 02_2022'!$C29*1.1712</f>
        <v>136.6600492</v>
      </c>
      <c r="E29" s="37">
        <v>3.25</v>
      </c>
      <c r="F29" s="38">
        <v>0.18</v>
      </c>
      <c r="G29" s="38" t="s">
        <v>22</v>
      </c>
      <c r="H29" s="39" t="s">
        <v>70</v>
      </c>
      <c r="I29" s="40" t="s">
        <v>113</v>
      </c>
      <c r="J29" s="41" t="s">
        <v>80</v>
      </c>
      <c r="K29" s="42" t="s">
        <v>73</v>
      </c>
      <c r="L29" s="42" t="s">
        <v>114</v>
      </c>
      <c r="M29" s="44">
        <v>8.708999E7</v>
      </c>
      <c r="N29" s="44" t="s">
        <v>28</v>
      </c>
      <c r="O29" s="45">
        <v>2.154</v>
      </c>
      <c r="P29" s="44">
        <v>7.898233435262E12</v>
      </c>
      <c r="Q29" s="44">
        <v>1.0</v>
      </c>
    </row>
    <row r="30" ht="15.75" customHeight="1">
      <c r="A30" s="35" t="s">
        <v>115</v>
      </c>
      <c r="B30" s="36">
        <v>232.0731281124248</v>
      </c>
      <c r="C30" s="36">
        <f>'Lista de Preço 02_2022'!$B30*0.9*0.9*0.9*0.9*0.9*0.97</f>
        <v>132.9257556</v>
      </c>
      <c r="D30" s="36">
        <f>'Lista de Preço 02_2022'!$C30*1.1712</f>
        <v>155.6826449</v>
      </c>
      <c r="E30" s="37">
        <v>3.25</v>
      </c>
      <c r="F30" s="38">
        <v>0.18</v>
      </c>
      <c r="G30" s="38" t="s">
        <v>22</v>
      </c>
      <c r="H30" s="39" t="s">
        <v>23</v>
      </c>
      <c r="I30" s="40" t="s">
        <v>116</v>
      </c>
      <c r="J30" s="41" t="s">
        <v>25</v>
      </c>
      <c r="K30" s="42" t="s">
        <v>68</v>
      </c>
      <c r="L30" s="43">
        <v>9.0157011E7</v>
      </c>
      <c r="M30" s="44">
        <v>8.708999E7</v>
      </c>
      <c r="N30" s="44" t="s">
        <v>28</v>
      </c>
      <c r="O30" s="45">
        <v>2.178</v>
      </c>
      <c r="P30" s="44">
        <v>7.898233430571E12</v>
      </c>
      <c r="Q30" s="44">
        <v>1.0</v>
      </c>
    </row>
    <row r="31" ht="15.75" customHeight="1">
      <c r="A31" s="46" t="s">
        <v>117</v>
      </c>
      <c r="B31" s="36">
        <v>180.12222498057486</v>
      </c>
      <c r="C31" s="36">
        <f>'Lista de Preço 02_2022'!$B31*0.9*0.9*0.9*0.9*0.9*0.97</f>
        <v>103.1695614</v>
      </c>
      <c r="D31" s="36">
        <f>'Lista de Preço 02_2022'!$C31*1.1712</f>
        <v>120.8321904</v>
      </c>
      <c r="E31" s="37">
        <v>3.25</v>
      </c>
      <c r="F31" s="38">
        <v>0.18</v>
      </c>
      <c r="G31" s="38" t="s">
        <v>22</v>
      </c>
      <c r="H31" s="39" t="s">
        <v>70</v>
      </c>
      <c r="I31" s="40" t="s">
        <v>118</v>
      </c>
      <c r="J31" s="41" t="s">
        <v>80</v>
      </c>
      <c r="K31" s="42" t="s">
        <v>26</v>
      </c>
      <c r="L31" s="42" t="s">
        <v>119</v>
      </c>
      <c r="M31" s="44">
        <v>8.708999E7</v>
      </c>
      <c r="N31" s="44" t="s">
        <v>28</v>
      </c>
      <c r="O31" s="45">
        <v>1.654</v>
      </c>
      <c r="P31" s="44">
        <v>7.898233435286E12</v>
      </c>
      <c r="Q31" s="44">
        <v>1.0</v>
      </c>
    </row>
    <row r="32" ht="15.75" customHeight="1">
      <c r="A32" s="46" t="s">
        <v>120</v>
      </c>
      <c r="B32" s="36">
        <v>179.48509707386586</v>
      </c>
      <c r="C32" s="36">
        <f>'Lista de Preço 02_2022'!$B32*0.9*0.9*0.9*0.9*0.9*0.97</f>
        <v>102.8046303</v>
      </c>
      <c r="D32" s="36">
        <f>'Lista de Preço 02_2022'!$C32*1.1712</f>
        <v>120.404783</v>
      </c>
      <c r="E32" s="37">
        <v>3.25</v>
      </c>
      <c r="F32" s="38">
        <v>0.18</v>
      </c>
      <c r="G32" s="38" t="s">
        <v>22</v>
      </c>
      <c r="H32" s="39" t="s">
        <v>70</v>
      </c>
      <c r="I32" s="40" t="s">
        <v>121</v>
      </c>
      <c r="J32" s="41" t="s">
        <v>80</v>
      </c>
      <c r="K32" s="42" t="s">
        <v>95</v>
      </c>
      <c r="L32" s="42" t="s">
        <v>122</v>
      </c>
      <c r="M32" s="44">
        <v>8.708999E7</v>
      </c>
      <c r="N32" s="44" t="s">
        <v>28</v>
      </c>
      <c r="O32" s="45">
        <v>1.864</v>
      </c>
      <c r="P32" s="44">
        <v>7.898233435293E12</v>
      </c>
      <c r="Q32" s="44">
        <v>1.0</v>
      </c>
    </row>
    <row r="33" ht="15.75" customHeight="1">
      <c r="A33" s="46" t="s">
        <v>123</v>
      </c>
      <c r="B33" s="36">
        <v>213.1912185900848</v>
      </c>
      <c r="C33" s="36">
        <f>'Lista de Preço 02_2022'!$B33*0.9*0.9*0.9*0.9*0.9*0.97</f>
        <v>122.1106642</v>
      </c>
      <c r="D33" s="36">
        <f>'Lista de Preço 02_2022'!$C33*1.1712</f>
        <v>143.0160099</v>
      </c>
      <c r="E33" s="37">
        <v>3.25</v>
      </c>
      <c r="F33" s="38">
        <v>0.18</v>
      </c>
      <c r="G33" s="38" t="s">
        <v>22</v>
      </c>
      <c r="H33" s="39" t="s">
        <v>70</v>
      </c>
      <c r="I33" s="40" t="s">
        <v>124</v>
      </c>
      <c r="J33" s="41" t="s">
        <v>80</v>
      </c>
      <c r="K33" s="42" t="s">
        <v>26</v>
      </c>
      <c r="L33" s="42" t="s">
        <v>125</v>
      </c>
      <c r="M33" s="44">
        <v>8.708999E7</v>
      </c>
      <c r="N33" s="44" t="s">
        <v>28</v>
      </c>
      <c r="O33" s="45">
        <v>2.278</v>
      </c>
      <c r="P33" s="44">
        <v>7.898233435309E12</v>
      </c>
      <c r="Q33" s="44">
        <v>1.0</v>
      </c>
    </row>
    <row r="34" ht="15.75" customHeight="1">
      <c r="A34" s="46" t="s">
        <v>126</v>
      </c>
      <c r="B34" s="36">
        <v>170.49679800287424</v>
      </c>
      <c r="C34" s="36">
        <f>'Lista de Preço 02_2022'!$B34*0.9*0.9*0.9*0.9*0.9*0.97</f>
        <v>97.65635463</v>
      </c>
      <c r="D34" s="36">
        <f>'Lista de Preço 02_2022'!$C34*1.1712</f>
        <v>114.3751225</v>
      </c>
      <c r="E34" s="37">
        <v>3.25</v>
      </c>
      <c r="F34" s="38">
        <v>0.18</v>
      </c>
      <c r="G34" s="38" t="s">
        <v>22</v>
      </c>
      <c r="H34" s="39" t="s">
        <v>70</v>
      </c>
      <c r="I34" s="40" t="s">
        <v>127</v>
      </c>
      <c r="J34" s="41" t="s">
        <v>80</v>
      </c>
      <c r="K34" s="42" t="s">
        <v>95</v>
      </c>
      <c r="L34" s="42" t="s">
        <v>128</v>
      </c>
      <c r="M34" s="44">
        <v>8.708999E7</v>
      </c>
      <c r="N34" s="44" t="s">
        <v>28</v>
      </c>
      <c r="O34" s="45">
        <v>1.866</v>
      </c>
      <c r="P34" s="44">
        <v>7.898233435316E12</v>
      </c>
      <c r="Q34" s="44">
        <v>1.0</v>
      </c>
    </row>
    <row r="35" ht="15.75" customHeight="1">
      <c r="A35" s="46" t="s">
        <v>129</v>
      </c>
      <c r="B35" s="36">
        <v>219.65155854736003</v>
      </c>
      <c r="C35" s="36">
        <f>'Lista de Preço 02_2022'!$B35*0.9*0.9*0.9*0.9*0.9*0.97</f>
        <v>125.8109873</v>
      </c>
      <c r="D35" s="36">
        <f>'Lista de Preço 02_2022'!$C35*1.1712</f>
        <v>147.3498284</v>
      </c>
      <c r="E35" s="37">
        <v>3.25</v>
      </c>
      <c r="F35" s="38">
        <v>0.18</v>
      </c>
      <c r="G35" s="38" t="s">
        <v>22</v>
      </c>
      <c r="H35" s="39" t="s">
        <v>70</v>
      </c>
      <c r="I35" s="40" t="s">
        <v>130</v>
      </c>
      <c r="J35" s="41" t="s">
        <v>80</v>
      </c>
      <c r="K35" s="42" t="s">
        <v>95</v>
      </c>
      <c r="L35" s="42" t="s">
        <v>131</v>
      </c>
      <c r="M35" s="44">
        <v>8.708999E7</v>
      </c>
      <c r="N35" s="44" t="s">
        <v>28</v>
      </c>
      <c r="O35" s="45">
        <v>2.28</v>
      </c>
      <c r="P35" s="44">
        <v>7.898233435323E12</v>
      </c>
      <c r="Q35" s="44">
        <v>1.0</v>
      </c>
    </row>
    <row r="36" ht="15.75" customHeight="1">
      <c r="A36" s="46" t="s">
        <v>132</v>
      </c>
      <c r="B36" s="36">
        <v>195.3858913907651</v>
      </c>
      <c r="C36" s="36">
        <f>'Lista de Preço 02_2022'!$B36*0.9*0.9*0.9*0.9*0.9*0.97</f>
        <v>111.9122126</v>
      </c>
      <c r="D36" s="36">
        <f>'Lista de Preço 02_2022'!$C36*1.1712</f>
        <v>131.0715833</v>
      </c>
      <c r="E36" s="37">
        <v>3.25</v>
      </c>
      <c r="F36" s="38">
        <v>0.18</v>
      </c>
      <c r="G36" s="38" t="s">
        <v>22</v>
      </c>
      <c r="H36" s="39" t="s">
        <v>70</v>
      </c>
      <c r="I36" s="40" t="s">
        <v>133</v>
      </c>
      <c r="J36" s="41" t="s">
        <v>80</v>
      </c>
      <c r="K36" s="42" t="s">
        <v>26</v>
      </c>
      <c r="L36" s="42" t="s">
        <v>134</v>
      </c>
      <c r="M36" s="44">
        <v>8.708999E7</v>
      </c>
      <c r="N36" s="44" t="s">
        <v>28</v>
      </c>
      <c r="O36" s="45">
        <v>1.754</v>
      </c>
      <c r="P36" s="44">
        <v>7.89823343533E12</v>
      </c>
      <c r="Q36" s="44">
        <v>1.0</v>
      </c>
    </row>
    <row r="37" ht="15.75" customHeight="1">
      <c r="A37" s="46" t="s">
        <v>135</v>
      </c>
      <c r="B37" s="36">
        <v>200.27053867553417</v>
      </c>
      <c r="C37" s="36">
        <f>'Lista de Preço 02_2022'!$B37*0.9*0.9*0.9*0.9*0.9*0.97</f>
        <v>114.7100179</v>
      </c>
      <c r="D37" s="36">
        <f>'Lista de Preço 02_2022'!$C37*1.1712</f>
        <v>134.3483729</v>
      </c>
      <c r="E37" s="37">
        <v>3.25</v>
      </c>
      <c r="F37" s="38">
        <v>0.18</v>
      </c>
      <c r="G37" s="38" t="s">
        <v>22</v>
      </c>
      <c r="H37" s="39" t="s">
        <v>70</v>
      </c>
      <c r="I37" s="40" t="s">
        <v>136</v>
      </c>
      <c r="J37" s="41" t="s">
        <v>80</v>
      </c>
      <c r="K37" s="42" t="s">
        <v>26</v>
      </c>
      <c r="L37" s="42" t="s">
        <v>137</v>
      </c>
      <c r="M37" s="44">
        <v>8.708999E7</v>
      </c>
      <c r="N37" s="44" t="s">
        <v>28</v>
      </c>
      <c r="O37" s="45">
        <v>1.848</v>
      </c>
      <c r="P37" s="44">
        <v>7.898233435354E12</v>
      </c>
      <c r="Q37" s="44">
        <v>1.0</v>
      </c>
    </row>
    <row r="38" ht="15.75" customHeight="1">
      <c r="A38" s="46" t="s">
        <v>138</v>
      </c>
      <c r="B38" s="36">
        <v>194.437416189839</v>
      </c>
      <c r="C38" s="36">
        <f>'Lista de Preço 02_2022'!$B38*0.9*0.9*0.9*0.9*0.9*0.97</f>
        <v>111.3689494</v>
      </c>
      <c r="D38" s="36">
        <f>'Lista de Preço 02_2022'!$C38*1.1712</f>
        <v>130.4353135</v>
      </c>
      <c r="E38" s="37">
        <v>3.25</v>
      </c>
      <c r="F38" s="38">
        <v>0.18</v>
      </c>
      <c r="G38" s="38" t="s">
        <v>22</v>
      </c>
      <c r="H38" s="39" t="s">
        <v>70</v>
      </c>
      <c r="I38" s="40" t="s">
        <v>139</v>
      </c>
      <c r="J38" s="41" t="s">
        <v>80</v>
      </c>
      <c r="K38" s="42" t="s">
        <v>26</v>
      </c>
      <c r="L38" s="42" t="s">
        <v>140</v>
      </c>
      <c r="M38" s="44">
        <v>8.708999E7</v>
      </c>
      <c r="N38" s="44" t="s">
        <v>28</v>
      </c>
      <c r="O38" s="45">
        <v>1.74</v>
      </c>
      <c r="P38" s="44">
        <v>7.898233435361E12</v>
      </c>
      <c r="Q38" s="44">
        <v>1.0</v>
      </c>
    </row>
    <row r="39" ht="15.75" customHeight="1">
      <c r="A39" s="46" t="s">
        <v>141</v>
      </c>
      <c r="B39" s="36">
        <v>212.06674970414412</v>
      </c>
      <c r="C39" s="36">
        <f>'Lista de Preço 02_2022'!$B39*0.9*0.9*0.9*0.9*0.9*0.97</f>
        <v>121.4665962</v>
      </c>
      <c r="D39" s="36">
        <f>'Lista de Preço 02_2022'!$C39*1.1712</f>
        <v>142.2616774</v>
      </c>
      <c r="E39" s="37">
        <v>3.25</v>
      </c>
      <c r="F39" s="38">
        <v>0.18</v>
      </c>
      <c r="G39" s="38" t="s">
        <v>22</v>
      </c>
      <c r="H39" s="39" t="s">
        <v>70</v>
      </c>
      <c r="I39" s="40" t="s">
        <v>142</v>
      </c>
      <c r="J39" s="41" t="s">
        <v>80</v>
      </c>
      <c r="K39" s="42" t="s">
        <v>26</v>
      </c>
      <c r="L39" s="42">
        <v>1735909.0</v>
      </c>
      <c r="M39" s="44">
        <v>8.708999E7</v>
      </c>
      <c r="N39" s="44" t="s">
        <v>28</v>
      </c>
      <c r="O39" s="45">
        <v>1.678</v>
      </c>
      <c r="P39" s="44">
        <v>7.898233435378E12</v>
      </c>
      <c r="Q39" s="44">
        <v>1.0</v>
      </c>
    </row>
    <row r="40" ht="15.75" customHeight="1">
      <c r="A40" s="35" t="s">
        <v>143</v>
      </c>
      <c r="B40" s="36">
        <v>106.30610403969585</v>
      </c>
      <c r="C40" s="36">
        <f>'Lista de Preço 02_2022'!$B40*0.9*0.9*0.9*0.9*0.9*0.97</f>
        <v>60.88951063</v>
      </c>
      <c r="D40" s="36">
        <f>'Lista de Preço 02_2022'!$C40*1.1712</f>
        <v>71.31379485</v>
      </c>
      <c r="E40" s="37">
        <v>3.25</v>
      </c>
      <c r="F40" s="38">
        <v>0.18</v>
      </c>
      <c r="G40" s="38" t="s">
        <v>22</v>
      </c>
      <c r="H40" s="39" t="s">
        <v>23</v>
      </c>
      <c r="I40" s="40" t="s">
        <v>144</v>
      </c>
      <c r="J40" s="41" t="s">
        <v>25</v>
      </c>
      <c r="K40" s="42" t="s">
        <v>26</v>
      </c>
      <c r="L40" s="43">
        <v>9.327176E7</v>
      </c>
      <c r="M40" s="44">
        <v>8.708999E7</v>
      </c>
      <c r="N40" s="44" t="s">
        <v>28</v>
      </c>
      <c r="O40" s="45">
        <v>1.478</v>
      </c>
      <c r="P40" s="44">
        <v>7.898233430588E12</v>
      </c>
      <c r="Q40" s="44">
        <v>1.0</v>
      </c>
    </row>
    <row r="41" ht="15.75" customHeight="1">
      <c r="A41" s="46" t="s">
        <v>145</v>
      </c>
      <c r="B41" s="36">
        <v>198.8820351112885</v>
      </c>
      <c r="C41" s="36">
        <f>'Lista de Preço 02_2022'!$B41*0.9*0.9*0.9*0.9*0.9*0.97</f>
        <v>113.9147173</v>
      </c>
      <c r="D41" s="36">
        <f>'Lista de Preço 02_2022'!$C41*1.1712</f>
        <v>133.4169169</v>
      </c>
      <c r="E41" s="37">
        <v>3.25</v>
      </c>
      <c r="F41" s="38">
        <v>0.18</v>
      </c>
      <c r="G41" s="38" t="s">
        <v>22</v>
      </c>
      <c r="H41" s="39" t="s">
        <v>70</v>
      </c>
      <c r="I41" s="40" t="s">
        <v>146</v>
      </c>
      <c r="J41" s="41" t="s">
        <v>80</v>
      </c>
      <c r="K41" s="42" t="s">
        <v>73</v>
      </c>
      <c r="L41" s="42" t="s">
        <v>147</v>
      </c>
      <c r="M41" s="44">
        <v>8.708999E7</v>
      </c>
      <c r="N41" s="44" t="s">
        <v>28</v>
      </c>
      <c r="O41" s="45">
        <v>1.706</v>
      </c>
      <c r="P41" s="44">
        <v>7.898233435385E12</v>
      </c>
      <c r="Q41" s="44">
        <v>1.0</v>
      </c>
    </row>
    <row r="42" ht="15.75" customHeight="1">
      <c r="A42" s="46" t="s">
        <v>148</v>
      </c>
      <c r="B42" s="36">
        <v>195.3858913907651</v>
      </c>
      <c r="C42" s="36">
        <f>'Lista de Preço 02_2022'!$B42*0.9*0.9*0.9*0.9*0.9*0.97</f>
        <v>111.9122126</v>
      </c>
      <c r="D42" s="36">
        <f>'Lista de Preço 02_2022'!$C42*1.1712</f>
        <v>131.0715833</v>
      </c>
      <c r="E42" s="37">
        <v>3.25</v>
      </c>
      <c r="F42" s="38">
        <v>0.18</v>
      </c>
      <c r="G42" s="38" t="s">
        <v>22</v>
      </c>
      <c r="H42" s="39" t="s">
        <v>70</v>
      </c>
      <c r="I42" s="40" t="s">
        <v>149</v>
      </c>
      <c r="J42" s="41" t="s">
        <v>80</v>
      </c>
      <c r="K42" s="42" t="s">
        <v>26</v>
      </c>
      <c r="L42" s="42" t="s">
        <v>150</v>
      </c>
      <c r="M42" s="44">
        <v>8.708999E7</v>
      </c>
      <c r="N42" s="44" t="s">
        <v>28</v>
      </c>
      <c r="O42" s="45">
        <v>1.696</v>
      </c>
      <c r="P42" s="44">
        <v>7.898233435392E12</v>
      </c>
      <c r="Q42" s="44">
        <v>1.0</v>
      </c>
    </row>
    <row r="43" ht="15.75" customHeight="1">
      <c r="A43" s="46" t="s">
        <v>151</v>
      </c>
      <c r="B43" s="36">
        <v>220.2897678902579</v>
      </c>
      <c r="C43" s="36">
        <f>'Lista de Preço 02_2022'!$B43*0.9*0.9*0.9*0.9*0.9*0.97</f>
        <v>126.1765379</v>
      </c>
      <c r="D43" s="36">
        <f>'Lista de Preço 02_2022'!$C43*1.1712</f>
        <v>147.7779612</v>
      </c>
      <c r="E43" s="37">
        <v>3.25</v>
      </c>
      <c r="F43" s="38">
        <v>0.18</v>
      </c>
      <c r="G43" s="38" t="s">
        <v>22</v>
      </c>
      <c r="H43" s="39" t="s">
        <v>70</v>
      </c>
      <c r="I43" s="40" t="s">
        <v>152</v>
      </c>
      <c r="J43" s="41" t="s">
        <v>72</v>
      </c>
      <c r="K43" s="42" t="s">
        <v>153</v>
      </c>
      <c r="L43" s="42" t="s">
        <v>154</v>
      </c>
      <c r="M43" s="44">
        <v>8.708999E7</v>
      </c>
      <c r="N43" s="44" t="s">
        <v>28</v>
      </c>
      <c r="O43" s="45">
        <v>2.516</v>
      </c>
      <c r="P43" s="44">
        <v>7.89823343616E12</v>
      </c>
      <c r="Q43" s="44">
        <v>1.0</v>
      </c>
    </row>
    <row r="44" ht="15.75" customHeight="1">
      <c r="A44" s="46" t="s">
        <v>155</v>
      </c>
      <c r="B44" s="36">
        <v>226.11189850463538</v>
      </c>
      <c r="C44" s="36">
        <f>'Lista de Preço 02_2022'!$B44*0.9*0.9*0.9*0.9*0.9*0.97</f>
        <v>129.5113105</v>
      </c>
      <c r="D44" s="36">
        <f>'Lista de Preço 02_2022'!$C44*1.1712</f>
        <v>151.6836469</v>
      </c>
      <c r="E44" s="37">
        <v>3.25</v>
      </c>
      <c r="F44" s="38">
        <v>0.18</v>
      </c>
      <c r="G44" s="38" t="s">
        <v>22</v>
      </c>
      <c r="H44" s="39" t="s">
        <v>70</v>
      </c>
      <c r="I44" s="40" t="s">
        <v>156</v>
      </c>
      <c r="J44" s="41" t="s">
        <v>80</v>
      </c>
      <c r="K44" s="42" t="s">
        <v>157</v>
      </c>
      <c r="L44" s="42" t="s">
        <v>158</v>
      </c>
      <c r="M44" s="44">
        <v>8.708999E7</v>
      </c>
      <c r="N44" s="44" t="s">
        <v>28</v>
      </c>
      <c r="O44" s="45">
        <v>2.242</v>
      </c>
      <c r="P44" s="44">
        <v>7.898233436184E12</v>
      </c>
      <c r="Q44" s="44">
        <v>1.0</v>
      </c>
    </row>
    <row r="45" ht="15.75" customHeight="1">
      <c r="A45" s="46" t="s">
        <v>159</v>
      </c>
      <c r="B45" s="36">
        <v>261.5870156987232</v>
      </c>
      <c r="C45" s="36">
        <f>'Lista de Preço 02_2022'!$B45*0.9*0.9*0.9*0.9*0.9*0.97</f>
        <v>149.8305814</v>
      </c>
      <c r="D45" s="36">
        <f>'Lista de Preço 02_2022'!$C45*1.1712</f>
        <v>175.4815769</v>
      </c>
      <c r="E45" s="37">
        <v>3.25</v>
      </c>
      <c r="F45" s="38">
        <v>0.18</v>
      </c>
      <c r="G45" s="38" t="s">
        <v>22</v>
      </c>
      <c r="H45" s="39" t="s">
        <v>70</v>
      </c>
      <c r="I45" s="40" t="s">
        <v>160</v>
      </c>
      <c r="J45" s="41" t="s">
        <v>80</v>
      </c>
      <c r="K45" s="42" t="s">
        <v>157</v>
      </c>
      <c r="L45" s="42" t="s">
        <v>161</v>
      </c>
      <c r="M45" s="44">
        <v>8.708999E7</v>
      </c>
      <c r="N45" s="44" t="s">
        <v>28</v>
      </c>
      <c r="O45" s="45">
        <v>2.304</v>
      </c>
      <c r="P45" s="44">
        <v>7.898233436191E12</v>
      </c>
      <c r="Q45" s="44">
        <v>1.0</v>
      </c>
    </row>
    <row r="46" ht="15.75" customHeight="1">
      <c r="A46" s="46" t="s">
        <v>162</v>
      </c>
      <c r="B46" s="36">
        <v>226.8997448408884</v>
      </c>
      <c r="C46" s="36">
        <f>'Lista de Preço 02_2022'!$B46*0.9*0.9*0.9*0.9*0.9*0.97</f>
        <v>129.9625694</v>
      </c>
      <c r="D46" s="36">
        <f>'Lista de Preço 02_2022'!$C46*1.1712</f>
        <v>152.2121613</v>
      </c>
      <c r="E46" s="37">
        <v>3.25</v>
      </c>
      <c r="F46" s="38">
        <v>0.18</v>
      </c>
      <c r="G46" s="38" t="s">
        <v>22</v>
      </c>
      <c r="H46" s="39" t="s">
        <v>70</v>
      </c>
      <c r="I46" s="40" t="s">
        <v>163</v>
      </c>
      <c r="J46" s="41" t="s">
        <v>80</v>
      </c>
      <c r="K46" s="42" t="s">
        <v>73</v>
      </c>
      <c r="L46" s="44">
        <v>1761289.0</v>
      </c>
      <c r="M46" s="44">
        <v>8.708999E7</v>
      </c>
      <c r="N46" s="44" t="s">
        <v>28</v>
      </c>
      <c r="O46" s="45">
        <v>2.34</v>
      </c>
      <c r="P46" s="44">
        <v>7.898233436207E12</v>
      </c>
      <c r="Q46" s="44">
        <v>1.0</v>
      </c>
    </row>
    <row r="47" ht="15.75" customHeight="1">
      <c r="A47" s="46" t="s">
        <v>164</v>
      </c>
      <c r="B47" s="36">
        <v>212.92403591952942</v>
      </c>
      <c r="C47" s="36">
        <f>'Lista de Preço 02_2022'!$B47*0.9*0.9*0.9*0.9*0.9*0.97</f>
        <v>121.9576286</v>
      </c>
      <c r="D47" s="36">
        <f>'Lista de Preço 02_2022'!$C47*1.1712</f>
        <v>142.8367746</v>
      </c>
      <c r="E47" s="37">
        <v>3.25</v>
      </c>
      <c r="F47" s="38">
        <v>0.18</v>
      </c>
      <c r="G47" s="38" t="s">
        <v>22</v>
      </c>
      <c r="H47" s="39" t="s">
        <v>70</v>
      </c>
      <c r="I47" s="40" t="s">
        <v>165</v>
      </c>
      <c r="J47" s="41" t="s">
        <v>80</v>
      </c>
      <c r="K47" s="42" t="s">
        <v>153</v>
      </c>
      <c r="L47" s="42" t="s">
        <v>166</v>
      </c>
      <c r="M47" s="44">
        <v>8.708999E7</v>
      </c>
      <c r="N47" s="44" t="s">
        <v>28</v>
      </c>
      <c r="O47" s="45">
        <v>1.804</v>
      </c>
      <c r="P47" s="44">
        <v>7.898233436078E12</v>
      </c>
      <c r="Q47" s="44">
        <v>1.0</v>
      </c>
    </row>
    <row r="48" ht="15.75" customHeight="1">
      <c r="A48" s="46" t="s">
        <v>167</v>
      </c>
      <c r="B48" s="36">
        <v>204.20817404510095</v>
      </c>
      <c r="C48" s="36">
        <f>'Lista de Preço 02_2022'!$B48*0.9*0.9*0.9*0.9*0.9*0.97</f>
        <v>116.9653982</v>
      </c>
      <c r="D48" s="36">
        <f>'Lista de Preço 02_2022'!$C48*1.1712</f>
        <v>136.9898743</v>
      </c>
      <c r="E48" s="37">
        <v>3.25</v>
      </c>
      <c r="F48" s="38">
        <v>0.18</v>
      </c>
      <c r="G48" s="38" t="s">
        <v>22</v>
      </c>
      <c r="H48" s="39" t="s">
        <v>70</v>
      </c>
      <c r="I48" s="40" t="s">
        <v>168</v>
      </c>
      <c r="J48" s="41" t="s">
        <v>80</v>
      </c>
      <c r="K48" s="42" t="s">
        <v>95</v>
      </c>
      <c r="L48" s="42" t="s">
        <v>169</v>
      </c>
      <c r="M48" s="44">
        <v>8.708999E7</v>
      </c>
      <c r="N48" s="44" t="s">
        <v>28</v>
      </c>
      <c r="O48" s="45">
        <v>1.73</v>
      </c>
      <c r="P48" s="44">
        <v>7.898233436221E12</v>
      </c>
      <c r="Q48" s="44">
        <v>1.0</v>
      </c>
    </row>
    <row r="49" ht="15.75" customHeight="1">
      <c r="A49" s="46" t="s">
        <v>170</v>
      </c>
      <c r="B49" s="36">
        <v>269.8564926505713</v>
      </c>
      <c r="C49" s="36">
        <f>'Lista de Preço 02_2022'!$B49*0.9*0.9*0.9*0.9*0.9*0.97</f>
        <v>154.5671335</v>
      </c>
      <c r="D49" s="36">
        <f>'Lista de Preço 02_2022'!$C49*1.1712</f>
        <v>181.0290268</v>
      </c>
      <c r="E49" s="37">
        <v>3.25</v>
      </c>
      <c r="F49" s="38">
        <v>0.18</v>
      </c>
      <c r="G49" s="38" t="s">
        <v>22</v>
      </c>
      <c r="H49" s="39" t="s">
        <v>70</v>
      </c>
      <c r="I49" s="40" t="s">
        <v>171</v>
      </c>
      <c r="J49" s="41" t="s">
        <v>80</v>
      </c>
      <c r="K49" s="42" t="s">
        <v>26</v>
      </c>
      <c r="L49" s="42" t="s">
        <v>172</v>
      </c>
      <c r="M49" s="44">
        <v>8.708999E7</v>
      </c>
      <c r="N49" s="44" t="s">
        <v>28</v>
      </c>
      <c r="O49" s="45">
        <v>2.41</v>
      </c>
      <c r="P49" s="44">
        <v>7.898233436238E12</v>
      </c>
      <c r="Q49" s="44">
        <v>1.0</v>
      </c>
    </row>
    <row r="50" ht="15.75" customHeight="1">
      <c r="A50" s="46" t="s">
        <v>173</v>
      </c>
      <c r="B50" s="36">
        <v>292.6266817975155</v>
      </c>
      <c r="C50" s="36">
        <f>'Lista de Preço 02_2022'!$B50*0.9*0.9*0.9*0.9*0.9*0.97</f>
        <v>167.6093355</v>
      </c>
      <c r="D50" s="36">
        <f>'Lista de Preço 02_2022'!$C50*1.1712</f>
        <v>196.3040537</v>
      </c>
      <c r="E50" s="37">
        <v>3.25</v>
      </c>
      <c r="F50" s="38">
        <v>0.18</v>
      </c>
      <c r="G50" s="38" t="s">
        <v>22</v>
      </c>
      <c r="H50" s="39" t="s">
        <v>70</v>
      </c>
      <c r="I50" s="40" t="s">
        <v>174</v>
      </c>
      <c r="J50" s="41" t="s">
        <v>80</v>
      </c>
      <c r="K50" s="42" t="s">
        <v>68</v>
      </c>
      <c r="L50" s="47">
        <v>163269.0</v>
      </c>
      <c r="M50" s="44">
        <v>8.708999E7</v>
      </c>
      <c r="N50" s="44" t="s">
        <v>28</v>
      </c>
      <c r="O50" s="45">
        <v>2.756</v>
      </c>
      <c r="P50" s="44">
        <v>7.898233436245E12</v>
      </c>
      <c r="Q50" s="44">
        <v>1.0</v>
      </c>
    </row>
    <row r="51" ht="15.75" customHeight="1">
      <c r="A51" s="46" t="s">
        <v>175</v>
      </c>
      <c r="B51" s="36">
        <v>277.95218743008843</v>
      </c>
      <c r="C51" s="36">
        <f>'Lista de Preço 02_2022'!$B51*0.9*0.9*0.9*0.9*0.9*0.97</f>
        <v>159.2041475</v>
      </c>
      <c r="D51" s="36">
        <f>'Lista de Preço 02_2022'!$C51*1.1712</f>
        <v>186.4598976</v>
      </c>
      <c r="E51" s="37">
        <v>3.25</v>
      </c>
      <c r="F51" s="38">
        <v>0.18</v>
      </c>
      <c r="G51" s="38" t="s">
        <v>22</v>
      </c>
      <c r="H51" s="39" t="s">
        <v>70</v>
      </c>
      <c r="I51" s="40" t="s">
        <v>176</v>
      </c>
      <c r="J51" s="41" t="s">
        <v>80</v>
      </c>
      <c r="K51" s="42" t="s">
        <v>68</v>
      </c>
      <c r="L51" s="42" t="s">
        <v>177</v>
      </c>
      <c r="M51" s="44">
        <v>8.708999E7</v>
      </c>
      <c r="N51" s="44" t="s">
        <v>28</v>
      </c>
      <c r="O51" s="45">
        <v>2.652</v>
      </c>
      <c r="P51" s="44">
        <v>7.898233436252E12</v>
      </c>
      <c r="Q51" s="44">
        <v>1.0</v>
      </c>
    </row>
    <row r="52" ht="15.75" customHeight="1">
      <c r="A52" s="46" t="s">
        <v>178</v>
      </c>
      <c r="B52" s="36">
        <v>245.49291837646132</v>
      </c>
      <c r="C52" s="36">
        <f>'Lista de Preço 02_2022'!$B52*0.9*0.9*0.9*0.9*0.9*0.97</f>
        <v>140.61228</v>
      </c>
      <c r="D52" s="36">
        <f>'Lista de Preço 02_2022'!$C52*1.1712</f>
        <v>164.6851023</v>
      </c>
      <c r="E52" s="37">
        <v>3.25</v>
      </c>
      <c r="F52" s="38">
        <v>0.18</v>
      </c>
      <c r="G52" s="38" t="s">
        <v>22</v>
      </c>
      <c r="H52" s="39" t="s">
        <v>70</v>
      </c>
      <c r="I52" s="40" t="s">
        <v>179</v>
      </c>
      <c r="J52" s="41" t="s">
        <v>80</v>
      </c>
      <c r="K52" s="42" t="s">
        <v>68</v>
      </c>
      <c r="L52" s="42" t="s">
        <v>180</v>
      </c>
      <c r="M52" s="44">
        <v>8.708999E7</v>
      </c>
      <c r="N52" s="44" t="s">
        <v>28</v>
      </c>
      <c r="O52" s="45">
        <v>1.92</v>
      </c>
      <c r="P52" s="44">
        <v>7.898233436269E12</v>
      </c>
      <c r="Q52" s="44">
        <v>1.0</v>
      </c>
    </row>
    <row r="53" ht="15.75" customHeight="1">
      <c r="A53" s="46" t="s">
        <v>181</v>
      </c>
      <c r="B53" s="36">
        <v>189.08312070074038</v>
      </c>
      <c r="C53" s="36">
        <f>'Lista de Preço 02_2022'!$B53*0.9*0.9*0.9*0.9*0.9*0.97</f>
        <v>108.3021412</v>
      </c>
      <c r="D53" s="36">
        <f>'Lista de Preço 02_2022'!$C53*1.1712</f>
        <v>126.8434678</v>
      </c>
      <c r="E53" s="37">
        <v>3.25</v>
      </c>
      <c r="F53" s="38">
        <v>0.18</v>
      </c>
      <c r="G53" s="38" t="s">
        <v>22</v>
      </c>
      <c r="H53" s="39" t="s">
        <v>70</v>
      </c>
      <c r="I53" s="40" t="s">
        <v>182</v>
      </c>
      <c r="J53" s="41" t="s">
        <v>80</v>
      </c>
      <c r="K53" s="42" t="s">
        <v>73</v>
      </c>
      <c r="L53" s="42" t="s">
        <v>183</v>
      </c>
      <c r="M53" s="44">
        <v>8.708999E7</v>
      </c>
      <c r="N53" s="44" t="s">
        <v>28</v>
      </c>
      <c r="O53" s="45">
        <v>1.45</v>
      </c>
      <c r="P53" s="44">
        <v>7.898233436276E12</v>
      </c>
      <c r="Q53" s="44">
        <v>1.0</v>
      </c>
    </row>
    <row r="54" ht="15.75" customHeight="1">
      <c r="A54" s="46" t="s">
        <v>184</v>
      </c>
      <c r="B54" s="36">
        <v>212.92403591952942</v>
      </c>
      <c r="C54" s="36">
        <f>'Lista de Preço 02_2022'!$B54*0.9*0.9*0.9*0.9*0.9*0.97</f>
        <v>121.9576286</v>
      </c>
      <c r="D54" s="36">
        <f>'Lista de Preço 02_2022'!$C54*1.1712</f>
        <v>142.8367746</v>
      </c>
      <c r="E54" s="37">
        <v>3.25</v>
      </c>
      <c r="F54" s="38">
        <v>0.18</v>
      </c>
      <c r="G54" s="38" t="s">
        <v>22</v>
      </c>
      <c r="H54" s="39" t="s">
        <v>70</v>
      </c>
      <c r="I54" s="40" t="s">
        <v>185</v>
      </c>
      <c r="J54" s="41" t="s">
        <v>80</v>
      </c>
      <c r="K54" s="42" t="s">
        <v>26</v>
      </c>
      <c r="L54" s="42" t="s">
        <v>186</v>
      </c>
      <c r="M54" s="44">
        <v>8.708999E7</v>
      </c>
      <c r="N54" s="44" t="s">
        <v>28</v>
      </c>
      <c r="O54" s="45">
        <v>1.724</v>
      </c>
      <c r="P54" s="44">
        <v>7.898233436283E12</v>
      </c>
      <c r="Q54" s="44">
        <v>1.0</v>
      </c>
    </row>
    <row r="55" ht="15.75" customHeight="1">
      <c r="A55" s="46" t="s">
        <v>187</v>
      </c>
      <c r="B55" s="36">
        <v>213.548659420717</v>
      </c>
      <c r="C55" s="36">
        <f>'Lista de Preço 02_2022'!$B55*0.9*0.9*0.9*0.9*0.9*0.97</f>
        <v>122.3153975</v>
      </c>
      <c r="D55" s="36">
        <f>'Lista de Preço 02_2022'!$C55*1.1712</f>
        <v>143.2557935</v>
      </c>
      <c r="E55" s="37">
        <v>3.25</v>
      </c>
      <c r="F55" s="38">
        <v>0.18</v>
      </c>
      <c r="G55" s="38" t="s">
        <v>22</v>
      </c>
      <c r="H55" s="39" t="s">
        <v>70</v>
      </c>
      <c r="I55" s="40" t="s">
        <v>188</v>
      </c>
      <c r="J55" s="41" t="s">
        <v>80</v>
      </c>
      <c r="K55" s="42" t="s">
        <v>73</v>
      </c>
      <c r="L55" s="42">
        <v>302262.0</v>
      </c>
      <c r="M55" s="44">
        <v>8.708999E7</v>
      </c>
      <c r="N55" s="44" t="s">
        <v>28</v>
      </c>
      <c r="O55" s="45">
        <v>1.794</v>
      </c>
      <c r="P55" s="44">
        <v>7.89823343629E12</v>
      </c>
      <c r="Q55" s="44">
        <v>1.0</v>
      </c>
    </row>
    <row r="56" ht="15.75" customHeight="1">
      <c r="A56" s="46" t="s">
        <v>189</v>
      </c>
      <c r="B56" s="36">
        <v>209.18347853175385</v>
      </c>
      <c r="C56" s="36">
        <f>'Lista de Preço 02_2022'!$B56*0.9*0.9*0.9*0.9*0.9*0.97</f>
        <v>119.8151297</v>
      </c>
      <c r="D56" s="36">
        <f>'Lista de Preço 02_2022'!$C56*1.1712</f>
        <v>140.3274799</v>
      </c>
      <c r="E56" s="37">
        <v>3.25</v>
      </c>
      <c r="F56" s="38">
        <v>0.18</v>
      </c>
      <c r="G56" s="38" t="s">
        <v>22</v>
      </c>
      <c r="H56" s="39" t="s">
        <v>70</v>
      </c>
      <c r="I56" s="40" t="s">
        <v>190</v>
      </c>
      <c r="J56" s="41" t="s">
        <v>80</v>
      </c>
      <c r="K56" s="42" t="s">
        <v>73</v>
      </c>
      <c r="L56" s="42" t="s">
        <v>191</v>
      </c>
      <c r="M56" s="44">
        <v>8.708999E7</v>
      </c>
      <c r="N56" s="44" t="s">
        <v>28</v>
      </c>
      <c r="O56" s="45">
        <v>1.79</v>
      </c>
      <c r="P56" s="44">
        <v>7.898233436306E12</v>
      </c>
      <c r="Q56" s="44">
        <v>1.0</v>
      </c>
    </row>
    <row r="57" ht="15.75" customHeight="1">
      <c r="A57" s="46" t="s">
        <v>192</v>
      </c>
      <c r="B57" s="36">
        <v>198.5372767357774</v>
      </c>
      <c r="C57" s="36">
        <f>'Lista de Preço 02_2022'!$B57*0.9*0.9*0.9*0.9*0.9*0.97</f>
        <v>113.7172482</v>
      </c>
      <c r="D57" s="36">
        <f>'Lista de Preço 02_2022'!$C57*1.1712</f>
        <v>133.1856411</v>
      </c>
      <c r="E57" s="37">
        <v>3.25</v>
      </c>
      <c r="F57" s="38">
        <v>0.18</v>
      </c>
      <c r="G57" s="38" t="s">
        <v>22</v>
      </c>
      <c r="H57" s="39" t="s">
        <v>70</v>
      </c>
      <c r="I57" s="40" t="s">
        <v>193</v>
      </c>
      <c r="J57" s="41" t="s">
        <v>80</v>
      </c>
      <c r="K57" s="42" t="s">
        <v>95</v>
      </c>
      <c r="L57" s="42" t="s">
        <v>194</v>
      </c>
      <c r="M57" s="44">
        <v>8.708999E7</v>
      </c>
      <c r="N57" s="44" t="s">
        <v>28</v>
      </c>
      <c r="O57" s="45">
        <v>1.802</v>
      </c>
      <c r="P57" s="44">
        <v>7.898233436313E12</v>
      </c>
      <c r="Q57" s="44">
        <v>1.0</v>
      </c>
    </row>
    <row r="58" ht="15.75" customHeight="1">
      <c r="A58" s="46" t="s">
        <v>195</v>
      </c>
      <c r="B58" s="36">
        <v>199.1797921944693</v>
      </c>
      <c r="C58" s="36">
        <f>'Lista de Preço 02_2022'!$B58*0.9*0.9*0.9*0.9*0.9*0.97</f>
        <v>114.0852652</v>
      </c>
      <c r="D58" s="36">
        <f>'Lista de Preço 02_2022'!$C58*1.1712</f>
        <v>133.6166626</v>
      </c>
      <c r="E58" s="37">
        <v>3.25</v>
      </c>
      <c r="F58" s="38">
        <v>0.18</v>
      </c>
      <c r="G58" s="38" t="s">
        <v>22</v>
      </c>
      <c r="H58" s="39" t="s">
        <v>70</v>
      </c>
      <c r="I58" s="40" t="s">
        <v>196</v>
      </c>
      <c r="J58" s="41" t="s">
        <v>80</v>
      </c>
      <c r="K58" s="42" t="s">
        <v>95</v>
      </c>
      <c r="L58" s="42" t="s">
        <v>197</v>
      </c>
      <c r="M58" s="44">
        <v>8.708999E7</v>
      </c>
      <c r="N58" s="44" t="s">
        <v>28</v>
      </c>
      <c r="O58" s="45">
        <v>1.772</v>
      </c>
      <c r="P58" s="44">
        <v>7.89823343632E12</v>
      </c>
      <c r="Q58" s="44">
        <v>1.0</v>
      </c>
    </row>
    <row r="59" ht="15.75" customHeight="1">
      <c r="A59" s="35" t="s">
        <v>198</v>
      </c>
      <c r="B59" s="36">
        <v>3.505518098639245</v>
      </c>
      <c r="C59" s="36">
        <f>'Lista de Preço 02_2022'!$B59*0.9*0.9*0.9*0.9*0.9*0.97</f>
        <v>2.007874181</v>
      </c>
      <c r="D59" s="36">
        <f>'Lista de Preço 02_2022'!$C59*1.1712</f>
        <v>2.35162224</v>
      </c>
      <c r="E59" s="37">
        <v>3.25</v>
      </c>
      <c r="F59" s="38">
        <v>0.18</v>
      </c>
      <c r="G59" s="38" t="s">
        <v>22</v>
      </c>
      <c r="H59" s="39" t="s">
        <v>199</v>
      </c>
      <c r="I59" s="40" t="s">
        <v>200</v>
      </c>
      <c r="J59" s="41" t="s">
        <v>32</v>
      </c>
      <c r="K59" s="42" t="s">
        <v>68</v>
      </c>
      <c r="L59" s="43">
        <v>1.1052751E7</v>
      </c>
      <c r="M59" s="44">
        <v>8.708999E7</v>
      </c>
      <c r="N59" s="44" t="s">
        <v>28</v>
      </c>
      <c r="O59" s="45">
        <v>0.008</v>
      </c>
      <c r="P59" s="44">
        <v>7.898233430601E12</v>
      </c>
      <c r="Q59" s="48">
        <v>10.0</v>
      </c>
    </row>
    <row r="60" ht="15.75" customHeight="1">
      <c r="A60" s="46" t="s">
        <v>201</v>
      </c>
      <c r="B60" s="36">
        <v>214.01682121712938</v>
      </c>
      <c r="C60" s="36">
        <f>'Lista de Preço 02_2022'!$B60*0.9*0.9*0.9*0.9*0.9*0.97</f>
        <v>122.583549</v>
      </c>
      <c r="D60" s="36">
        <f>'Lista de Preço 02_2022'!$C60*1.1712</f>
        <v>143.5698526</v>
      </c>
      <c r="E60" s="37">
        <v>3.25</v>
      </c>
      <c r="F60" s="38">
        <v>0.18</v>
      </c>
      <c r="G60" s="38" t="s">
        <v>22</v>
      </c>
      <c r="H60" s="39" t="s">
        <v>70</v>
      </c>
      <c r="I60" s="40" t="s">
        <v>202</v>
      </c>
      <c r="J60" s="41" t="s">
        <v>80</v>
      </c>
      <c r="K60" s="42" t="s">
        <v>95</v>
      </c>
      <c r="L60" s="42" t="s">
        <v>203</v>
      </c>
      <c r="M60" s="44">
        <v>8.708999E7</v>
      </c>
      <c r="N60" s="44" t="s">
        <v>28</v>
      </c>
      <c r="O60" s="45">
        <v>2.016</v>
      </c>
      <c r="P60" s="44">
        <v>7.898233436337E12</v>
      </c>
      <c r="Q60" s="44">
        <v>1.0</v>
      </c>
    </row>
    <row r="61" ht="15.75" customHeight="1">
      <c r="A61" s="46" t="s">
        <v>204</v>
      </c>
      <c r="B61" s="36">
        <v>221.80476792493613</v>
      </c>
      <c r="C61" s="36">
        <f>'Lista de Preço 02_2022'!$B61*0.9*0.9*0.9*0.9*0.9*0.97</f>
        <v>127.0442925</v>
      </c>
      <c r="D61" s="36">
        <f>'Lista de Preço 02_2022'!$C61*1.1712</f>
        <v>148.7942754</v>
      </c>
      <c r="E61" s="37">
        <v>3.25</v>
      </c>
      <c r="F61" s="38">
        <v>0.18</v>
      </c>
      <c r="G61" s="38" t="s">
        <v>22</v>
      </c>
      <c r="H61" s="39" t="s">
        <v>70</v>
      </c>
      <c r="I61" s="40" t="s">
        <v>205</v>
      </c>
      <c r="J61" s="41" t="s">
        <v>80</v>
      </c>
      <c r="K61" s="42" t="s">
        <v>95</v>
      </c>
      <c r="L61" s="42" t="s">
        <v>206</v>
      </c>
      <c r="M61" s="44">
        <v>8.708999E7</v>
      </c>
      <c r="N61" s="44" t="s">
        <v>28</v>
      </c>
      <c r="O61" s="45">
        <v>2.172</v>
      </c>
      <c r="P61" s="44">
        <v>7.898233436344E12</v>
      </c>
      <c r="Q61" s="44">
        <v>1.0</v>
      </c>
    </row>
    <row r="62" ht="15.75" customHeight="1">
      <c r="A62" s="46" t="s">
        <v>207</v>
      </c>
      <c r="B62" s="36">
        <v>207.99143277081444</v>
      </c>
      <c r="C62" s="36">
        <f>'Lista de Preço 02_2022'!$B62*0.9*0.9*0.9*0.9*0.9*0.97</f>
        <v>119.1323553</v>
      </c>
      <c r="D62" s="36">
        <f>'Lista de Preço 02_2022'!$C62*1.1712</f>
        <v>139.5278145</v>
      </c>
      <c r="E62" s="37">
        <v>3.25</v>
      </c>
      <c r="F62" s="38">
        <v>0.18</v>
      </c>
      <c r="G62" s="38" t="s">
        <v>22</v>
      </c>
      <c r="H62" s="39" t="s">
        <v>70</v>
      </c>
      <c r="I62" s="40" t="s">
        <v>208</v>
      </c>
      <c r="J62" s="41" t="s">
        <v>80</v>
      </c>
      <c r="K62" s="42" t="s">
        <v>95</v>
      </c>
      <c r="L62" s="44">
        <v>2.4511449E7</v>
      </c>
      <c r="M62" s="44">
        <v>8.708999E7</v>
      </c>
      <c r="N62" s="44" t="s">
        <v>28</v>
      </c>
      <c r="O62" s="45">
        <v>2.158</v>
      </c>
      <c r="P62" s="44">
        <v>7.898233436351E12</v>
      </c>
      <c r="Q62" s="44">
        <v>1.0</v>
      </c>
    </row>
    <row r="63" ht="15.75" customHeight="1">
      <c r="A63" s="46" t="s">
        <v>209</v>
      </c>
      <c r="B63" s="36">
        <v>223.4857440504584</v>
      </c>
      <c r="C63" s="36">
        <f>'Lista de Preço 02_2022'!$B63*0.9*0.9*0.9*0.9*0.9*0.97</f>
        <v>128.0071141</v>
      </c>
      <c r="D63" s="36">
        <f>'Lista de Preço 02_2022'!$C63*1.1712</f>
        <v>149.921932</v>
      </c>
      <c r="E63" s="37">
        <v>3.25</v>
      </c>
      <c r="F63" s="38">
        <v>0.18</v>
      </c>
      <c r="G63" s="38" t="s">
        <v>22</v>
      </c>
      <c r="H63" s="39" t="s">
        <v>70</v>
      </c>
      <c r="I63" s="40" t="s">
        <v>210</v>
      </c>
      <c r="J63" s="41" t="s">
        <v>80</v>
      </c>
      <c r="K63" s="42" t="s">
        <v>26</v>
      </c>
      <c r="L63" s="42" t="s">
        <v>211</v>
      </c>
      <c r="M63" s="44">
        <v>8.708999E7</v>
      </c>
      <c r="N63" s="44" t="s">
        <v>28</v>
      </c>
      <c r="O63" s="45">
        <v>2.074</v>
      </c>
      <c r="P63" s="44">
        <v>7.898233436368E12</v>
      </c>
      <c r="Q63" s="44">
        <v>1.0</v>
      </c>
    </row>
    <row r="64" ht="15.75" customHeight="1">
      <c r="A64" s="46" t="s">
        <v>212</v>
      </c>
      <c r="B64" s="36">
        <v>225.00891363388098</v>
      </c>
      <c r="C64" s="36">
        <f>'Lista de Preço 02_2022'!$B64*0.9*0.9*0.9*0.9*0.9*0.97</f>
        <v>128.879548</v>
      </c>
      <c r="D64" s="36">
        <f>'Lista de Preço 02_2022'!$C64*1.1712</f>
        <v>150.9437266</v>
      </c>
      <c r="E64" s="37">
        <v>3.25</v>
      </c>
      <c r="F64" s="38">
        <v>0.18</v>
      </c>
      <c r="G64" s="38" t="s">
        <v>22</v>
      </c>
      <c r="H64" s="39" t="s">
        <v>70</v>
      </c>
      <c r="I64" s="40" t="s">
        <v>213</v>
      </c>
      <c r="J64" s="41" t="s">
        <v>80</v>
      </c>
      <c r="K64" s="42" t="s">
        <v>68</v>
      </c>
      <c r="L64" s="42" t="s">
        <v>214</v>
      </c>
      <c r="M64" s="44">
        <v>8.708999E7</v>
      </c>
      <c r="N64" s="44" t="s">
        <v>28</v>
      </c>
      <c r="O64" s="45">
        <v>2.332</v>
      </c>
      <c r="P64" s="44">
        <v>7.898233436382E12</v>
      </c>
      <c r="Q64" s="44">
        <v>1.0</v>
      </c>
    </row>
    <row r="65" ht="15.75" customHeight="1">
      <c r="A65" s="46" t="s">
        <v>215</v>
      </c>
      <c r="B65" s="36">
        <v>164.0090546947727</v>
      </c>
      <c r="C65" s="36">
        <f>'Lista de Preço 02_2022'!$B65*0.9*0.9*0.9*0.9*0.9*0.97</f>
        <v>93.94033551</v>
      </c>
      <c r="D65" s="36">
        <f>'Lista de Preço 02_2022'!$C65*1.1712</f>
        <v>110.0229209</v>
      </c>
      <c r="E65" s="37">
        <v>3.25</v>
      </c>
      <c r="F65" s="38">
        <v>0.18</v>
      </c>
      <c r="G65" s="38" t="s">
        <v>22</v>
      </c>
      <c r="H65" s="39" t="s">
        <v>70</v>
      </c>
      <c r="I65" s="40" t="s">
        <v>216</v>
      </c>
      <c r="J65" s="41" t="s">
        <v>80</v>
      </c>
      <c r="K65" s="42" t="s">
        <v>73</v>
      </c>
      <c r="L65" s="42" t="s">
        <v>217</v>
      </c>
      <c r="M65" s="44">
        <v>8.708999E7</v>
      </c>
      <c r="N65" s="44" t="s">
        <v>28</v>
      </c>
      <c r="O65" s="45">
        <v>1.746</v>
      </c>
      <c r="P65" s="44">
        <v>7.898233436399E12</v>
      </c>
      <c r="Q65" s="44">
        <v>1.0</v>
      </c>
    </row>
    <row r="66" ht="15.75" customHeight="1">
      <c r="A66" s="46" t="s">
        <v>218</v>
      </c>
      <c r="B66" s="36">
        <v>235.21652879066352</v>
      </c>
      <c r="C66" s="36">
        <f>'Lista de Preço 02_2022'!$B66*0.9*0.9*0.9*0.9*0.9*0.97</f>
        <v>134.7262178</v>
      </c>
      <c r="D66" s="36">
        <f>'Lista de Preço 02_2022'!$C66*1.1712</f>
        <v>157.7913463</v>
      </c>
      <c r="E66" s="37">
        <v>3.25</v>
      </c>
      <c r="F66" s="38">
        <v>0.18</v>
      </c>
      <c r="G66" s="38" t="s">
        <v>22</v>
      </c>
      <c r="H66" s="39" t="s">
        <v>70</v>
      </c>
      <c r="I66" s="40" t="s">
        <v>219</v>
      </c>
      <c r="J66" s="41" t="s">
        <v>80</v>
      </c>
      <c r="K66" s="42" t="s">
        <v>26</v>
      </c>
      <c r="L66" s="44">
        <v>1381589.0</v>
      </c>
      <c r="M66" s="44">
        <v>8.708999E7</v>
      </c>
      <c r="N66" s="44" t="s">
        <v>28</v>
      </c>
      <c r="O66" s="45">
        <v>2.204</v>
      </c>
      <c r="P66" s="44">
        <v>7.898233436412E12</v>
      </c>
      <c r="Q66" s="44">
        <v>1.0</v>
      </c>
    </row>
    <row r="67" ht="15.75" customHeight="1">
      <c r="A67" s="46" t="s">
        <v>220</v>
      </c>
      <c r="B67" s="36">
        <v>211.77309518482926</v>
      </c>
      <c r="C67" s="36">
        <f>'Lista de Preço 02_2022'!$B67*0.9*0.9*0.9*0.9*0.9*0.97</f>
        <v>121.2983981</v>
      </c>
      <c r="D67" s="36">
        <f>'Lista de Preço 02_2022'!$C67*1.1712</f>
        <v>142.0646839</v>
      </c>
      <c r="E67" s="37">
        <v>3.25</v>
      </c>
      <c r="F67" s="38">
        <v>0.18</v>
      </c>
      <c r="G67" s="38" t="s">
        <v>22</v>
      </c>
      <c r="H67" s="39" t="s">
        <v>70</v>
      </c>
      <c r="I67" s="40" t="s">
        <v>221</v>
      </c>
      <c r="J67" s="41" t="s">
        <v>80</v>
      </c>
      <c r="K67" s="42" t="s">
        <v>73</v>
      </c>
      <c r="L67" s="42" t="s">
        <v>222</v>
      </c>
      <c r="M67" s="44">
        <v>8.708999E7</v>
      </c>
      <c r="N67" s="44" t="s">
        <v>28</v>
      </c>
      <c r="O67" s="45">
        <v>2.234</v>
      </c>
      <c r="P67" s="44">
        <v>7.898233436429E12</v>
      </c>
      <c r="Q67" s="44">
        <v>1.0</v>
      </c>
    </row>
    <row r="68" ht="15.75" customHeight="1">
      <c r="A68" s="35" t="s">
        <v>223</v>
      </c>
      <c r="B68" s="36">
        <v>3.505518098639245</v>
      </c>
      <c r="C68" s="36">
        <f>'Lista de Preço 02_2022'!$B68*0.9*0.9*0.9*0.9*0.9*0.97</f>
        <v>2.007874181</v>
      </c>
      <c r="D68" s="36">
        <f>'Lista de Preço 02_2022'!$C68*1.1712</f>
        <v>2.35162224</v>
      </c>
      <c r="E68" s="37">
        <v>3.25</v>
      </c>
      <c r="F68" s="38">
        <v>0.18</v>
      </c>
      <c r="G68" s="38" t="s">
        <v>22</v>
      </c>
      <c r="H68" s="39" t="s">
        <v>199</v>
      </c>
      <c r="I68" s="40" t="s">
        <v>224</v>
      </c>
      <c r="J68" s="41" t="s">
        <v>32</v>
      </c>
      <c r="K68" s="42" t="s">
        <v>68</v>
      </c>
      <c r="L68" s="43">
        <v>1.1052751E7</v>
      </c>
      <c r="M68" s="44">
        <v>8.708999E7</v>
      </c>
      <c r="N68" s="44" t="s">
        <v>28</v>
      </c>
      <c r="O68" s="45">
        <v>0.008</v>
      </c>
      <c r="P68" s="44">
        <v>7.898233430618E12</v>
      </c>
      <c r="Q68" s="48">
        <v>10.0</v>
      </c>
    </row>
    <row r="69" ht="15.75" customHeight="1">
      <c r="A69" s="46" t="s">
        <v>225</v>
      </c>
      <c r="B69" s="36">
        <v>233.06549877678222</v>
      </c>
      <c r="C69" s="36">
        <f>'Lista de Preço 02_2022'!$B69*0.9*0.9*0.9*0.9*0.9*0.97</f>
        <v>133.494161</v>
      </c>
      <c r="D69" s="36">
        <f>'Lista de Preço 02_2022'!$C69*1.1712</f>
        <v>156.3483613</v>
      </c>
      <c r="E69" s="37">
        <v>3.25</v>
      </c>
      <c r="F69" s="38">
        <v>0.18</v>
      </c>
      <c r="G69" s="38" t="s">
        <v>22</v>
      </c>
      <c r="H69" s="39" t="s">
        <v>70</v>
      </c>
      <c r="I69" s="40" t="s">
        <v>226</v>
      </c>
      <c r="J69" s="41" t="s">
        <v>80</v>
      </c>
      <c r="K69" s="42" t="s">
        <v>153</v>
      </c>
      <c r="L69" s="42" t="s">
        <v>227</v>
      </c>
      <c r="M69" s="44">
        <v>8.708999E7</v>
      </c>
      <c r="N69" s="44" t="s">
        <v>28</v>
      </c>
      <c r="O69" s="45">
        <v>2.196</v>
      </c>
      <c r="P69" s="44">
        <v>7.898233436085E12</v>
      </c>
      <c r="Q69" s="44">
        <v>1.0</v>
      </c>
    </row>
    <row r="70" ht="15.75" customHeight="1">
      <c r="A70" s="35" t="s">
        <v>228</v>
      </c>
      <c r="B70" s="36">
        <v>473.1878187318859</v>
      </c>
      <c r="C70" s="36">
        <f>'Lista de Preço 02_2022'!$B70*0.9*0.9*0.9*0.9*0.9*0.97</f>
        <v>271.0302948</v>
      </c>
      <c r="D70" s="36">
        <f>'Lista de Preço 02_2022'!$C70*1.1712</f>
        <v>317.4306813</v>
      </c>
      <c r="E70" s="37">
        <v>3.25</v>
      </c>
      <c r="F70" s="38">
        <v>0.18</v>
      </c>
      <c r="G70" s="38" t="s">
        <v>22</v>
      </c>
      <c r="H70" s="39" t="s">
        <v>229</v>
      </c>
      <c r="I70" s="40" t="s">
        <v>230</v>
      </c>
      <c r="J70" s="41" t="s">
        <v>231</v>
      </c>
      <c r="K70" s="42" t="s">
        <v>73</v>
      </c>
      <c r="L70" s="43" t="s">
        <v>232</v>
      </c>
      <c r="M70" s="44">
        <v>8.708999E7</v>
      </c>
      <c r="N70" s="44" t="s">
        <v>28</v>
      </c>
      <c r="O70" s="45">
        <v>4.972</v>
      </c>
      <c r="P70" s="44">
        <v>7.898233436436E12</v>
      </c>
      <c r="Q70" s="44">
        <v>1.0</v>
      </c>
    </row>
    <row r="71" ht="15.75" customHeight="1">
      <c r="A71" s="35" t="s">
        <v>233</v>
      </c>
      <c r="B71" s="36">
        <v>486.16566026998663</v>
      </c>
      <c r="C71" s="36">
        <f>'Lista de Preço 02_2022'!$B71*0.9*0.9*0.9*0.9*0.9*0.97</f>
        <v>278.4636819</v>
      </c>
      <c r="D71" s="36">
        <f>'Lista de Preço 02_2022'!$C71*1.1712</f>
        <v>326.1366643</v>
      </c>
      <c r="E71" s="37">
        <v>3.25</v>
      </c>
      <c r="F71" s="38">
        <v>0.18</v>
      </c>
      <c r="G71" s="38" t="s">
        <v>22</v>
      </c>
      <c r="H71" s="39" t="s">
        <v>229</v>
      </c>
      <c r="I71" s="40" t="s">
        <v>234</v>
      </c>
      <c r="J71" s="41" t="s">
        <v>231</v>
      </c>
      <c r="K71" s="42" t="s">
        <v>73</v>
      </c>
      <c r="L71" s="43" t="s">
        <v>235</v>
      </c>
      <c r="M71" s="44">
        <v>8.708999E7</v>
      </c>
      <c r="N71" s="44" t="s">
        <v>28</v>
      </c>
      <c r="O71" s="45">
        <v>5.766</v>
      </c>
      <c r="P71" s="44">
        <v>7.898233436443E12</v>
      </c>
      <c r="Q71" s="44">
        <v>1.0</v>
      </c>
    </row>
    <row r="72" ht="15.75" customHeight="1">
      <c r="A72" s="35" t="s">
        <v>236</v>
      </c>
      <c r="B72" s="36">
        <v>235.65511542985752</v>
      </c>
      <c r="C72" s="36">
        <f>'Lista de Preço 02_2022'!$B72*0.9*0.9*0.9*0.9*0.9*0.97</f>
        <v>134.9774294</v>
      </c>
      <c r="D72" s="36">
        <f>'Lista de Preço 02_2022'!$C72*1.1712</f>
        <v>158.0855654</v>
      </c>
      <c r="E72" s="37">
        <v>3.25</v>
      </c>
      <c r="F72" s="38">
        <v>0.18</v>
      </c>
      <c r="G72" s="38" t="s">
        <v>22</v>
      </c>
      <c r="H72" s="39" t="s">
        <v>70</v>
      </c>
      <c r="I72" s="40" t="s">
        <v>237</v>
      </c>
      <c r="J72" s="41" t="s">
        <v>72</v>
      </c>
      <c r="K72" s="42" t="s">
        <v>95</v>
      </c>
      <c r="L72" s="43" t="s">
        <v>238</v>
      </c>
      <c r="M72" s="44">
        <v>8.708999E7</v>
      </c>
      <c r="N72" s="44" t="s">
        <v>28</v>
      </c>
      <c r="O72" s="45">
        <v>3.182</v>
      </c>
      <c r="P72" s="44">
        <v>7.89823343645E12</v>
      </c>
      <c r="Q72" s="44">
        <v>1.0</v>
      </c>
    </row>
    <row r="73" ht="15.75" customHeight="1">
      <c r="A73" s="35" t="s">
        <v>239</v>
      </c>
      <c r="B73" s="36">
        <v>329.82673054407405</v>
      </c>
      <c r="C73" s="36">
        <f>'Lista de Preço 02_2022'!$B73*0.9*0.9*0.9*0.9*0.9*0.97</f>
        <v>188.9166045</v>
      </c>
      <c r="D73" s="36">
        <f>'Lista de Preço 02_2022'!$C73*1.1712</f>
        <v>221.2591272</v>
      </c>
      <c r="E73" s="37">
        <v>3.25</v>
      </c>
      <c r="F73" s="38">
        <v>0.18</v>
      </c>
      <c r="G73" s="38" t="s">
        <v>22</v>
      </c>
      <c r="H73" s="39" t="s">
        <v>70</v>
      </c>
      <c r="I73" s="40" t="s">
        <v>240</v>
      </c>
      <c r="J73" s="41" t="s">
        <v>72</v>
      </c>
      <c r="K73" s="42" t="s">
        <v>95</v>
      </c>
      <c r="L73" s="43" t="s">
        <v>241</v>
      </c>
      <c r="M73" s="44">
        <v>8.708999E7</v>
      </c>
      <c r="N73" s="44" t="s">
        <v>28</v>
      </c>
      <c r="O73" s="45">
        <v>4.674</v>
      </c>
      <c r="P73" s="44">
        <v>7.898233436467E12</v>
      </c>
      <c r="Q73" s="44">
        <v>1.0</v>
      </c>
    </row>
    <row r="74" ht="15.75" customHeight="1">
      <c r="A74" s="35" t="s">
        <v>242</v>
      </c>
      <c r="B74" s="36">
        <v>271.33427820556244</v>
      </c>
      <c r="C74" s="36">
        <f>'Lista de Preço 02_2022'!$B74*0.9*0.9*0.9*0.9*0.9*0.97</f>
        <v>155.4135726</v>
      </c>
      <c r="D74" s="36">
        <f>'Lista de Preço 02_2022'!$C74*1.1712</f>
        <v>182.0203762</v>
      </c>
      <c r="E74" s="37">
        <v>3.25</v>
      </c>
      <c r="F74" s="38">
        <v>0.18</v>
      </c>
      <c r="G74" s="38" t="s">
        <v>22</v>
      </c>
      <c r="H74" s="39" t="s">
        <v>70</v>
      </c>
      <c r="I74" s="40" t="s">
        <v>243</v>
      </c>
      <c r="J74" s="41" t="s">
        <v>244</v>
      </c>
      <c r="K74" s="42" t="s">
        <v>86</v>
      </c>
      <c r="L74" s="39" t="s">
        <v>245</v>
      </c>
      <c r="M74" s="44">
        <v>8.708999E7</v>
      </c>
      <c r="N74" s="44" t="s">
        <v>28</v>
      </c>
      <c r="O74" s="45">
        <v>3.256</v>
      </c>
      <c r="P74" s="44">
        <v>7.898233436474E12</v>
      </c>
      <c r="Q74" s="44">
        <v>1.0</v>
      </c>
    </row>
    <row r="75" ht="15.75" customHeight="1">
      <c r="A75" s="35" t="s">
        <v>246</v>
      </c>
      <c r="B75" s="36">
        <v>252.37344304640484</v>
      </c>
      <c r="C75" s="36">
        <f>'Lista de Preço 02_2022'!$B75*0.9*0.9*0.9*0.9*0.9*0.97</f>
        <v>144.5532746</v>
      </c>
      <c r="D75" s="36">
        <f>'Lista de Preço 02_2022'!$C75*1.1712</f>
        <v>169.3007952</v>
      </c>
      <c r="E75" s="37">
        <v>3.25</v>
      </c>
      <c r="F75" s="38">
        <v>0.18</v>
      </c>
      <c r="G75" s="38" t="s">
        <v>22</v>
      </c>
      <c r="H75" s="39" t="s">
        <v>70</v>
      </c>
      <c r="I75" s="40" t="s">
        <v>247</v>
      </c>
      <c r="J75" s="41" t="s">
        <v>80</v>
      </c>
      <c r="K75" s="42" t="s">
        <v>73</v>
      </c>
      <c r="L75" s="43" t="s">
        <v>248</v>
      </c>
      <c r="M75" s="44">
        <v>8.708999E7</v>
      </c>
      <c r="N75" s="44" t="s">
        <v>28</v>
      </c>
      <c r="O75" s="45">
        <v>1.826</v>
      </c>
      <c r="P75" s="44">
        <v>7.898233436481E12</v>
      </c>
      <c r="Q75" s="44">
        <v>1.0</v>
      </c>
    </row>
    <row r="76" ht="15.75" customHeight="1">
      <c r="A76" s="35" t="s">
        <v>249</v>
      </c>
      <c r="B76" s="36">
        <v>195.26882853286673</v>
      </c>
      <c r="C76" s="36">
        <f>'Lista de Preço 02_2022'!$B76*0.9*0.9*0.9*0.9*0.9*0.97</f>
        <v>111.8451618</v>
      </c>
      <c r="D76" s="36">
        <f>'Lista de Preço 02_2022'!$C76*1.1712</f>
        <v>130.9930536</v>
      </c>
      <c r="E76" s="37">
        <v>3.25</v>
      </c>
      <c r="F76" s="38">
        <v>0.18</v>
      </c>
      <c r="G76" s="38" t="s">
        <v>22</v>
      </c>
      <c r="H76" s="39" t="s">
        <v>70</v>
      </c>
      <c r="I76" s="40" t="s">
        <v>250</v>
      </c>
      <c r="J76" s="41" t="s">
        <v>80</v>
      </c>
      <c r="K76" s="42" t="s">
        <v>68</v>
      </c>
      <c r="L76" s="43" t="s">
        <v>251</v>
      </c>
      <c r="M76" s="44">
        <v>8.708999E7</v>
      </c>
      <c r="N76" s="44" t="s">
        <v>28</v>
      </c>
      <c r="O76" s="45">
        <v>1.546</v>
      </c>
      <c r="P76" s="44">
        <v>7.898233436504E12</v>
      </c>
      <c r="Q76" s="44">
        <v>1.0</v>
      </c>
    </row>
    <row r="77" ht="15.75" customHeight="1">
      <c r="A77" s="35" t="s">
        <v>252</v>
      </c>
      <c r="B77" s="36">
        <v>174.9839229598043</v>
      </c>
      <c r="C77" s="36">
        <f>'Lista de Preço 02_2022'!$B77*0.9*0.9*0.9*0.9*0.9*0.97</f>
        <v>100.226469</v>
      </c>
      <c r="D77" s="36">
        <f>'Lista de Preço 02_2022'!$C77*1.1627</f>
        <v>116.5333155</v>
      </c>
      <c r="E77" s="37">
        <v>2.6</v>
      </c>
      <c r="F77" s="38">
        <v>0.18</v>
      </c>
      <c r="G77" s="38" t="s">
        <v>37</v>
      </c>
      <c r="H77" s="39" t="s">
        <v>38</v>
      </c>
      <c r="I77" s="40" t="s">
        <v>253</v>
      </c>
      <c r="J77" s="41" t="s">
        <v>254</v>
      </c>
      <c r="K77" s="42" t="s">
        <v>68</v>
      </c>
      <c r="L77" s="43">
        <v>9.3291219E7</v>
      </c>
      <c r="M77" s="42">
        <v>8.70893E7</v>
      </c>
      <c r="N77" s="44" t="s">
        <v>28</v>
      </c>
      <c r="O77" s="45">
        <v>0.938</v>
      </c>
      <c r="P77" s="44">
        <v>7.898233430625E12</v>
      </c>
      <c r="Q77" s="44">
        <v>1.0</v>
      </c>
    </row>
    <row r="78" ht="15.75" customHeight="1">
      <c r="A78" s="35" t="s">
        <v>255</v>
      </c>
      <c r="B78" s="36">
        <v>238.24473208293287</v>
      </c>
      <c r="C78" s="36">
        <f>'Lista de Preço 02_2022'!$B78*0.9*0.9*0.9*0.9*0.9*0.97</f>
        <v>136.4606979</v>
      </c>
      <c r="D78" s="36">
        <f>'Lista de Preço 02_2022'!$C78*1.1712</f>
        <v>159.8227694</v>
      </c>
      <c r="E78" s="37">
        <v>3.25</v>
      </c>
      <c r="F78" s="38">
        <v>0.18</v>
      </c>
      <c r="G78" s="38" t="s">
        <v>22</v>
      </c>
      <c r="H78" s="39" t="s">
        <v>70</v>
      </c>
      <c r="I78" s="40" t="s">
        <v>256</v>
      </c>
      <c r="J78" s="41" t="s">
        <v>80</v>
      </c>
      <c r="K78" s="42" t="s">
        <v>153</v>
      </c>
      <c r="L78" s="43" t="s">
        <v>257</v>
      </c>
      <c r="M78" s="44">
        <v>8.708999E7</v>
      </c>
      <c r="N78" s="44" t="s">
        <v>28</v>
      </c>
      <c r="O78" s="45">
        <v>1.914</v>
      </c>
      <c r="P78" s="44">
        <v>7.898233436092E12</v>
      </c>
      <c r="Q78" s="44">
        <v>1.0</v>
      </c>
    </row>
    <row r="79" ht="15.75" customHeight="1">
      <c r="A79" s="35" t="s">
        <v>258</v>
      </c>
      <c r="B79" s="36">
        <v>878.886607879296</v>
      </c>
      <c r="C79" s="36">
        <f>'Lista de Preço 02_2022'!$B79*0.9*0.9*0.9*0.9*0.9*0.97</f>
        <v>503.4045405</v>
      </c>
      <c r="D79" s="36">
        <f>'Lista de Preço 02_2022'!$C79*1.1712</f>
        <v>589.5873978</v>
      </c>
      <c r="E79" s="37">
        <v>3.25</v>
      </c>
      <c r="F79" s="38">
        <v>0.18</v>
      </c>
      <c r="G79" s="38" t="s">
        <v>22</v>
      </c>
      <c r="H79" s="39" t="s">
        <v>229</v>
      </c>
      <c r="I79" s="40" t="s">
        <v>259</v>
      </c>
      <c r="J79" s="41" t="s">
        <v>260</v>
      </c>
      <c r="K79" s="42" t="s">
        <v>153</v>
      </c>
      <c r="L79" s="43" t="s">
        <v>261</v>
      </c>
      <c r="M79" s="44">
        <v>8.708999E7</v>
      </c>
      <c r="N79" s="44" t="s">
        <v>28</v>
      </c>
      <c r="O79" s="45">
        <v>11.72</v>
      </c>
      <c r="P79" s="44">
        <v>7.898233436108E12</v>
      </c>
      <c r="Q79" s="44">
        <v>1.0</v>
      </c>
    </row>
    <row r="80" ht="15.75" customHeight="1">
      <c r="A80" s="35" t="s">
        <v>262</v>
      </c>
      <c r="B80" s="36">
        <v>378.55673915075397</v>
      </c>
      <c r="C80" s="36">
        <f>'Lista de Preço 02_2022'!$B80*0.9*0.9*0.9*0.9*0.9*0.97</f>
        <v>216.8279498</v>
      </c>
      <c r="D80" s="36">
        <f>'Lista de Preço 02_2022'!$C80*1.1712</f>
        <v>253.9488948</v>
      </c>
      <c r="E80" s="37">
        <v>3.25</v>
      </c>
      <c r="F80" s="38">
        <v>0.18</v>
      </c>
      <c r="G80" s="38" t="s">
        <v>22</v>
      </c>
      <c r="H80" s="39" t="s">
        <v>70</v>
      </c>
      <c r="I80" s="40" t="s">
        <v>263</v>
      </c>
      <c r="J80" s="41" t="s">
        <v>72</v>
      </c>
      <c r="K80" s="42" t="s">
        <v>95</v>
      </c>
      <c r="L80" s="43" t="s">
        <v>264</v>
      </c>
      <c r="M80" s="44">
        <v>8.708999E7</v>
      </c>
      <c r="N80" s="44" t="s">
        <v>28</v>
      </c>
      <c r="O80" s="45">
        <v>4.418</v>
      </c>
      <c r="P80" s="44">
        <v>7.898233439314E12</v>
      </c>
      <c r="Q80" s="44">
        <v>1.0</v>
      </c>
    </row>
    <row r="81" ht="15.75" customHeight="1">
      <c r="A81" s="35" t="s">
        <v>265</v>
      </c>
      <c r="B81" s="36">
        <v>695.1567927828953</v>
      </c>
      <c r="C81" s="36">
        <f>'Lista de Preço 02_2022'!$B81*0.9*0.9*0.9*0.9*0.9*0.97</f>
        <v>398.1686405</v>
      </c>
      <c r="D81" s="36">
        <f>'Lista de Preço 02_2022'!$C81*1.1712</f>
        <v>466.3351118</v>
      </c>
      <c r="E81" s="37">
        <v>3.25</v>
      </c>
      <c r="F81" s="38">
        <v>0.18</v>
      </c>
      <c r="G81" s="38" t="s">
        <v>22</v>
      </c>
      <c r="H81" s="39" t="s">
        <v>229</v>
      </c>
      <c r="I81" s="40" t="s">
        <v>266</v>
      </c>
      <c r="J81" s="41" t="s">
        <v>260</v>
      </c>
      <c r="K81" s="42" t="s">
        <v>153</v>
      </c>
      <c r="L81" s="43" t="s">
        <v>267</v>
      </c>
      <c r="M81" s="44">
        <v>8.708999E7</v>
      </c>
      <c r="N81" s="44" t="s">
        <v>28</v>
      </c>
      <c r="O81" s="45">
        <v>7.74</v>
      </c>
      <c r="P81" s="44">
        <v>7.898233436115E12</v>
      </c>
      <c r="Q81" s="44">
        <v>1.0</v>
      </c>
    </row>
    <row r="82" ht="15.75" customHeight="1">
      <c r="A82" s="35" t="s">
        <v>268</v>
      </c>
      <c r="B82" s="36">
        <v>724.1553053692397</v>
      </c>
      <c r="C82" s="36">
        <f>'Lista de Preço 02_2022'!$B82*0.9*0.9*0.9*0.9*0.9*0.97</f>
        <v>414.7782723</v>
      </c>
      <c r="D82" s="36">
        <f>'Lista de Preço 02_2022'!$C82*1.1712</f>
        <v>485.7883125</v>
      </c>
      <c r="E82" s="37">
        <v>3.25</v>
      </c>
      <c r="F82" s="38">
        <v>0.18</v>
      </c>
      <c r="G82" s="38" t="s">
        <v>22</v>
      </c>
      <c r="H82" s="39" t="s">
        <v>229</v>
      </c>
      <c r="I82" s="40" t="s">
        <v>269</v>
      </c>
      <c r="J82" s="41" t="s">
        <v>270</v>
      </c>
      <c r="K82" s="42" t="s">
        <v>26</v>
      </c>
      <c r="L82" s="43" t="s">
        <v>271</v>
      </c>
      <c r="M82" s="44">
        <v>8.708999E7</v>
      </c>
      <c r="N82" s="44" t="s">
        <v>28</v>
      </c>
      <c r="O82" s="45">
        <v>7.08</v>
      </c>
      <c r="P82" s="44">
        <v>7.898233436009E12</v>
      </c>
      <c r="Q82" s="44">
        <v>1.0</v>
      </c>
    </row>
    <row r="83" ht="15.75" customHeight="1">
      <c r="A83" s="35" t="s">
        <v>272</v>
      </c>
      <c r="B83" s="36">
        <v>733.631377326372</v>
      </c>
      <c r="C83" s="36">
        <f>'Lista de Preço 02_2022'!$B83*0.9*0.9*0.9*0.9*0.9*0.97</f>
        <v>420.2059322</v>
      </c>
      <c r="D83" s="36">
        <f>'Lista de Preço 02_2022'!$C83*1.1712</f>
        <v>492.1451878</v>
      </c>
      <c r="E83" s="37">
        <v>3.25</v>
      </c>
      <c r="F83" s="38">
        <v>0.18</v>
      </c>
      <c r="G83" s="38" t="s">
        <v>22</v>
      </c>
      <c r="H83" s="39" t="s">
        <v>229</v>
      </c>
      <c r="I83" s="40" t="s">
        <v>269</v>
      </c>
      <c r="J83" s="41" t="s">
        <v>270</v>
      </c>
      <c r="K83" s="42" t="s">
        <v>26</v>
      </c>
      <c r="L83" s="43" t="s">
        <v>273</v>
      </c>
      <c r="M83" s="44">
        <v>8.708999E7</v>
      </c>
      <c r="N83" s="44" t="s">
        <v>28</v>
      </c>
      <c r="O83" s="45">
        <v>7.84</v>
      </c>
      <c r="P83" s="44">
        <v>7.898233436016E12</v>
      </c>
      <c r="Q83" s="44">
        <v>1.0</v>
      </c>
    </row>
    <row r="84" ht="15.75" customHeight="1">
      <c r="A84" s="35" t="s">
        <v>274</v>
      </c>
      <c r="B84" s="36">
        <v>401.7241947844337</v>
      </c>
      <c r="C84" s="36">
        <f>'Lista de Preço 02_2022'!$B84*0.9*0.9*0.9*0.9*0.9*0.97</f>
        <v>230.0976962</v>
      </c>
      <c r="D84" s="36">
        <f>'Lista de Preço 02_2022'!$C84*1.1712</f>
        <v>269.4904218</v>
      </c>
      <c r="E84" s="37">
        <v>3.25</v>
      </c>
      <c r="F84" s="38">
        <v>0.18</v>
      </c>
      <c r="G84" s="38" t="s">
        <v>22</v>
      </c>
      <c r="H84" s="39" t="s">
        <v>229</v>
      </c>
      <c r="I84" s="40" t="s">
        <v>275</v>
      </c>
      <c r="J84" s="41" t="s">
        <v>276</v>
      </c>
      <c r="K84" s="42" t="s">
        <v>277</v>
      </c>
      <c r="L84" s="43" t="s">
        <v>278</v>
      </c>
      <c r="M84" s="44">
        <v>8.708999E7</v>
      </c>
      <c r="N84" s="44" t="s">
        <v>28</v>
      </c>
      <c r="O84" s="45">
        <v>5.9</v>
      </c>
      <c r="P84" s="44">
        <v>7.898233436542E12</v>
      </c>
      <c r="Q84" s="44">
        <v>1.0</v>
      </c>
    </row>
    <row r="85" ht="15.75" customHeight="1">
      <c r="A85" s="35" t="s">
        <v>279</v>
      </c>
      <c r="B85" s="36">
        <v>446.62278126034107</v>
      </c>
      <c r="C85" s="36">
        <f>'Lista de Preço 02_2022'!$B85*0.9*0.9*0.9*0.9*0.9*0.97</f>
        <v>255.8144975</v>
      </c>
      <c r="D85" s="36">
        <f>'Lista de Preço 02_2022'!$C85*1.1712</f>
        <v>299.6099395</v>
      </c>
      <c r="E85" s="37">
        <v>3.25</v>
      </c>
      <c r="F85" s="38">
        <v>0.18</v>
      </c>
      <c r="G85" s="38" t="s">
        <v>22</v>
      </c>
      <c r="H85" s="39" t="s">
        <v>229</v>
      </c>
      <c r="I85" s="40" t="s">
        <v>275</v>
      </c>
      <c r="J85" s="41" t="s">
        <v>276</v>
      </c>
      <c r="K85" s="42" t="s">
        <v>277</v>
      </c>
      <c r="L85" s="43" t="s">
        <v>278</v>
      </c>
      <c r="M85" s="44">
        <v>8.708999E7</v>
      </c>
      <c r="N85" s="44" t="s">
        <v>28</v>
      </c>
      <c r="O85" s="45">
        <v>8.72</v>
      </c>
      <c r="P85" s="44">
        <v>7.898233436559E12</v>
      </c>
      <c r="Q85" s="44">
        <v>1.0</v>
      </c>
    </row>
    <row r="86" ht="15.75" customHeight="1">
      <c r="A86" s="35" t="s">
        <v>280</v>
      </c>
      <c r="B86" s="36">
        <v>786.9531215143187</v>
      </c>
      <c r="C86" s="36">
        <f>'Lista de Preço 02_2022'!$B86*0.9*0.9*0.9*0.9*0.9*0.97</f>
        <v>450.7473103</v>
      </c>
      <c r="D86" s="36">
        <f>'Lista de Preço 02_2022'!$C86*1.1712</f>
        <v>527.9152498</v>
      </c>
      <c r="E86" s="37">
        <v>3.25</v>
      </c>
      <c r="F86" s="38">
        <v>0.18</v>
      </c>
      <c r="G86" s="38" t="s">
        <v>22</v>
      </c>
      <c r="H86" s="39" t="s">
        <v>229</v>
      </c>
      <c r="I86" s="40" t="s">
        <v>281</v>
      </c>
      <c r="J86" s="41" t="s">
        <v>270</v>
      </c>
      <c r="K86" s="42" t="s">
        <v>282</v>
      </c>
      <c r="L86" s="43" t="s">
        <v>283</v>
      </c>
      <c r="M86" s="44">
        <v>8.708999E7</v>
      </c>
      <c r="N86" s="44" t="s">
        <v>28</v>
      </c>
      <c r="O86" s="45">
        <v>6.86</v>
      </c>
      <c r="P86" s="44">
        <v>7.898233436047E12</v>
      </c>
      <c r="Q86" s="44">
        <v>1.0</v>
      </c>
    </row>
    <row r="87" ht="15.75" customHeight="1">
      <c r="A87" s="35" t="s">
        <v>284</v>
      </c>
      <c r="B87" s="36">
        <v>258.85317861079136</v>
      </c>
      <c r="C87" s="36">
        <f>'Lista de Preço 02_2022'!$B87*0.9*0.9*0.9*0.9*0.9*0.97</f>
        <v>148.264707</v>
      </c>
      <c r="D87" s="36">
        <f>'Lista de Preço 02_2022'!$C87*1.1712</f>
        <v>173.6476249</v>
      </c>
      <c r="E87" s="37">
        <v>3.25</v>
      </c>
      <c r="F87" s="38">
        <v>0.18</v>
      </c>
      <c r="G87" s="38" t="s">
        <v>22</v>
      </c>
      <c r="H87" s="39" t="s">
        <v>65</v>
      </c>
      <c r="I87" s="40" t="s">
        <v>285</v>
      </c>
      <c r="J87" s="41" t="s">
        <v>67</v>
      </c>
      <c r="K87" s="42" t="s">
        <v>68</v>
      </c>
      <c r="L87" s="43">
        <v>902503.0</v>
      </c>
      <c r="M87" s="44">
        <v>8.708999E7</v>
      </c>
      <c r="N87" s="44" t="s">
        <v>28</v>
      </c>
      <c r="O87" s="45">
        <v>2.784</v>
      </c>
      <c r="P87" s="44">
        <v>7.898233432865E12</v>
      </c>
      <c r="Q87" s="44">
        <v>1.0</v>
      </c>
    </row>
    <row r="88" ht="15.75" customHeight="1">
      <c r="A88" s="35" t="s">
        <v>286</v>
      </c>
      <c r="B88" s="36">
        <v>785.2110737783551</v>
      </c>
      <c r="C88" s="36">
        <f>'Lista de Preço 02_2022'!$B88*0.9*0.9*0.9*0.9*0.9*0.97</f>
        <v>449.7495083</v>
      </c>
      <c r="D88" s="36">
        <f>'Lista de Preço 02_2022'!$C88*1.1712</f>
        <v>526.7466242</v>
      </c>
      <c r="E88" s="37">
        <v>3.25</v>
      </c>
      <c r="F88" s="38">
        <v>0.18</v>
      </c>
      <c r="G88" s="38" t="s">
        <v>22</v>
      </c>
      <c r="H88" s="39" t="s">
        <v>229</v>
      </c>
      <c r="I88" s="40" t="s">
        <v>287</v>
      </c>
      <c r="J88" s="41" t="s">
        <v>270</v>
      </c>
      <c r="K88" s="42" t="s">
        <v>282</v>
      </c>
      <c r="L88" s="43" t="s">
        <v>288</v>
      </c>
      <c r="M88" s="44">
        <v>8.708999E7</v>
      </c>
      <c r="N88" s="44" t="s">
        <v>28</v>
      </c>
      <c r="O88" s="45">
        <v>6.94</v>
      </c>
      <c r="P88" s="44">
        <v>7.898233436054E12</v>
      </c>
      <c r="Q88" s="44">
        <v>1.0</v>
      </c>
    </row>
    <row r="89" ht="15.75" customHeight="1">
      <c r="A89" s="35" t="s">
        <v>289</v>
      </c>
      <c r="B89" s="36">
        <v>791.6805833963251</v>
      </c>
      <c r="C89" s="36">
        <f>'Lista de Preço 02_2022'!$B89*0.9*0.9*0.9*0.9*0.9*0.97</f>
        <v>453.4550837</v>
      </c>
      <c r="D89" s="36">
        <f>'Lista de Preço 02_2022'!$C89*1.1712</f>
        <v>531.086594</v>
      </c>
      <c r="E89" s="37">
        <v>3.25</v>
      </c>
      <c r="F89" s="38">
        <v>0.18</v>
      </c>
      <c r="G89" s="38" t="s">
        <v>22</v>
      </c>
      <c r="H89" s="39" t="s">
        <v>229</v>
      </c>
      <c r="I89" s="40" t="s">
        <v>290</v>
      </c>
      <c r="J89" s="41" t="s">
        <v>270</v>
      </c>
      <c r="K89" s="42" t="s">
        <v>86</v>
      </c>
      <c r="L89" s="43" t="s">
        <v>291</v>
      </c>
      <c r="M89" s="44">
        <v>8.708999E7</v>
      </c>
      <c r="N89" s="44" t="s">
        <v>28</v>
      </c>
      <c r="O89" s="45">
        <v>10.68</v>
      </c>
      <c r="P89" s="44">
        <v>7.898233436153E12</v>
      </c>
      <c r="Q89" s="44">
        <v>1.0</v>
      </c>
    </row>
    <row r="90" ht="15.75" customHeight="1">
      <c r="A90" s="35" t="s">
        <v>292</v>
      </c>
      <c r="B90" s="36">
        <v>776.9468931476256</v>
      </c>
      <c r="C90" s="36">
        <f>'Lista de Preço 02_2022'!$B90*0.9*0.9*0.9*0.9*0.9*0.97</f>
        <v>445.0159898</v>
      </c>
      <c r="D90" s="36">
        <f>'Lista de Preço 02_2022'!$C90*1.1712</f>
        <v>521.2027273</v>
      </c>
      <c r="E90" s="37">
        <v>3.25</v>
      </c>
      <c r="F90" s="38">
        <v>0.18</v>
      </c>
      <c r="G90" s="38" t="s">
        <v>22</v>
      </c>
      <c r="H90" s="39" t="s">
        <v>229</v>
      </c>
      <c r="I90" s="40" t="s">
        <v>293</v>
      </c>
      <c r="J90" s="41" t="s">
        <v>270</v>
      </c>
      <c r="K90" s="42" t="s">
        <v>294</v>
      </c>
      <c r="L90" s="43" t="s">
        <v>295</v>
      </c>
      <c r="M90" s="44">
        <v>8.708999E7</v>
      </c>
      <c r="N90" s="44" t="s">
        <v>28</v>
      </c>
      <c r="O90" s="45">
        <v>8.24</v>
      </c>
      <c r="P90" s="44">
        <v>7.898233436061E12</v>
      </c>
      <c r="Q90" s="44">
        <v>1.0</v>
      </c>
    </row>
    <row r="91" ht="15.75" customHeight="1">
      <c r="A91" s="35" t="s">
        <v>296</v>
      </c>
      <c r="B91" s="36">
        <v>690.7235802589163</v>
      </c>
      <c r="C91" s="36">
        <f>'Lista de Preço 02_2022'!$B91*0.9*0.9*0.9*0.9*0.9*0.97</f>
        <v>395.6294059</v>
      </c>
      <c r="D91" s="36">
        <f>'Lista de Preço 02_2022'!$C91*1.1712</f>
        <v>463.3611602</v>
      </c>
      <c r="E91" s="37">
        <v>3.25</v>
      </c>
      <c r="F91" s="38">
        <v>0.18</v>
      </c>
      <c r="G91" s="38" t="s">
        <v>22</v>
      </c>
      <c r="H91" s="39" t="s">
        <v>229</v>
      </c>
      <c r="I91" s="40" t="s">
        <v>297</v>
      </c>
      <c r="J91" s="41" t="s">
        <v>270</v>
      </c>
      <c r="K91" s="42" t="s">
        <v>68</v>
      </c>
      <c r="L91" s="43" t="s">
        <v>298</v>
      </c>
      <c r="M91" s="44">
        <v>8.708999E7</v>
      </c>
      <c r="N91" s="44" t="s">
        <v>28</v>
      </c>
      <c r="O91" s="45">
        <v>7.02</v>
      </c>
      <c r="P91" s="44">
        <v>7.898233436023E12</v>
      </c>
      <c r="Q91" s="44">
        <v>1.0</v>
      </c>
    </row>
    <row r="92" ht="15.75" customHeight="1">
      <c r="A92" s="35" t="s">
        <v>299</v>
      </c>
      <c r="B92" s="36">
        <v>725.2597592718621</v>
      </c>
      <c r="C92" s="36">
        <f>'Lista de Preço 02_2022'!$B92*0.9*0.9*0.9*0.9*0.9*0.97</f>
        <v>415.4108762</v>
      </c>
      <c r="D92" s="36">
        <f>'Lista de Preço 02_2022'!$C92*1.1712</f>
        <v>486.5292182</v>
      </c>
      <c r="E92" s="37">
        <v>3.25</v>
      </c>
      <c r="F92" s="38">
        <v>0.18</v>
      </c>
      <c r="G92" s="38" t="s">
        <v>22</v>
      </c>
      <c r="H92" s="39" t="s">
        <v>229</v>
      </c>
      <c r="I92" s="40" t="s">
        <v>297</v>
      </c>
      <c r="J92" s="41" t="s">
        <v>270</v>
      </c>
      <c r="K92" s="42" t="s">
        <v>68</v>
      </c>
      <c r="L92" s="43">
        <v>2.6055052E7</v>
      </c>
      <c r="M92" s="44">
        <v>8.708999E7</v>
      </c>
      <c r="N92" s="44" t="s">
        <v>28</v>
      </c>
      <c r="O92" s="45">
        <v>7.54</v>
      </c>
      <c r="P92" s="44">
        <v>7.89823343603E12</v>
      </c>
      <c r="Q92" s="44">
        <v>1.0</v>
      </c>
    </row>
    <row r="93" ht="15.75" customHeight="1">
      <c r="A93" s="35" t="s">
        <v>300</v>
      </c>
      <c r="B93" s="36">
        <v>760.9487780988536</v>
      </c>
      <c r="C93" s="36">
        <f>'Lista de Preço 02_2022'!$B93*0.9*0.9*0.9*0.9*0.9*0.97</f>
        <v>435.8526647</v>
      </c>
      <c r="D93" s="36">
        <f>'Lista de Preço 02_2022'!$C93*1.1712</f>
        <v>510.4706409</v>
      </c>
      <c r="E93" s="37">
        <v>3.25</v>
      </c>
      <c r="F93" s="38">
        <v>0.18</v>
      </c>
      <c r="G93" s="38" t="s">
        <v>37</v>
      </c>
      <c r="H93" s="39" t="s">
        <v>229</v>
      </c>
      <c r="I93" s="40" t="s">
        <v>301</v>
      </c>
      <c r="J93" s="41" t="s">
        <v>302</v>
      </c>
      <c r="K93" s="42" t="s">
        <v>303</v>
      </c>
      <c r="L93" s="43" t="s">
        <v>304</v>
      </c>
      <c r="M93" s="42">
        <v>8.708999E7</v>
      </c>
      <c r="N93" s="44" t="s">
        <v>28</v>
      </c>
      <c r="O93" s="45">
        <v>9.26</v>
      </c>
      <c r="P93" s="44">
        <v>7.898233436566E12</v>
      </c>
      <c r="Q93" s="44">
        <v>1.0</v>
      </c>
    </row>
    <row r="94" ht="15.75" customHeight="1">
      <c r="A94" s="35" t="s">
        <v>305</v>
      </c>
      <c r="B94" s="36">
        <v>586.0447076855269</v>
      </c>
      <c r="C94" s="36">
        <f>'Lista de Preço 02_2022'!$B94*0.9*0.9*0.9*0.9*0.9*0.97</f>
        <v>335.6719333</v>
      </c>
      <c r="D94" s="36">
        <f>'Lista de Preço 02_2022'!$C94*1.1712</f>
        <v>393.1389682</v>
      </c>
      <c r="E94" s="37">
        <v>3.25</v>
      </c>
      <c r="F94" s="38">
        <v>0.18</v>
      </c>
      <c r="G94" s="38" t="s">
        <v>22</v>
      </c>
      <c r="H94" s="39" t="s">
        <v>229</v>
      </c>
      <c r="I94" s="40" t="s">
        <v>306</v>
      </c>
      <c r="J94" s="41" t="s">
        <v>270</v>
      </c>
      <c r="K94" s="42" t="s">
        <v>26</v>
      </c>
      <c r="L94" s="43" t="s">
        <v>307</v>
      </c>
      <c r="M94" s="44">
        <v>8.708999E7</v>
      </c>
      <c r="N94" s="44" t="s">
        <v>28</v>
      </c>
      <c r="O94" s="45">
        <v>7.06</v>
      </c>
      <c r="P94" s="44">
        <v>7.898233436122E12</v>
      </c>
      <c r="Q94" s="44">
        <v>1.0</v>
      </c>
    </row>
    <row r="95" ht="15.75" customHeight="1">
      <c r="A95" s="35" t="s">
        <v>308</v>
      </c>
      <c r="B95" s="36">
        <v>603.6260489160927</v>
      </c>
      <c r="C95" s="36">
        <f>'Lista de Preço 02_2022'!$B95*0.9*0.9*0.9*0.9*0.9*0.97</f>
        <v>345.7420913</v>
      </c>
      <c r="D95" s="36">
        <f>'Lista de Preço 02_2022'!$C95*1.1712</f>
        <v>404.9331373</v>
      </c>
      <c r="E95" s="37">
        <v>3.25</v>
      </c>
      <c r="F95" s="38">
        <v>0.18</v>
      </c>
      <c r="G95" s="38" t="s">
        <v>22</v>
      </c>
      <c r="H95" s="39" t="s">
        <v>229</v>
      </c>
      <c r="I95" s="40" t="s">
        <v>306</v>
      </c>
      <c r="J95" s="41" t="s">
        <v>270</v>
      </c>
      <c r="K95" s="42" t="s">
        <v>26</v>
      </c>
      <c r="L95" s="43" t="s">
        <v>309</v>
      </c>
      <c r="M95" s="44">
        <v>8.708999E7</v>
      </c>
      <c r="N95" s="44" t="s">
        <v>28</v>
      </c>
      <c r="O95" s="45">
        <v>7.6</v>
      </c>
      <c r="P95" s="44">
        <v>7.898233436139E12</v>
      </c>
      <c r="Q95" s="44">
        <v>1.0</v>
      </c>
    </row>
    <row r="96" ht="15.75" customHeight="1">
      <c r="A96" s="35" t="s">
        <v>310</v>
      </c>
      <c r="B96" s="36">
        <v>210.33441926645398</v>
      </c>
      <c r="C96" s="36">
        <f>'Lista de Preço 02_2022'!$B96*0.9*0.9*0.9*0.9*0.9*0.97</f>
        <v>120.4743601</v>
      </c>
      <c r="D96" s="36">
        <f>'Lista de Preço 02_2022'!$C96*1.1712</f>
        <v>141.0995705</v>
      </c>
      <c r="E96" s="37">
        <v>3.25</v>
      </c>
      <c r="F96" s="38">
        <v>0.18</v>
      </c>
      <c r="G96" s="38" t="s">
        <v>22</v>
      </c>
      <c r="H96" s="39" t="s">
        <v>70</v>
      </c>
      <c r="I96" s="40" t="s">
        <v>311</v>
      </c>
      <c r="J96" s="41" t="s">
        <v>80</v>
      </c>
      <c r="K96" s="42" t="s">
        <v>157</v>
      </c>
      <c r="L96" s="43" t="s">
        <v>312</v>
      </c>
      <c r="M96" s="44">
        <v>8.708999E7</v>
      </c>
      <c r="N96" s="44" t="s">
        <v>28</v>
      </c>
      <c r="O96" s="45">
        <v>2.088</v>
      </c>
      <c r="P96" s="44">
        <v>7.898233436146E12</v>
      </c>
      <c r="Q96" s="44">
        <v>1.0</v>
      </c>
    </row>
    <row r="97" ht="15.75" customHeight="1">
      <c r="A97" s="35" t="s">
        <v>313</v>
      </c>
      <c r="B97" s="36">
        <v>217.28551489227016</v>
      </c>
      <c r="C97" s="36">
        <f>'Lista de Preço 02_2022'!$B97*0.9*0.9*0.9*0.9*0.9*0.97</f>
        <v>124.455776</v>
      </c>
      <c r="D97" s="36">
        <f>'Lista de Preço 02_2022'!$C97*1.1712</f>
        <v>145.7626048</v>
      </c>
      <c r="E97" s="37">
        <v>3.25</v>
      </c>
      <c r="F97" s="38">
        <v>0.18</v>
      </c>
      <c r="G97" s="38" t="s">
        <v>22</v>
      </c>
      <c r="H97" s="39" t="s">
        <v>65</v>
      </c>
      <c r="I97" s="40" t="s">
        <v>314</v>
      </c>
      <c r="J97" s="41" t="s">
        <v>67</v>
      </c>
      <c r="K97" s="42" t="s">
        <v>68</v>
      </c>
      <c r="L97" s="43">
        <v>9.0235029E7</v>
      </c>
      <c r="M97" s="44">
        <v>8.708999E7</v>
      </c>
      <c r="N97" s="44" t="s">
        <v>28</v>
      </c>
      <c r="O97" s="45">
        <v>2.876</v>
      </c>
      <c r="P97" s="44">
        <v>7.898233432872E12</v>
      </c>
      <c r="Q97" s="44">
        <v>1.0</v>
      </c>
    </row>
    <row r="98" ht="15.75" customHeight="1">
      <c r="A98" s="35" t="s">
        <v>315</v>
      </c>
      <c r="B98" s="36">
        <v>218.39100440935516</v>
      </c>
      <c r="C98" s="36">
        <f>'Lista de Preço 02_2022'!$B98*0.9*0.9*0.9*0.9*0.9*0.97</f>
        <v>125.0889731</v>
      </c>
      <c r="D98" s="36">
        <f>'Lista de Preço 02_2022'!$C98*1.1712</f>
        <v>146.5042053</v>
      </c>
      <c r="E98" s="37">
        <v>3.25</v>
      </c>
      <c r="F98" s="38">
        <v>0.18</v>
      </c>
      <c r="G98" s="38" t="s">
        <v>22</v>
      </c>
      <c r="H98" s="39" t="s">
        <v>70</v>
      </c>
      <c r="I98" s="40" t="s">
        <v>316</v>
      </c>
      <c r="J98" s="41" t="s">
        <v>80</v>
      </c>
      <c r="K98" s="42" t="s">
        <v>95</v>
      </c>
      <c r="L98" s="43" t="s">
        <v>317</v>
      </c>
      <c r="M98" s="44">
        <v>8.708999E7</v>
      </c>
      <c r="N98" s="44" t="s">
        <v>28</v>
      </c>
      <c r="O98" s="45">
        <v>1.754</v>
      </c>
      <c r="P98" s="44">
        <v>7.8982334369E12</v>
      </c>
      <c r="Q98" s="44">
        <v>1.0</v>
      </c>
    </row>
    <row r="99" ht="15.75" customHeight="1">
      <c r="A99" s="35" t="s">
        <v>318</v>
      </c>
      <c r="B99" s="36">
        <v>191.91936751125158</v>
      </c>
      <c r="C99" s="36">
        <f>'Lista de Preço 02_2022'!$B99*0.9*0.9*0.9*0.9*0.9*0.97</f>
        <v>109.9266733</v>
      </c>
      <c r="D99" s="36">
        <f>'Lista de Preço 02_2022'!$C99*1.1712</f>
        <v>128.7461198</v>
      </c>
      <c r="E99" s="37">
        <v>3.25</v>
      </c>
      <c r="F99" s="38">
        <v>0.18</v>
      </c>
      <c r="G99" s="38" t="s">
        <v>22</v>
      </c>
      <c r="H99" s="39" t="s">
        <v>70</v>
      </c>
      <c r="I99" s="40" t="s">
        <v>319</v>
      </c>
      <c r="J99" s="41" t="s">
        <v>80</v>
      </c>
      <c r="K99" s="42" t="s">
        <v>95</v>
      </c>
      <c r="L99" s="43" t="s">
        <v>320</v>
      </c>
      <c r="M99" s="44">
        <v>8.708999E7</v>
      </c>
      <c r="N99" s="44" t="s">
        <v>28</v>
      </c>
      <c r="O99" s="45">
        <v>2.054</v>
      </c>
      <c r="P99" s="44">
        <v>7.898233436917E12</v>
      </c>
      <c r="Q99" s="44">
        <v>1.0</v>
      </c>
    </row>
    <row r="100" ht="15.75" customHeight="1">
      <c r="A100" s="35" t="s">
        <v>321</v>
      </c>
      <c r="B100" s="36">
        <v>186.3294830206326</v>
      </c>
      <c r="C100" s="36">
        <f>'Lista de Preço 02_2022'!$B100*0.9*0.9*0.9*0.9*0.9*0.97</f>
        <v>106.7249255</v>
      </c>
      <c r="D100" s="36">
        <f>'Lista de Preço 02_2022'!$C100*1.1712</f>
        <v>124.9962328</v>
      </c>
      <c r="E100" s="37">
        <v>3.25</v>
      </c>
      <c r="F100" s="38">
        <v>0.18</v>
      </c>
      <c r="G100" s="38" t="s">
        <v>22</v>
      </c>
      <c r="H100" s="39" t="s">
        <v>70</v>
      </c>
      <c r="I100" s="40" t="s">
        <v>322</v>
      </c>
      <c r="J100" s="41" t="s">
        <v>80</v>
      </c>
      <c r="K100" s="42" t="s">
        <v>95</v>
      </c>
      <c r="L100" s="43" t="s">
        <v>323</v>
      </c>
      <c r="M100" s="44">
        <v>8.708999E7</v>
      </c>
      <c r="N100" s="44" t="s">
        <v>28</v>
      </c>
      <c r="O100" s="45">
        <v>2.192</v>
      </c>
      <c r="P100" s="44">
        <v>7.898233436924E12</v>
      </c>
      <c r="Q100" s="44">
        <v>1.0</v>
      </c>
    </row>
    <row r="101" ht="15.75" customHeight="1">
      <c r="A101" s="35" t="s">
        <v>324</v>
      </c>
      <c r="B101" s="36">
        <v>182.71184163365024</v>
      </c>
      <c r="C101" s="36">
        <f>'Lista de Preço 02_2022'!$B101*0.9*0.9*0.9*0.9*0.9*0.97</f>
        <v>104.6528299</v>
      </c>
      <c r="D101" s="36">
        <f>'Lista de Preço 02_2022'!$C101*1.1712</f>
        <v>122.5693944</v>
      </c>
      <c r="E101" s="37">
        <v>3.25</v>
      </c>
      <c r="F101" s="38">
        <v>0.18</v>
      </c>
      <c r="G101" s="38" t="s">
        <v>22</v>
      </c>
      <c r="H101" s="39" t="s">
        <v>70</v>
      </c>
      <c r="I101" s="40" t="s">
        <v>325</v>
      </c>
      <c r="J101" s="41" t="s">
        <v>244</v>
      </c>
      <c r="K101" s="42" t="s">
        <v>95</v>
      </c>
      <c r="L101" s="43" t="s">
        <v>326</v>
      </c>
      <c r="M101" s="44">
        <v>8.708999E7</v>
      </c>
      <c r="N101" s="44" t="s">
        <v>28</v>
      </c>
      <c r="O101" s="45">
        <v>1.942</v>
      </c>
      <c r="P101" s="44">
        <v>7.898233436931E12</v>
      </c>
      <c r="Q101" s="44">
        <v>1.0</v>
      </c>
    </row>
    <row r="102" ht="15.75" customHeight="1">
      <c r="A102" s="35" t="s">
        <v>327</v>
      </c>
      <c r="B102" s="36">
        <v>198.012045844942</v>
      </c>
      <c r="C102" s="36">
        <f>'Lista de Preço 02_2022'!$B102*0.9*0.9*0.9*0.9*0.9*0.97</f>
        <v>113.416409</v>
      </c>
      <c r="D102" s="36">
        <f>'Lista de Preço 02_2022'!$C102*1.1712</f>
        <v>132.8332982</v>
      </c>
      <c r="E102" s="37">
        <v>3.25</v>
      </c>
      <c r="F102" s="38">
        <v>0.18</v>
      </c>
      <c r="G102" s="38" t="s">
        <v>22</v>
      </c>
      <c r="H102" s="39" t="s">
        <v>70</v>
      </c>
      <c r="I102" s="40" t="s">
        <v>328</v>
      </c>
      <c r="J102" s="41" t="s">
        <v>80</v>
      </c>
      <c r="K102" s="42" t="s">
        <v>95</v>
      </c>
      <c r="L102" s="43" t="s">
        <v>329</v>
      </c>
      <c r="M102" s="44">
        <v>8.708999E7</v>
      </c>
      <c r="N102" s="44" t="s">
        <v>28</v>
      </c>
      <c r="O102" s="45">
        <v>1.828</v>
      </c>
      <c r="P102" s="44">
        <v>7.898233436948E12</v>
      </c>
      <c r="Q102" s="44">
        <v>1.0</v>
      </c>
    </row>
    <row r="103" ht="15.75" customHeight="1">
      <c r="A103" s="35" t="s">
        <v>330</v>
      </c>
      <c r="B103" s="36">
        <v>193.81019871825887</v>
      </c>
      <c r="C103" s="36">
        <f>'Lista de Preço 02_2022'!$B103*0.9*0.9*0.9*0.9*0.9*0.97</f>
        <v>111.0096947</v>
      </c>
      <c r="D103" s="36">
        <f>'Lista de Preço 02_2022'!$C103*1.1712</f>
        <v>130.0145544</v>
      </c>
      <c r="E103" s="37">
        <v>3.25</v>
      </c>
      <c r="F103" s="38">
        <v>0.18</v>
      </c>
      <c r="G103" s="38" t="s">
        <v>22</v>
      </c>
      <c r="H103" s="39" t="s">
        <v>70</v>
      </c>
      <c r="I103" s="40" t="s">
        <v>331</v>
      </c>
      <c r="J103" s="41" t="s">
        <v>80</v>
      </c>
      <c r="K103" s="42" t="s">
        <v>95</v>
      </c>
      <c r="L103" s="43" t="s">
        <v>332</v>
      </c>
      <c r="M103" s="44">
        <v>8.708999E7</v>
      </c>
      <c r="N103" s="44" t="s">
        <v>28</v>
      </c>
      <c r="O103" s="45">
        <v>1.938</v>
      </c>
      <c r="P103" s="44">
        <v>7.898233436955E12</v>
      </c>
      <c r="Q103" s="44">
        <v>1.0</v>
      </c>
    </row>
    <row r="104" ht="15.75" customHeight="1">
      <c r="A104" s="35" t="s">
        <v>333</v>
      </c>
      <c r="B104" s="36">
        <v>218.45525595522426</v>
      </c>
      <c r="C104" s="36">
        <f>'Lista de Preço 02_2022'!$B104*0.9*0.9*0.9*0.9*0.9*0.97</f>
        <v>125.1257748</v>
      </c>
      <c r="D104" s="36">
        <f>'Lista de Preço 02_2022'!$C104*1.1712</f>
        <v>146.5473074</v>
      </c>
      <c r="E104" s="37">
        <v>3.25</v>
      </c>
      <c r="F104" s="38">
        <v>0.18</v>
      </c>
      <c r="G104" s="38" t="s">
        <v>22</v>
      </c>
      <c r="H104" s="39" t="s">
        <v>70</v>
      </c>
      <c r="I104" s="40" t="s">
        <v>334</v>
      </c>
      <c r="J104" s="41" t="s">
        <v>80</v>
      </c>
      <c r="K104" s="42" t="s">
        <v>95</v>
      </c>
      <c r="L104" s="43" t="s">
        <v>335</v>
      </c>
      <c r="M104" s="44">
        <v>8.708999E7</v>
      </c>
      <c r="N104" s="44" t="s">
        <v>28</v>
      </c>
      <c r="O104" s="45">
        <v>2.402</v>
      </c>
      <c r="P104" s="44">
        <v>7.898233436962E12</v>
      </c>
      <c r="Q104" s="44">
        <v>1.0</v>
      </c>
    </row>
    <row r="105" ht="15.75" customHeight="1">
      <c r="A105" s="35" t="s">
        <v>336</v>
      </c>
      <c r="B105" s="36">
        <v>65.44005549816112</v>
      </c>
      <c r="C105" s="36">
        <f>'Lista de Preço 02_2022'!$B105*0.9*0.9*0.9*0.9*0.9*0.97</f>
        <v>37.48244742</v>
      </c>
      <c r="D105" s="36">
        <f>'Lista de Preço 02_2022'!$C105*1.1627</f>
        <v>43.58084162</v>
      </c>
      <c r="E105" s="37">
        <v>2.6</v>
      </c>
      <c r="F105" s="38">
        <v>0.18</v>
      </c>
      <c r="G105" s="38" t="s">
        <v>22</v>
      </c>
      <c r="H105" s="39" t="s">
        <v>38</v>
      </c>
      <c r="I105" s="40" t="s">
        <v>337</v>
      </c>
      <c r="J105" s="41" t="s">
        <v>338</v>
      </c>
      <c r="K105" s="42" t="s">
        <v>68</v>
      </c>
      <c r="L105" s="43">
        <v>9.46602864E8</v>
      </c>
      <c r="M105" s="44">
        <v>8.70893E7</v>
      </c>
      <c r="N105" s="44" t="s">
        <v>28</v>
      </c>
      <c r="O105" s="45">
        <v>0.418</v>
      </c>
      <c r="P105" s="44">
        <v>7.898233430632E12</v>
      </c>
      <c r="Q105" s="44">
        <v>1.0</v>
      </c>
    </row>
    <row r="106" ht="15.75" customHeight="1">
      <c r="A106" s="35" t="s">
        <v>339</v>
      </c>
      <c r="B106" s="36">
        <v>198.5372767357774</v>
      </c>
      <c r="C106" s="36">
        <f>'Lista de Preço 02_2022'!$B106*0.9*0.9*0.9*0.9*0.9*0.97</f>
        <v>113.7172482</v>
      </c>
      <c r="D106" s="36">
        <f>'Lista de Preço 02_2022'!$C106*1.1712</f>
        <v>133.1856411</v>
      </c>
      <c r="E106" s="37">
        <v>3.25</v>
      </c>
      <c r="F106" s="38">
        <v>0.18</v>
      </c>
      <c r="G106" s="38" t="s">
        <v>22</v>
      </c>
      <c r="H106" s="39" t="s">
        <v>70</v>
      </c>
      <c r="I106" s="40" t="s">
        <v>340</v>
      </c>
      <c r="J106" s="41" t="s">
        <v>80</v>
      </c>
      <c r="K106" s="42" t="s">
        <v>26</v>
      </c>
      <c r="L106" s="43" t="s">
        <v>341</v>
      </c>
      <c r="M106" s="44">
        <v>8.708999E7</v>
      </c>
      <c r="N106" s="44" t="s">
        <v>28</v>
      </c>
      <c r="O106" s="45">
        <v>1.868</v>
      </c>
      <c r="P106" s="44">
        <v>7.898233436993E12</v>
      </c>
      <c r="Q106" s="44">
        <v>1.0</v>
      </c>
    </row>
    <row r="107" ht="15.75" customHeight="1">
      <c r="A107" s="35" t="s">
        <v>342</v>
      </c>
      <c r="B107" s="36">
        <v>186.6168191263829</v>
      </c>
      <c r="C107" s="36">
        <f>'Lista de Preço 02_2022'!$B107*0.9*0.9*0.9*0.9*0.9*0.97</f>
        <v>106.8895046</v>
      </c>
      <c r="D107" s="36">
        <f>'Lista de Preço 02_2022'!$C107*1.1712</f>
        <v>125.1889877</v>
      </c>
      <c r="E107" s="37">
        <v>3.25</v>
      </c>
      <c r="F107" s="38">
        <v>0.18</v>
      </c>
      <c r="G107" s="38" t="s">
        <v>22</v>
      </c>
      <c r="H107" s="39" t="s">
        <v>70</v>
      </c>
      <c r="I107" s="40" t="s">
        <v>343</v>
      </c>
      <c r="J107" s="41" t="s">
        <v>80</v>
      </c>
      <c r="K107" s="42" t="s">
        <v>68</v>
      </c>
      <c r="L107" s="43" t="s">
        <v>344</v>
      </c>
      <c r="M107" s="44">
        <v>8.708999E7</v>
      </c>
      <c r="N107" s="44" t="s">
        <v>28</v>
      </c>
      <c r="O107" s="45">
        <v>1.782</v>
      </c>
      <c r="P107" s="44">
        <v>7.898233437013E12</v>
      </c>
      <c r="Q107" s="44">
        <v>1.0</v>
      </c>
    </row>
    <row r="108" ht="15.75" customHeight="1">
      <c r="A108" s="35" t="s">
        <v>345</v>
      </c>
      <c r="B108" s="36">
        <v>242.27302465438342</v>
      </c>
      <c r="C108" s="36">
        <f>'Lista de Preço 02_2022'!$B108*0.9*0.9*0.9*0.9*0.9*0.97</f>
        <v>138.7680044</v>
      </c>
      <c r="D108" s="36">
        <f>'Lista de Preço 02_2022'!$C108*1.1712</f>
        <v>162.5250867</v>
      </c>
      <c r="E108" s="37">
        <v>3.25</v>
      </c>
      <c r="F108" s="38">
        <v>0.18</v>
      </c>
      <c r="G108" s="38" t="s">
        <v>22</v>
      </c>
      <c r="H108" s="39" t="s">
        <v>70</v>
      </c>
      <c r="I108" s="40" t="s">
        <v>346</v>
      </c>
      <c r="J108" s="41" t="s">
        <v>80</v>
      </c>
      <c r="K108" s="42" t="s">
        <v>68</v>
      </c>
      <c r="L108" s="43" t="s">
        <v>347</v>
      </c>
      <c r="M108" s="44">
        <v>8.708999E7</v>
      </c>
      <c r="N108" s="44" t="s">
        <v>28</v>
      </c>
      <c r="O108" s="45">
        <v>2.004</v>
      </c>
      <c r="P108" s="44">
        <v>7.89823343702E12</v>
      </c>
      <c r="Q108" s="44">
        <v>1.0</v>
      </c>
    </row>
    <row r="109" ht="15.75" customHeight="1">
      <c r="A109" s="35" t="s">
        <v>348</v>
      </c>
      <c r="B109" s="36">
        <v>210.4470922671812</v>
      </c>
      <c r="C109" s="36">
        <f>'Lista de Preço 02_2022'!$B109*0.9*0.9*0.9*0.9*0.9*0.97</f>
        <v>120.5388964</v>
      </c>
      <c r="D109" s="36">
        <f>'Lista de Preço 02_2022'!$C109*1.1712</f>
        <v>141.1751555</v>
      </c>
      <c r="E109" s="37">
        <v>3.25</v>
      </c>
      <c r="F109" s="38">
        <v>0.18</v>
      </c>
      <c r="G109" s="38" t="s">
        <v>22</v>
      </c>
      <c r="H109" s="39" t="s">
        <v>70</v>
      </c>
      <c r="I109" s="40" t="s">
        <v>349</v>
      </c>
      <c r="J109" s="41" t="s">
        <v>80</v>
      </c>
      <c r="K109" s="42" t="s">
        <v>68</v>
      </c>
      <c r="L109" s="43" t="s">
        <v>350</v>
      </c>
      <c r="M109" s="44">
        <v>8.708999E7</v>
      </c>
      <c r="N109" s="44" t="s">
        <v>28</v>
      </c>
      <c r="O109" s="45">
        <v>1.986</v>
      </c>
      <c r="P109" s="44">
        <v>7.898233437037E12</v>
      </c>
      <c r="Q109" s="44">
        <v>1.0</v>
      </c>
    </row>
    <row r="110" ht="15.75" customHeight="1">
      <c r="A110" s="35" t="s">
        <v>351</v>
      </c>
      <c r="B110" s="36">
        <v>422.99194627302154</v>
      </c>
      <c r="C110" s="36">
        <f>'Lista de Preço 02_2022'!$B110*0.9*0.9*0.9*0.9*0.9*0.97</f>
        <v>242.2793389</v>
      </c>
      <c r="D110" s="36">
        <f>'Lista de Preço 02_2022'!$C110*1.1712</f>
        <v>283.7575617</v>
      </c>
      <c r="E110" s="37">
        <v>3.25</v>
      </c>
      <c r="F110" s="38">
        <v>0.18</v>
      </c>
      <c r="G110" s="38" t="s">
        <v>22</v>
      </c>
      <c r="H110" s="39" t="s">
        <v>229</v>
      </c>
      <c r="I110" s="40" t="s">
        <v>352</v>
      </c>
      <c r="J110" s="41" t="s">
        <v>231</v>
      </c>
      <c r="K110" s="42" t="s">
        <v>68</v>
      </c>
      <c r="L110" s="43" t="s">
        <v>353</v>
      </c>
      <c r="M110" s="44">
        <v>8.708999E7</v>
      </c>
      <c r="N110" s="44" t="s">
        <v>28</v>
      </c>
      <c r="O110" s="45">
        <v>5.164</v>
      </c>
      <c r="P110" s="44">
        <v>7.898233437044E12</v>
      </c>
      <c r="Q110" s="44">
        <v>1.0</v>
      </c>
    </row>
    <row r="111" ht="15.75" customHeight="1">
      <c r="A111" s="35" t="s">
        <v>354</v>
      </c>
      <c r="B111" s="36">
        <v>227.9684755231101</v>
      </c>
      <c r="C111" s="36">
        <f>'Lista de Preço 02_2022'!$B111*0.9*0.9*0.9*0.9*0.9*0.97</f>
        <v>130.574712</v>
      </c>
      <c r="D111" s="36">
        <f>'Lista de Preço 02_2022'!$C111*1.1712</f>
        <v>152.9291026</v>
      </c>
      <c r="E111" s="37">
        <v>3.25</v>
      </c>
      <c r="F111" s="38">
        <v>0.18</v>
      </c>
      <c r="G111" s="38" t="s">
        <v>22</v>
      </c>
      <c r="H111" s="39" t="s">
        <v>70</v>
      </c>
      <c r="I111" s="40" t="s">
        <v>355</v>
      </c>
      <c r="J111" s="41" t="s">
        <v>80</v>
      </c>
      <c r="K111" s="42" t="s">
        <v>68</v>
      </c>
      <c r="L111" s="43" t="s">
        <v>356</v>
      </c>
      <c r="M111" s="44">
        <v>8.708999E7</v>
      </c>
      <c r="N111" s="44" t="s">
        <v>28</v>
      </c>
      <c r="O111" s="45">
        <v>2.282</v>
      </c>
      <c r="P111" s="44">
        <v>7.898233437167E12</v>
      </c>
      <c r="Q111" s="44">
        <v>1.0</v>
      </c>
    </row>
    <row r="112" ht="15.75" customHeight="1">
      <c r="A112" s="35" t="s">
        <v>357</v>
      </c>
      <c r="B112" s="36">
        <v>225.00891363388098</v>
      </c>
      <c r="C112" s="36">
        <f>'Lista de Preço 02_2022'!$B112*0.9*0.9*0.9*0.9*0.9*0.97</f>
        <v>128.879548</v>
      </c>
      <c r="D112" s="36">
        <f>'Lista de Preço 02_2022'!$C112*1.1712</f>
        <v>150.9437266</v>
      </c>
      <c r="E112" s="37">
        <v>3.25</v>
      </c>
      <c r="F112" s="38">
        <v>0.18</v>
      </c>
      <c r="G112" s="38" t="s">
        <v>22</v>
      </c>
      <c r="H112" s="39" t="s">
        <v>70</v>
      </c>
      <c r="I112" s="40" t="s">
        <v>358</v>
      </c>
      <c r="J112" s="41" t="s">
        <v>80</v>
      </c>
      <c r="K112" s="42" t="s">
        <v>68</v>
      </c>
      <c r="L112" s="43" t="s">
        <v>359</v>
      </c>
      <c r="M112" s="44">
        <v>8.708999E7</v>
      </c>
      <c r="N112" s="44" t="s">
        <v>28</v>
      </c>
      <c r="O112" s="45">
        <v>2.422</v>
      </c>
      <c r="P112" s="44">
        <v>7.898233437174E12</v>
      </c>
      <c r="Q112" s="44">
        <v>1.0</v>
      </c>
    </row>
    <row r="113" ht="15.75" customHeight="1">
      <c r="A113" s="35" t="s">
        <v>360</v>
      </c>
      <c r="B113" s="36">
        <v>45.81082709138419</v>
      </c>
      <c r="C113" s="36">
        <f>'Lista de Preço 02_2022'!$B113*0.9*0.9*0.9*0.9*0.9*0.97</f>
        <v>26.23931023</v>
      </c>
      <c r="D113" s="36">
        <f>'Lista de Preço 02_2022'!$C113*1.1627</f>
        <v>30.50844601</v>
      </c>
      <c r="E113" s="37">
        <v>2.6</v>
      </c>
      <c r="F113" s="38">
        <v>0.18</v>
      </c>
      <c r="G113" s="38" t="s">
        <v>22</v>
      </c>
      <c r="H113" s="39" t="s">
        <v>38</v>
      </c>
      <c r="I113" s="40" t="s">
        <v>337</v>
      </c>
      <c r="J113" s="41" t="s">
        <v>338</v>
      </c>
      <c r="K113" s="42" t="s">
        <v>68</v>
      </c>
      <c r="L113" s="43">
        <v>9.4602857E7</v>
      </c>
      <c r="M113" s="44">
        <v>8.70893E7</v>
      </c>
      <c r="N113" s="44" t="s">
        <v>28</v>
      </c>
      <c r="O113" s="45">
        <v>0.562</v>
      </c>
      <c r="P113" s="44">
        <v>7.898233430649E12</v>
      </c>
      <c r="Q113" s="44">
        <v>1.0</v>
      </c>
    </row>
    <row r="114" ht="15.75" customHeight="1">
      <c r="A114" s="35" t="s">
        <v>361</v>
      </c>
      <c r="B114" s="36">
        <v>307.01344098126754</v>
      </c>
      <c r="C114" s="36">
        <f>'Lista de Preço 02_2022'!$B114*0.9*0.9*0.9*0.9*0.9*0.97</f>
        <v>175.8497158</v>
      </c>
      <c r="D114" s="36">
        <f>'Lista de Preço 02_2022'!$C114*1.1712</f>
        <v>205.9551871</v>
      </c>
      <c r="E114" s="37">
        <v>3.25</v>
      </c>
      <c r="F114" s="38">
        <v>0.18</v>
      </c>
      <c r="G114" s="38" t="s">
        <v>22</v>
      </c>
      <c r="H114" s="39" t="s">
        <v>70</v>
      </c>
      <c r="I114" s="40" t="s">
        <v>362</v>
      </c>
      <c r="J114" s="41" t="s">
        <v>80</v>
      </c>
      <c r="K114" s="42" t="s">
        <v>68</v>
      </c>
      <c r="L114" s="43" t="s">
        <v>363</v>
      </c>
      <c r="M114" s="44">
        <v>8.708999E7</v>
      </c>
      <c r="N114" s="44" t="s">
        <v>28</v>
      </c>
      <c r="O114" s="45">
        <v>2.504</v>
      </c>
      <c r="P114" s="44">
        <v>7.898233437198E12</v>
      </c>
      <c r="Q114" s="44">
        <v>1.0</v>
      </c>
    </row>
    <row r="115" ht="15.75" customHeight="1">
      <c r="A115" s="35" t="s">
        <v>364</v>
      </c>
      <c r="B115" s="36">
        <v>218.1306725765063</v>
      </c>
      <c r="C115" s="36">
        <f>'Lista de Preço 02_2022'!$B115*0.9*0.9*0.9*0.9*0.9*0.97</f>
        <v>124.9398614</v>
      </c>
      <c r="D115" s="36">
        <f>'Lista de Preço 02_2022'!$C115*1.1712</f>
        <v>146.3295657</v>
      </c>
      <c r="E115" s="37">
        <v>3.25</v>
      </c>
      <c r="F115" s="38">
        <v>0.18</v>
      </c>
      <c r="G115" s="38" t="s">
        <v>22</v>
      </c>
      <c r="H115" s="39" t="s">
        <v>70</v>
      </c>
      <c r="I115" s="40" t="s">
        <v>365</v>
      </c>
      <c r="J115" s="41" t="s">
        <v>80</v>
      </c>
      <c r="K115" s="42" t="s">
        <v>68</v>
      </c>
      <c r="L115" s="43" t="s">
        <v>366</v>
      </c>
      <c r="M115" s="44">
        <v>8.708999E7</v>
      </c>
      <c r="N115" s="44" t="s">
        <v>28</v>
      </c>
      <c r="O115" s="45">
        <v>2.086</v>
      </c>
      <c r="P115" s="44">
        <v>7.898233437204E12</v>
      </c>
      <c r="Q115" s="44">
        <v>1.0</v>
      </c>
    </row>
    <row r="116" ht="15.75" customHeight="1">
      <c r="A116" s="35" t="s">
        <v>367</v>
      </c>
      <c r="B116" s="36">
        <v>228.2699123821981</v>
      </c>
      <c r="C116" s="36">
        <f>'Lista de Preço 02_2022'!$B116*0.9*0.9*0.9*0.9*0.9*0.97</f>
        <v>130.7473675</v>
      </c>
      <c r="D116" s="36">
        <f>'Lista de Preço 02_2022'!$C116*1.1712</f>
        <v>153.1313169</v>
      </c>
      <c r="E116" s="37">
        <v>3.25</v>
      </c>
      <c r="F116" s="38">
        <v>0.18</v>
      </c>
      <c r="G116" s="38" t="s">
        <v>22</v>
      </c>
      <c r="H116" s="39" t="s">
        <v>70</v>
      </c>
      <c r="I116" s="40" t="s">
        <v>368</v>
      </c>
      <c r="J116" s="41" t="s">
        <v>80</v>
      </c>
      <c r="K116" s="42" t="s">
        <v>303</v>
      </c>
      <c r="L116" s="43" t="s">
        <v>369</v>
      </c>
      <c r="M116" s="44">
        <v>8.708999E7</v>
      </c>
      <c r="N116" s="44" t="s">
        <v>28</v>
      </c>
      <c r="O116" s="45">
        <v>1.69</v>
      </c>
      <c r="P116" s="44">
        <v>7.898233437228E12</v>
      </c>
      <c r="Q116" s="44">
        <v>1.0</v>
      </c>
    </row>
    <row r="117" ht="15.75" customHeight="1">
      <c r="A117" s="35" t="s">
        <v>370</v>
      </c>
      <c r="B117" s="36">
        <v>253.68502100381957</v>
      </c>
      <c r="C117" s="36">
        <f>'Lista de Preço 02_2022'!$B117*0.9*0.9*0.9*0.9*0.9*0.97</f>
        <v>145.304514</v>
      </c>
      <c r="D117" s="36">
        <f>'Lista de Preço 02_2022'!$C117*1.1712</f>
        <v>170.1806468</v>
      </c>
      <c r="E117" s="37">
        <v>3.25</v>
      </c>
      <c r="F117" s="38">
        <v>0.18</v>
      </c>
      <c r="G117" s="38" t="s">
        <v>22</v>
      </c>
      <c r="H117" s="39" t="s">
        <v>23</v>
      </c>
      <c r="I117" s="40" t="s">
        <v>371</v>
      </c>
      <c r="J117" s="41" t="s">
        <v>372</v>
      </c>
      <c r="K117" s="42" t="s">
        <v>153</v>
      </c>
      <c r="L117" s="43" t="s">
        <v>373</v>
      </c>
      <c r="M117" s="44">
        <v>8.708999E7</v>
      </c>
      <c r="N117" s="44" t="s">
        <v>28</v>
      </c>
      <c r="O117" s="45">
        <v>3.422</v>
      </c>
      <c r="P117" s="44">
        <v>7.898233432889E12</v>
      </c>
      <c r="Q117" s="44">
        <v>1.0</v>
      </c>
    </row>
    <row r="118" ht="15.75" customHeight="1">
      <c r="A118" s="35" t="s">
        <v>374</v>
      </c>
      <c r="B118" s="36">
        <v>289.99662524807513</v>
      </c>
      <c r="C118" s="36">
        <f>'Lista de Preço 02_2022'!$B118*0.9*0.9*0.9*0.9*0.9*0.97</f>
        <v>166.102904</v>
      </c>
      <c r="D118" s="36">
        <f>'Lista de Preço 02_2022'!$C118*1.1712</f>
        <v>194.5397212</v>
      </c>
      <c r="E118" s="37">
        <v>3.25</v>
      </c>
      <c r="F118" s="38">
        <v>0.18</v>
      </c>
      <c r="G118" s="38" t="s">
        <v>22</v>
      </c>
      <c r="H118" s="39" t="s">
        <v>70</v>
      </c>
      <c r="I118" s="40" t="s">
        <v>375</v>
      </c>
      <c r="J118" s="41" t="s">
        <v>80</v>
      </c>
      <c r="K118" s="42" t="s">
        <v>68</v>
      </c>
      <c r="L118" s="43" t="s">
        <v>376</v>
      </c>
      <c r="M118" s="44">
        <v>8.708999E7</v>
      </c>
      <c r="N118" s="44" t="s">
        <v>28</v>
      </c>
      <c r="O118" s="45">
        <v>2.47</v>
      </c>
      <c r="P118" s="44">
        <v>7.898233437211E12</v>
      </c>
      <c r="Q118" s="44">
        <v>1.0</v>
      </c>
    </row>
    <row r="119" ht="15.75" customHeight="1">
      <c r="A119" s="35" t="s">
        <v>377</v>
      </c>
      <c r="B119" s="36">
        <v>867.8983827721186</v>
      </c>
      <c r="C119" s="36">
        <f>'Lista de Preço 02_2022'!$B119*0.9*0.9*0.9*0.9*0.9*0.97</f>
        <v>497.1107566</v>
      </c>
      <c r="D119" s="36">
        <f>'Lista de Preço 02_2022'!$C119*1.1712</f>
        <v>582.2161181</v>
      </c>
      <c r="E119" s="37">
        <v>3.25</v>
      </c>
      <c r="F119" s="38">
        <v>0.18</v>
      </c>
      <c r="G119" s="38" t="s">
        <v>22</v>
      </c>
      <c r="H119" s="39" t="s">
        <v>229</v>
      </c>
      <c r="I119" s="40" t="s">
        <v>378</v>
      </c>
      <c r="J119" s="41" t="s">
        <v>270</v>
      </c>
      <c r="K119" s="42" t="s">
        <v>282</v>
      </c>
      <c r="L119" s="43" t="s">
        <v>379</v>
      </c>
      <c r="M119" s="44">
        <v>8.708999E7</v>
      </c>
      <c r="N119" s="44" t="s">
        <v>28</v>
      </c>
      <c r="O119" s="45">
        <v>7.0</v>
      </c>
      <c r="P119" s="44">
        <v>7.898233436573E12</v>
      </c>
      <c r="Q119" s="44">
        <v>1.0</v>
      </c>
    </row>
    <row r="120" ht="15.75" customHeight="1">
      <c r="A120" s="35" t="s">
        <v>380</v>
      </c>
      <c r="B120" s="36">
        <v>709.8057018551414</v>
      </c>
      <c r="C120" s="36">
        <f>'Lista de Preço 02_2022'!$B120*0.9*0.9*0.9*0.9*0.9*0.97</f>
        <v>406.5591738</v>
      </c>
      <c r="D120" s="36">
        <f>'Lista de Preço 02_2022'!$C120*1.1712</f>
        <v>476.1621044</v>
      </c>
      <c r="E120" s="37">
        <v>3.25</v>
      </c>
      <c r="F120" s="38">
        <v>0.18</v>
      </c>
      <c r="G120" s="38" t="s">
        <v>22</v>
      </c>
      <c r="H120" s="39" t="s">
        <v>229</v>
      </c>
      <c r="I120" s="40" t="s">
        <v>381</v>
      </c>
      <c r="J120" s="41" t="s">
        <v>270</v>
      </c>
      <c r="K120" s="42" t="s">
        <v>282</v>
      </c>
      <c r="L120" s="43" t="s">
        <v>382</v>
      </c>
      <c r="M120" s="44">
        <v>8.708999E7</v>
      </c>
      <c r="N120" s="44" t="s">
        <v>28</v>
      </c>
      <c r="O120" s="45">
        <v>7.14</v>
      </c>
      <c r="P120" s="44">
        <v>7.89823343658E12</v>
      </c>
      <c r="Q120" s="44">
        <v>1.0</v>
      </c>
    </row>
    <row r="121" ht="15.75" customHeight="1">
      <c r="A121" s="35" t="s">
        <v>383</v>
      </c>
      <c r="B121" s="36">
        <v>847.5576746455771</v>
      </c>
      <c r="C121" s="36">
        <f>'Lista de Preço 02_2022'!$B121*0.9*0.9*0.9*0.9*0.9*0.97</f>
        <v>485.4601014</v>
      </c>
      <c r="D121" s="36">
        <f>'Lista de Preço 02_2022'!$C121*1.1712</f>
        <v>568.5708707</v>
      </c>
      <c r="E121" s="37">
        <v>3.25</v>
      </c>
      <c r="F121" s="38">
        <v>0.18</v>
      </c>
      <c r="G121" s="38" t="s">
        <v>22</v>
      </c>
      <c r="H121" s="39" t="s">
        <v>229</v>
      </c>
      <c r="I121" s="40" t="s">
        <v>384</v>
      </c>
      <c r="J121" s="41" t="s">
        <v>270</v>
      </c>
      <c r="K121" s="42" t="s">
        <v>282</v>
      </c>
      <c r="L121" s="43" t="s">
        <v>385</v>
      </c>
      <c r="M121" s="44">
        <v>8.708999E7</v>
      </c>
      <c r="N121" s="44" t="s">
        <v>28</v>
      </c>
      <c r="O121" s="45">
        <v>6.76</v>
      </c>
      <c r="P121" s="44">
        <v>7.898233437266E12</v>
      </c>
      <c r="Q121" s="44">
        <v>1.0</v>
      </c>
    </row>
    <row r="122" ht="15.75" customHeight="1">
      <c r="A122" s="35" t="s">
        <v>386</v>
      </c>
      <c r="B122" s="36">
        <v>190.80492547040333</v>
      </c>
      <c r="C122" s="36">
        <f>'Lista de Preço 02_2022'!$B122*0.9*0.9*0.9*0.9*0.9*0.97</f>
        <v>109.2883484</v>
      </c>
      <c r="D122" s="36">
        <f>'Lista de Preço 02_2022'!$C122*1.1712</f>
        <v>127.9985137</v>
      </c>
      <c r="E122" s="37">
        <v>3.25</v>
      </c>
      <c r="F122" s="38">
        <v>0.18</v>
      </c>
      <c r="G122" s="38" t="s">
        <v>22</v>
      </c>
      <c r="H122" s="39" t="s">
        <v>23</v>
      </c>
      <c r="I122" s="40" t="s">
        <v>387</v>
      </c>
      <c r="J122" s="41" t="s">
        <v>372</v>
      </c>
      <c r="K122" s="42" t="s">
        <v>153</v>
      </c>
      <c r="L122" s="43" t="s">
        <v>388</v>
      </c>
      <c r="M122" s="44">
        <v>8.708999E7</v>
      </c>
      <c r="N122" s="44" t="s">
        <v>28</v>
      </c>
      <c r="O122" s="45">
        <v>3.596</v>
      </c>
      <c r="P122" s="44">
        <v>7.898233432896E12</v>
      </c>
      <c r="Q122" s="44">
        <v>1.0</v>
      </c>
    </row>
    <row r="123" ht="15.75" customHeight="1">
      <c r="A123" s="35" t="s">
        <v>389</v>
      </c>
      <c r="B123" s="36">
        <v>216.60363323010165</v>
      </c>
      <c r="C123" s="36">
        <f>'Lista de Preço 02_2022'!$B123*0.9*0.9*0.9*0.9*0.9*0.97</f>
        <v>124.065211</v>
      </c>
      <c r="D123" s="36">
        <f>'Lista de Preço 02_2022'!$C123*1.1712</f>
        <v>145.3051751</v>
      </c>
      <c r="E123" s="37">
        <v>3.25</v>
      </c>
      <c r="F123" s="38">
        <v>0.18</v>
      </c>
      <c r="G123" s="38" t="s">
        <v>22</v>
      </c>
      <c r="H123" s="39" t="s">
        <v>70</v>
      </c>
      <c r="I123" s="40" t="s">
        <v>390</v>
      </c>
      <c r="J123" s="41" t="s">
        <v>80</v>
      </c>
      <c r="K123" s="42" t="s">
        <v>153</v>
      </c>
      <c r="L123" s="43" t="s">
        <v>391</v>
      </c>
      <c r="M123" s="44">
        <v>8.708999E7</v>
      </c>
      <c r="N123" s="44" t="s">
        <v>28</v>
      </c>
      <c r="O123" s="45">
        <v>1.882</v>
      </c>
      <c r="P123" s="44">
        <v>7.898233437334E12</v>
      </c>
      <c r="Q123" s="44">
        <v>1.0</v>
      </c>
    </row>
    <row r="124" ht="15.75" customHeight="1">
      <c r="A124" s="35" t="s">
        <v>392</v>
      </c>
      <c r="B124" s="36">
        <v>206.89438995526254</v>
      </c>
      <c r="C124" s="36">
        <f>'Lista de Preço 02_2022'!$B124*0.9*0.9*0.9*0.9*0.9*0.97</f>
        <v>118.5039963</v>
      </c>
      <c r="D124" s="36">
        <f>'Lista de Preço 02_2022'!$C124*1.1712</f>
        <v>138.7918804</v>
      </c>
      <c r="E124" s="37">
        <v>3.25</v>
      </c>
      <c r="F124" s="38">
        <v>0.18</v>
      </c>
      <c r="G124" s="38" t="s">
        <v>22</v>
      </c>
      <c r="H124" s="39" t="s">
        <v>70</v>
      </c>
      <c r="I124" s="40" t="s">
        <v>393</v>
      </c>
      <c r="J124" s="41" t="s">
        <v>80</v>
      </c>
      <c r="K124" s="42" t="s">
        <v>153</v>
      </c>
      <c r="L124" s="43" t="s">
        <v>394</v>
      </c>
      <c r="M124" s="44">
        <v>8.708999E7</v>
      </c>
      <c r="N124" s="44" t="s">
        <v>28</v>
      </c>
      <c r="O124" s="45">
        <v>1.842</v>
      </c>
      <c r="P124" s="44">
        <v>7.898233437365E12</v>
      </c>
      <c r="Q124" s="44">
        <v>1.0</v>
      </c>
    </row>
    <row r="125" ht="15.75" customHeight="1">
      <c r="A125" s="35" t="s">
        <v>395</v>
      </c>
      <c r="B125" s="36">
        <v>229.03720620533164</v>
      </c>
      <c r="C125" s="36">
        <f>'Lista de Preço 02_2022'!$B125*0.9*0.9*0.9*0.9*0.9*0.97</f>
        <v>131.1868545</v>
      </c>
      <c r="D125" s="36">
        <f>'Lista de Preço 02_2022'!$C125*1.1712</f>
        <v>153.646044</v>
      </c>
      <c r="E125" s="37">
        <v>3.25</v>
      </c>
      <c r="F125" s="38">
        <v>0.18</v>
      </c>
      <c r="G125" s="38" t="s">
        <v>22</v>
      </c>
      <c r="H125" s="39" t="s">
        <v>70</v>
      </c>
      <c r="I125" s="40" t="s">
        <v>396</v>
      </c>
      <c r="J125" s="41" t="s">
        <v>80</v>
      </c>
      <c r="K125" s="42" t="s">
        <v>153</v>
      </c>
      <c r="L125" s="43" t="s">
        <v>397</v>
      </c>
      <c r="M125" s="44">
        <v>8.708999E7</v>
      </c>
      <c r="N125" s="44" t="s">
        <v>28</v>
      </c>
      <c r="O125" s="45">
        <v>2.142</v>
      </c>
      <c r="P125" s="44">
        <v>7.898233437372E12</v>
      </c>
      <c r="Q125" s="44">
        <v>1.0</v>
      </c>
    </row>
    <row r="126" ht="15.75" customHeight="1">
      <c r="A126" s="35" t="s">
        <v>398</v>
      </c>
      <c r="B126" s="36">
        <v>450.11114261561204</v>
      </c>
      <c r="C126" s="36">
        <f>'Lista de Preço 02_2022'!$B126*0.9*0.9*0.9*0.9*0.9*0.97</f>
        <v>257.8125447</v>
      </c>
      <c r="D126" s="36">
        <f>'Lista de Preço 02_2022'!$C126*1.1712</f>
        <v>301.9500524</v>
      </c>
      <c r="E126" s="37">
        <v>3.25</v>
      </c>
      <c r="F126" s="38">
        <v>0.18</v>
      </c>
      <c r="G126" s="38" t="s">
        <v>22</v>
      </c>
      <c r="H126" s="39" t="s">
        <v>229</v>
      </c>
      <c r="I126" s="40" t="s">
        <v>399</v>
      </c>
      <c r="J126" s="41" t="s">
        <v>231</v>
      </c>
      <c r="K126" s="42" t="s">
        <v>153</v>
      </c>
      <c r="L126" s="43" t="s">
        <v>400</v>
      </c>
      <c r="M126" s="44">
        <v>8.708999E7</v>
      </c>
      <c r="N126" s="44" t="s">
        <v>28</v>
      </c>
      <c r="O126" s="45">
        <v>7.6</v>
      </c>
      <c r="P126" s="44">
        <v>7.898233437389E12</v>
      </c>
      <c r="Q126" s="44">
        <v>1.0</v>
      </c>
    </row>
    <row r="127" ht="15.75" customHeight="1">
      <c r="A127" s="35" t="s">
        <v>401</v>
      </c>
      <c r="B127" s="36">
        <v>445.6100311894559</v>
      </c>
      <c r="C127" s="36">
        <f>'Lista de Preço 02_2022'!$B127*0.9*0.9*0.9*0.9*0.9*0.97</f>
        <v>255.2344193</v>
      </c>
      <c r="D127" s="36">
        <f>'Lista de Preço 02_2022'!$C127*1.1712</f>
        <v>298.9305519</v>
      </c>
      <c r="E127" s="37">
        <v>3.25</v>
      </c>
      <c r="F127" s="38">
        <v>0.18</v>
      </c>
      <c r="G127" s="38" t="s">
        <v>22</v>
      </c>
      <c r="H127" s="39" t="s">
        <v>229</v>
      </c>
      <c r="I127" s="40" t="s">
        <v>399</v>
      </c>
      <c r="J127" s="41" t="s">
        <v>231</v>
      </c>
      <c r="K127" s="42" t="s">
        <v>153</v>
      </c>
      <c r="L127" s="43" t="s">
        <v>402</v>
      </c>
      <c r="M127" s="44">
        <v>8.708999E7</v>
      </c>
      <c r="N127" s="44" t="s">
        <v>28</v>
      </c>
      <c r="O127" s="45">
        <v>5.68</v>
      </c>
      <c r="P127" s="44">
        <v>7.898233437396E12</v>
      </c>
      <c r="Q127" s="44">
        <v>1.0</v>
      </c>
    </row>
    <row r="128" ht="15.75" customHeight="1">
      <c r="A128" s="35" t="s">
        <v>403</v>
      </c>
      <c r="B128" s="36">
        <v>447.86058690253395</v>
      </c>
      <c r="C128" s="36">
        <f>'Lista de Preço 02_2022'!$B128*0.9*0.9*0.9*0.9*0.9*0.97</f>
        <v>256.523482</v>
      </c>
      <c r="D128" s="36">
        <f>'Lista de Preço 02_2022'!$C128*1.1712</f>
        <v>300.4403021</v>
      </c>
      <c r="E128" s="37">
        <v>3.25</v>
      </c>
      <c r="F128" s="38">
        <v>0.18</v>
      </c>
      <c r="G128" s="38" t="s">
        <v>22</v>
      </c>
      <c r="H128" s="39" t="s">
        <v>229</v>
      </c>
      <c r="I128" s="40" t="s">
        <v>404</v>
      </c>
      <c r="J128" s="41" t="s">
        <v>231</v>
      </c>
      <c r="K128" s="42" t="s">
        <v>153</v>
      </c>
      <c r="L128" s="43" t="s">
        <v>405</v>
      </c>
      <c r="M128" s="44">
        <v>8.708999E7</v>
      </c>
      <c r="N128" s="44" t="s">
        <v>28</v>
      </c>
      <c r="O128" s="45">
        <v>7.16</v>
      </c>
      <c r="P128" s="44">
        <v>7.898233437402E12</v>
      </c>
      <c r="Q128" s="44">
        <v>1.0</v>
      </c>
    </row>
    <row r="129" ht="15.75" customHeight="1">
      <c r="A129" s="35" t="s">
        <v>406</v>
      </c>
      <c r="B129" s="36">
        <v>445.6100311894559</v>
      </c>
      <c r="C129" s="36">
        <f>'Lista de Preço 02_2022'!$B129*0.9*0.9*0.9*0.9*0.9*0.97</f>
        <v>255.2344193</v>
      </c>
      <c r="D129" s="36">
        <f>'Lista de Preço 02_2022'!$C129*1.1712</f>
        <v>298.9305519</v>
      </c>
      <c r="E129" s="37">
        <v>3.25</v>
      </c>
      <c r="F129" s="38">
        <v>0.18</v>
      </c>
      <c r="G129" s="38" t="s">
        <v>22</v>
      </c>
      <c r="H129" s="39" t="s">
        <v>229</v>
      </c>
      <c r="I129" s="40" t="s">
        <v>404</v>
      </c>
      <c r="J129" s="41" t="s">
        <v>231</v>
      </c>
      <c r="K129" s="42" t="s">
        <v>153</v>
      </c>
      <c r="L129" s="43" t="s">
        <v>407</v>
      </c>
      <c r="M129" s="44">
        <v>8.708999E7</v>
      </c>
      <c r="N129" s="44" t="s">
        <v>28</v>
      </c>
      <c r="O129" s="45">
        <v>5.86</v>
      </c>
      <c r="P129" s="44">
        <v>7.898233437419E12</v>
      </c>
      <c r="Q129" s="44">
        <v>1.0</v>
      </c>
    </row>
    <row r="130" ht="15.75" customHeight="1">
      <c r="A130" s="35" t="s">
        <v>408</v>
      </c>
      <c r="B130" s="36">
        <v>450.11114261561204</v>
      </c>
      <c r="C130" s="36">
        <f>'Lista de Preço 02_2022'!$B130*0.9*0.9*0.9*0.9*0.9*0.97</f>
        <v>257.8125447</v>
      </c>
      <c r="D130" s="36">
        <f>'Lista de Preço 02_2022'!$C130*1.1712</f>
        <v>301.9500524</v>
      </c>
      <c r="E130" s="37">
        <v>3.25</v>
      </c>
      <c r="F130" s="38">
        <v>0.18</v>
      </c>
      <c r="G130" s="38" t="s">
        <v>22</v>
      </c>
      <c r="H130" s="39" t="s">
        <v>229</v>
      </c>
      <c r="I130" s="40" t="s">
        <v>409</v>
      </c>
      <c r="J130" s="41" t="s">
        <v>231</v>
      </c>
      <c r="K130" s="42" t="s">
        <v>153</v>
      </c>
      <c r="L130" s="43" t="s">
        <v>410</v>
      </c>
      <c r="M130" s="44">
        <v>8.708999E7</v>
      </c>
      <c r="N130" s="44" t="s">
        <v>28</v>
      </c>
      <c r="O130" s="45">
        <v>7.66</v>
      </c>
      <c r="P130" s="44">
        <v>7.898233437426E12</v>
      </c>
      <c r="Q130" s="44">
        <v>1.0</v>
      </c>
    </row>
    <row r="131" ht="15.75" customHeight="1">
      <c r="A131" s="35" t="s">
        <v>411</v>
      </c>
      <c r="B131" s="36">
        <v>387.77448914223663</v>
      </c>
      <c r="C131" s="36">
        <f>'Lista de Preço 02_2022'!$B131*0.9*0.9*0.9*0.9*0.9*0.97</f>
        <v>222.1076494</v>
      </c>
      <c r="D131" s="36">
        <f>'Lista de Preço 02_2022'!$C131*1.1712</f>
        <v>260.1324789</v>
      </c>
      <c r="E131" s="37">
        <v>3.25</v>
      </c>
      <c r="F131" s="38">
        <v>0.18</v>
      </c>
      <c r="G131" s="38" t="s">
        <v>22</v>
      </c>
      <c r="H131" s="39" t="s">
        <v>23</v>
      </c>
      <c r="I131" s="40" t="s">
        <v>412</v>
      </c>
      <c r="J131" s="41" t="s">
        <v>25</v>
      </c>
      <c r="K131" s="42" t="s">
        <v>68</v>
      </c>
      <c r="L131" s="43">
        <v>9156621.0</v>
      </c>
      <c r="M131" s="44">
        <v>8.708999E7</v>
      </c>
      <c r="N131" s="44" t="s">
        <v>28</v>
      </c>
      <c r="O131" s="45">
        <v>3.4</v>
      </c>
      <c r="P131" s="44">
        <v>7.898233432902E12</v>
      </c>
      <c r="Q131" s="44">
        <v>1.0</v>
      </c>
    </row>
    <row r="132" ht="15.75" customHeight="1">
      <c r="A132" s="35" t="s">
        <v>413</v>
      </c>
      <c r="B132" s="36">
        <v>447.86058690253395</v>
      </c>
      <c r="C132" s="36">
        <f>'Lista de Preço 02_2022'!$B132*0.9*0.9*0.9*0.9*0.9*0.97</f>
        <v>256.523482</v>
      </c>
      <c r="D132" s="36">
        <f>'Lista de Preço 02_2022'!$C132*1.1712</f>
        <v>300.4403021</v>
      </c>
      <c r="E132" s="37">
        <v>3.25</v>
      </c>
      <c r="F132" s="38">
        <v>0.18</v>
      </c>
      <c r="G132" s="38" t="s">
        <v>22</v>
      </c>
      <c r="H132" s="39" t="s">
        <v>229</v>
      </c>
      <c r="I132" s="40" t="s">
        <v>409</v>
      </c>
      <c r="J132" s="41" t="s">
        <v>231</v>
      </c>
      <c r="K132" s="42" t="s">
        <v>153</v>
      </c>
      <c r="L132" s="43" t="s">
        <v>414</v>
      </c>
      <c r="M132" s="44">
        <v>8.708999E7</v>
      </c>
      <c r="N132" s="44" t="s">
        <v>28</v>
      </c>
      <c r="O132" s="45">
        <v>5.92</v>
      </c>
      <c r="P132" s="44">
        <v>7.898233437433E12</v>
      </c>
      <c r="Q132" s="44">
        <v>1.0</v>
      </c>
    </row>
    <row r="133" ht="15.75" customHeight="1">
      <c r="A133" s="35" t="s">
        <v>415</v>
      </c>
      <c r="B133" s="36">
        <v>249.42529922002015</v>
      </c>
      <c r="C133" s="36">
        <f>'Lista de Preço 02_2022'!$B133*0.9*0.9*0.9*0.9*0.9*0.97</f>
        <v>142.8646506</v>
      </c>
      <c r="D133" s="36">
        <f>'Lista de Preço 02_2022'!$C133*1.1712</f>
        <v>167.3230788</v>
      </c>
      <c r="E133" s="37">
        <v>3.25</v>
      </c>
      <c r="F133" s="38">
        <v>0.18</v>
      </c>
      <c r="G133" s="38" t="s">
        <v>22</v>
      </c>
      <c r="H133" s="39" t="s">
        <v>70</v>
      </c>
      <c r="I133" s="40" t="s">
        <v>416</v>
      </c>
      <c r="J133" s="41" t="s">
        <v>244</v>
      </c>
      <c r="K133" s="42" t="s">
        <v>86</v>
      </c>
      <c r="L133" s="43" t="s">
        <v>417</v>
      </c>
      <c r="M133" s="44">
        <v>8.708999E7</v>
      </c>
      <c r="N133" s="44" t="s">
        <v>28</v>
      </c>
      <c r="O133" s="45">
        <v>3.094</v>
      </c>
      <c r="P133" s="44">
        <v>7.898233437471E12</v>
      </c>
      <c r="Q133" s="44">
        <v>1.0</v>
      </c>
    </row>
    <row r="134" ht="15.75" customHeight="1">
      <c r="A134" s="35" t="s">
        <v>418</v>
      </c>
      <c r="B134" s="36">
        <v>551.5043038790614</v>
      </c>
      <c r="C134" s="36">
        <f>'Lista de Preço 02_2022'!$B134*0.9*0.9*0.9*0.9*0.9*0.97</f>
        <v>315.8880431</v>
      </c>
      <c r="D134" s="36">
        <f>'Lista de Preço 02_2022'!$C134*1.1712</f>
        <v>369.9680761</v>
      </c>
      <c r="E134" s="37">
        <v>3.25</v>
      </c>
      <c r="F134" s="38">
        <v>0.18</v>
      </c>
      <c r="G134" s="38" t="s">
        <v>22</v>
      </c>
      <c r="H134" s="39" t="s">
        <v>229</v>
      </c>
      <c r="I134" s="40" t="s">
        <v>419</v>
      </c>
      <c r="J134" s="41" t="s">
        <v>270</v>
      </c>
      <c r="K134" s="42" t="s">
        <v>86</v>
      </c>
      <c r="L134" s="43" t="s">
        <v>420</v>
      </c>
      <c r="M134" s="44">
        <v>8.708999E7</v>
      </c>
      <c r="N134" s="44" t="s">
        <v>28</v>
      </c>
      <c r="O134" s="45">
        <v>5.442</v>
      </c>
      <c r="P134" s="44">
        <v>7.898233437495E12</v>
      </c>
      <c r="Q134" s="44">
        <v>1.0</v>
      </c>
    </row>
    <row r="135" ht="15.75" customHeight="1">
      <c r="A135" s="35" t="s">
        <v>421</v>
      </c>
      <c r="B135" s="36">
        <v>969.9521772699153</v>
      </c>
      <c r="C135" s="36">
        <f>'Lista de Preço 02_2022'!$B135*0.9*0.9*0.9*0.9*0.9*0.97</f>
        <v>555.5646493</v>
      </c>
      <c r="D135" s="36">
        <f>'Lista de Preço 02_2022'!$C135*1.1712</f>
        <v>650.6773173</v>
      </c>
      <c r="E135" s="37">
        <v>3.25</v>
      </c>
      <c r="F135" s="38">
        <v>0.18</v>
      </c>
      <c r="G135" s="38" t="s">
        <v>22</v>
      </c>
      <c r="H135" s="39" t="s">
        <v>229</v>
      </c>
      <c r="I135" s="40" t="s">
        <v>422</v>
      </c>
      <c r="J135" s="41" t="s">
        <v>270</v>
      </c>
      <c r="K135" s="42" t="s">
        <v>86</v>
      </c>
      <c r="L135" s="43" t="s">
        <v>423</v>
      </c>
      <c r="M135" s="44">
        <v>8.708999E7</v>
      </c>
      <c r="N135" s="44" t="s">
        <v>28</v>
      </c>
      <c r="O135" s="45">
        <v>9.4</v>
      </c>
      <c r="P135" s="44">
        <v>7.898233437501E12</v>
      </c>
      <c r="Q135" s="44">
        <v>1.0</v>
      </c>
    </row>
    <row r="136" ht="15.75" customHeight="1">
      <c r="A136" s="35" t="s">
        <v>424</v>
      </c>
      <c r="B136" s="36">
        <v>473.81385774360007</v>
      </c>
      <c r="C136" s="36">
        <f>'Lista de Preço 02_2022'!$B136*0.9*0.9*0.9*0.9*0.9*0.97</f>
        <v>271.3888745</v>
      </c>
      <c r="D136" s="36">
        <f>'Lista de Preço 02_2022'!$C136*1.1712</f>
        <v>317.8506498</v>
      </c>
      <c r="E136" s="37">
        <v>3.25</v>
      </c>
      <c r="F136" s="38">
        <v>0.18</v>
      </c>
      <c r="G136" s="38" t="s">
        <v>22</v>
      </c>
      <c r="H136" s="39" t="s">
        <v>23</v>
      </c>
      <c r="I136" s="40" t="s">
        <v>425</v>
      </c>
      <c r="J136" s="41" t="s">
        <v>25</v>
      </c>
      <c r="K136" s="42" t="s">
        <v>68</v>
      </c>
      <c r="L136" s="43">
        <v>9.3283081E7</v>
      </c>
      <c r="M136" s="44">
        <v>8.708999E7</v>
      </c>
      <c r="N136" s="44" t="s">
        <v>28</v>
      </c>
      <c r="O136" s="45">
        <v>3.344</v>
      </c>
      <c r="P136" s="44">
        <v>7.898233432919E12</v>
      </c>
      <c r="Q136" s="44">
        <v>1.0</v>
      </c>
    </row>
    <row r="137" ht="15.75" customHeight="1">
      <c r="A137" s="35" t="s">
        <v>426</v>
      </c>
      <c r="B137" s="36">
        <v>190.48069159287635</v>
      </c>
      <c r="C137" s="36">
        <f>'Lista de Preço 02_2022'!$B137*0.9*0.9*0.9*0.9*0.9*0.97</f>
        <v>109.1026353</v>
      </c>
      <c r="D137" s="36">
        <f>'Lista de Preço 02_2022'!$C137*1.1712</f>
        <v>127.7810064</v>
      </c>
      <c r="E137" s="37">
        <v>3.25</v>
      </c>
      <c r="F137" s="38">
        <v>0.18</v>
      </c>
      <c r="G137" s="38" t="s">
        <v>22</v>
      </c>
      <c r="H137" s="39" t="s">
        <v>70</v>
      </c>
      <c r="I137" s="40" t="s">
        <v>427</v>
      </c>
      <c r="J137" s="41" t="s">
        <v>80</v>
      </c>
      <c r="K137" s="42" t="s">
        <v>73</v>
      </c>
      <c r="L137" s="43" t="s">
        <v>428</v>
      </c>
      <c r="M137" s="44">
        <v>8.708999E7</v>
      </c>
      <c r="N137" s="44" t="s">
        <v>28</v>
      </c>
      <c r="O137" s="45">
        <v>1.524</v>
      </c>
      <c r="P137" s="44">
        <v>7.898233437563E12</v>
      </c>
      <c r="Q137" s="44">
        <v>1.0</v>
      </c>
    </row>
    <row r="138" ht="15.75" customHeight="1">
      <c r="A138" s="35" t="s">
        <v>429</v>
      </c>
      <c r="B138" s="36">
        <v>207.74480261337874</v>
      </c>
      <c r="C138" s="36">
        <f>'Lista de Preço 02_2022'!$B138*0.9*0.9*0.9*0.9*0.9*0.97</f>
        <v>118.9910916</v>
      </c>
      <c r="D138" s="36">
        <f>'Lista de Preço 02_2022'!$C138*1.1712</f>
        <v>139.3623665</v>
      </c>
      <c r="E138" s="37">
        <v>3.25</v>
      </c>
      <c r="F138" s="38">
        <v>0.18</v>
      </c>
      <c r="G138" s="38" t="s">
        <v>22</v>
      </c>
      <c r="H138" s="39" t="s">
        <v>70</v>
      </c>
      <c r="I138" s="40" t="s">
        <v>430</v>
      </c>
      <c r="J138" s="41" t="s">
        <v>80</v>
      </c>
      <c r="K138" s="42" t="s">
        <v>73</v>
      </c>
      <c r="L138" s="43" t="s">
        <v>431</v>
      </c>
      <c r="M138" s="44">
        <v>8.708999E7</v>
      </c>
      <c r="N138" s="44" t="s">
        <v>28</v>
      </c>
      <c r="O138" s="45">
        <v>1.728</v>
      </c>
      <c r="P138" s="44">
        <v>7.89823343757E12</v>
      </c>
      <c r="Q138" s="44">
        <v>1.0</v>
      </c>
    </row>
    <row r="139" ht="15.75" customHeight="1">
      <c r="A139" s="35" t="s">
        <v>432</v>
      </c>
      <c r="B139" s="36">
        <v>228.2699123821981</v>
      </c>
      <c r="C139" s="36">
        <f>'Lista de Preço 02_2022'!$B139*0.9*0.9*0.9*0.9*0.9*0.97</f>
        <v>130.7473675</v>
      </c>
      <c r="D139" s="36">
        <f>'Lista de Preço 02_2022'!$C139*1.1712</f>
        <v>153.1313169</v>
      </c>
      <c r="E139" s="37">
        <v>3.25</v>
      </c>
      <c r="F139" s="38">
        <v>0.18</v>
      </c>
      <c r="G139" s="38" t="s">
        <v>22</v>
      </c>
      <c r="H139" s="39" t="s">
        <v>70</v>
      </c>
      <c r="I139" s="40" t="s">
        <v>433</v>
      </c>
      <c r="J139" s="41" t="s">
        <v>80</v>
      </c>
      <c r="K139" s="42" t="s">
        <v>73</v>
      </c>
      <c r="L139" s="43" t="s">
        <v>434</v>
      </c>
      <c r="M139" s="44">
        <v>8.708999E7</v>
      </c>
      <c r="N139" s="44" t="s">
        <v>28</v>
      </c>
      <c r="O139" s="45">
        <v>2.104</v>
      </c>
      <c r="P139" s="44">
        <v>7.898233437587E12</v>
      </c>
      <c r="Q139" s="44">
        <v>1.0</v>
      </c>
    </row>
    <row r="140" ht="15.75" customHeight="1">
      <c r="A140" s="35" t="s">
        <v>435</v>
      </c>
      <c r="B140" s="36">
        <v>206.73087863280955</v>
      </c>
      <c r="C140" s="36">
        <f>'Lista de Preço 02_2022'!$B140*0.9*0.9*0.9*0.9*0.9*0.97</f>
        <v>118.410341</v>
      </c>
      <c r="D140" s="36">
        <f>'Lista de Preço 02_2022'!$C140*1.1712</f>
        <v>138.6821914</v>
      </c>
      <c r="E140" s="37">
        <v>3.25</v>
      </c>
      <c r="F140" s="38">
        <v>0.18</v>
      </c>
      <c r="G140" s="38" t="s">
        <v>22</v>
      </c>
      <c r="H140" s="39" t="s">
        <v>70</v>
      </c>
      <c r="I140" s="40" t="s">
        <v>436</v>
      </c>
      <c r="J140" s="41" t="s">
        <v>80</v>
      </c>
      <c r="K140" s="42" t="s">
        <v>73</v>
      </c>
      <c r="L140" s="43" t="s">
        <v>437</v>
      </c>
      <c r="M140" s="44">
        <v>8.708999E7</v>
      </c>
      <c r="N140" s="44" t="s">
        <v>28</v>
      </c>
      <c r="O140" s="45">
        <v>2.13</v>
      </c>
      <c r="P140" s="44">
        <v>7.898233437594E12</v>
      </c>
      <c r="Q140" s="44">
        <v>1.0</v>
      </c>
    </row>
    <row r="141" ht="15.75" customHeight="1">
      <c r="A141" s="35" t="s">
        <v>438</v>
      </c>
      <c r="B141" s="36">
        <v>160.24794479387748</v>
      </c>
      <c r="C141" s="36">
        <f>'Lista de Preço 02_2022'!$B141*0.9*0.9*0.9*0.9*0.9*0.97</f>
        <v>91.78606465</v>
      </c>
      <c r="D141" s="36">
        <f>'Lista de Preço 02_2022'!$C141*1.1712</f>
        <v>107.4998389</v>
      </c>
      <c r="E141" s="37">
        <v>3.25</v>
      </c>
      <c r="F141" s="38">
        <v>0.18</v>
      </c>
      <c r="G141" s="38" t="s">
        <v>22</v>
      </c>
      <c r="H141" s="39" t="s">
        <v>70</v>
      </c>
      <c r="I141" s="40" t="s">
        <v>439</v>
      </c>
      <c r="J141" s="41" t="s">
        <v>80</v>
      </c>
      <c r="K141" s="42" t="s">
        <v>73</v>
      </c>
      <c r="L141" s="43" t="s">
        <v>440</v>
      </c>
      <c r="M141" s="44">
        <v>8.708999E7</v>
      </c>
      <c r="N141" s="44" t="s">
        <v>28</v>
      </c>
      <c r="O141" s="45">
        <v>1.62</v>
      </c>
      <c r="P141" s="44">
        <v>7.8982334376E12</v>
      </c>
      <c r="Q141" s="44">
        <v>1.0</v>
      </c>
    </row>
    <row r="142" ht="15.75" customHeight="1">
      <c r="A142" s="35" t="s">
        <v>441</v>
      </c>
      <c r="B142" s="36">
        <v>498.52587986998014</v>
      </c>
      <c r="C142" s="36">
        <f>'Lista de Preço 02_2022'!$B142*0.9*0.9*0.9*0.9*0.9*0.97</f>
        <v>285.5433104</v>
      </c>
      <c r="D142" s="36">
        <f>'Lista de Preço 02_2022'!$C142*1.1712</f>
        <v>334.4283251</v>
      </c>
      <c r="E142" s="37">
        <v>3.25</v>
      </c>
      <c r="F142" s="38">
        <v>0.18</v>
      </c>
      <c r="G142" s="38" t="s">
        <v>22</v>
      </c>
      <c r="H142" s="39" t="s">
        <v>23</v>
      </c>
      <c r="I142" s="40" t="s">
        <v>442</v>
      </c>
      <c r="J142" s="41" t="s">
        <v>25</v>
      </c>
      <c r="K142" s="42" t="s">
        <v>68</v>
      </c>
      <c r="L142" s="43">
        <v>9156305.0</v>
      </c>
      <c r="M142" s="44">
        <v>8.708999E7</v>
      </c>
      <c r="N142" s="44" t="s">
        <v>28</v>
      </c>
      <c r="O142" s="45">
        <v>3.612</v>
      </c>
      <c r="P142" s="44">
        <v>7.898233432926E12</v>
      </c>
      <c r="Q142" s="44">
        <v>1.0</v>
      </c>
    </row>
    <row r="143" ht="15.75" customHeight="1">
      <c r="A143" s="35" t="s">
        <v>443</v>
      </c>
      <c r="B143" s="36">
        <v>237.279519175513</v>
      </c>
      <c r="C143" s="36">
        <f>'Lista de Preço 02_2022'!$B143*0.9*0.9*0.9*0.9*0.9*0.97</f>
        <v>135.9078478</v>
      </c>
      <c r="D143" s="36">
        <f>'Lista de Preço 02_2022'!$C143*1.1712</f>
        <v>159.1752713</v>
      </c>
      <c r="E143" s="37">
        <v>3.25</v>
      </c>
      <c r="F143" s="38">
        <v>0.18</v>
      </c>
      <c r="G143" s="38" t="s">
        <v>22</v>
      </c>
      <c r="H143" s="39" t="s">
        <v>70</v>
      </c>
      <c r="I143" s="40" t="s">
        <v>444</v>
      </c>
      <c r="J143" s="41" t="s">
        <v>80</v>
      </c>
      <c r="K143" s="42" t="s">
        <v>73</v>
      </c>
      <c r="L143" s="43" t="s">
        <v>445</v>
      </c>
      <c r="M143" s="44">
        <v>8.708999E7</v>
      </c>
      <c r="N143" s="44" t="s">
        <v>28</v>
      </c>
      <c r="O143" s="45">
        <v>2.33</v>
      </c>
      <c r="P143" s="44">
        <v>7.898233437624E12</v>
      </c>
      <c r="Q143" s="44">
        <v>1.0</v>
      </c>
    </row>
    <row r="144" ht="15.75" customHeight="1">
      <c r="A144" s="35" t="s">
        <v>446</v>
      </c>
      <c r="B144" s="36">
        <v>749.984003260177</v>
      </c>
      <c r="C144" s="36">
        <f>'Lista de Preço 02_2022'!$B144*0.9*0.9*0.9*0.9*0.9*0.97</f>
        <v>429.5723125</v>
      </c>
      <c r="D144" s="36">
        <f>'Lista de Preço 02_2022'!$C144*1.1712</f>
        <v>503.1150924</v>
      </c>
      <c r="E144" s="37">
        <v>3.25</v>
      </c>
      <c r="F144" s="38">
        <v>0.18</v>
      </c>
      <c r="G144" s="38" t="s">
        <v>22</v>
      </c>
      <c r="H144" s="39" t="s">
        <v>229</v>
      </c>
      <c r="I144" s="40" t="s">
        <v>447</v>
      </c>
      <c r="J144" s="41" t="s">
        <v>270</v>
      </c>
      <c r="K144" s="42" t="s">
        <v>26</v>
      </c>
      <c r="L144" s="43" t="s">
        <v>448</v>
      </c>
      <c r="M144" s="44">
        <v>8.708999E7</v>
      </c>
      <c r="N144" s="44" t="s">
        <v>28</v>
      </c>
      <c r="O144" s="45">
        <v>5.996</v>
      </c>
      <c r="P144" s="44">
        <v>7.898233437143E12</v>
      </c>
      <c r="Q144" s="44">
        <v>1.0</v>
      </c>
    </row>
    <row r="145" ht="15.75" customHeight="1">
      <c r="A145" s="35" t="s">
        <v>449</v>
      </c>
      <c r="B145" s="36">
        <v>736.9408032034784</v>
      </c>
      <c r="C145" s="36">
        <f>'Lista de Preço 02_2022'!$B145*0.9*0.9*0.9*0.9*0.9*0.97</f>
        <v>422.1014896</v>
      </c>
      <c r="D145" s="36">
        <f>'Lista de Preço 02_2022'!$C145*1.1712</f>
        <v>494.3652647</v>
      </c>
      <c r="E145" s="37">
        <v>3.25</v>
      </c>
      <c r="F145" s="38">
        <v>0.18</v>
      </c>
      <c r="G145" s="38" t="s">
        <v>22</v>
      </c>
      <c r="H145" s="39" t="s">
        <v>229</v>
      </c>
      <c r="I145" s="40" t="s">
        <v>447</v>
      </c>
      <c r="J145" s="41" t="s">
        <v>270</v>
      </c>
      <c r="K145" s="42" t="s">
        <v>26</v>
      </c>
      <c r="L145" s="43" t="s">
        <v>450</v>
      </c>
      <c r="M145" s="44">
        <v>8.708999E7</v>
      </c>
      <c r="N145" s="44" t="s">
        <v>28</v>
      </c>
      <c r="O145" s="45">
        <v>6.0</v>
      </c>
      <c r="P145" s="44">
        <v>7.89823343715E12</v>
      </c>
      <c r="Q145" s="44">
        <v>1.0</v>
      </c>
    </row>
    <row r="146" ht="15.75" customHeight="1">
      <c r="A146" s="35" t="s">
        <v>451</v>
      </c>
      <c r="B146" s="36">
        <v>225.00891363388098</v>
      </c>
      <c r="C146" s="36">
        <f>'Lista de Preço 02_2022'!$B146*0.9*0.9*0.9*0.9*0.9*0.97</f>
        <v>128.879548</v>
      </c>
      <c r="D146" s="36">
        <f>'Lista de Preço 02_2022'!$C146*1.1712</f>
        <v>150.9437266</v>
      </c>
      <c r="E146" s="37">
        <v>3.25</v>
      </c>
      <c r="F146" s="38">
        <v>0.18</v>
      </c>
      <c r="G146" s="38" t="s">
        <v>22</v>
      </c>
      <c r="H146" s="39" t="s">
        <v>70</v>
      </c>
      <c r="I146" s="40" t="s">
        <v>452</v>
      </c>
      <c r="J146" s="41" t="s">
        <v>80</v>
      </c>
      <c r="K146" s="42" t="s">
        <v>68</v>
      </c>
      <c r="L146" s="43" t="s">
        <v>453</v>
      </c>
      <c r="M146" s="44">
        <v>8.708999E7</v>
      </c>
      <c r="N146" s="44" t="s">
        <v>28</v>
      </c>
      <c r="O146" s="45">
        <v>1.888</v>
      </c>
      <c r="P146" s="44">
        <v>7.898233438027E12</v>
      </c>
      <c r="Q146" s="44">
        <v>1.0</v>
      </c>
    </row>
    <row r="147" ht="15.75" customHeight="1">
      <c r="A147" s="35" t="s">
        <v>454</v>
      </c>
      <c r="B147" s="36">
        <v>187.89107493980103</v>
      </c>
      <c r="C147" s="36">
        <f>'Lista de Preço 02_2022'!$B147*0.9*0.9*0.9*0.9*0.9*0.97</f>
        <v>107.6193668</v>
      </c>
      <c r="D147" s="36">
        <f>'Lista de Preço 02_2022'!$C147*1.1712</f>
        <v>126.0438024</v>
      </c>
      <c r="E147" s="37">
        <v>3.25</v>
      </c>
      <c r="F147" s="38">
        <v>0.18</v>
      </c>
      <c r="G147" s="38" t="s">
        <v>22</v>
      </c>
      <c r="H147" s="39" t="s">
        <v>70</v>
      </c>
      <c r="I147" s="40" t="s">
        <v>455</v>
      </c>
      <c r="J147" s="41" t="s">
        <v>80</v>
      </c>
      <c r="K147" s="42" t="s">
        <v>456</v>
      </c>
      <c r="L147" s="43" t="s">
        <v>457</v>
      </c>
      <c r="M147" s="44">
        <v>8.708999E7</v>
      </c>
      <c r="N147" s="44" t="s">
        <v>28</v>
      </c>
      <c r="O147" s="45">
        <v>1.686</v>
      </c>
      <c r="P147" s="44">
        <v>7.898233437327E12</v>
      </c>
      <c r="Q147" s="44">
        <v>1.0</v>
      </c>
    </row>
    <row r="148" ht="15.75" customHeight="1">
      <c r="A148" s="35" t="s">
        <v>458</v>
      </c>
      <c r="B148" s="36">
        <v>276.51351151171315</v>
      </c>
      <c r="C148" s="36">
        <f>'Lista de Preço 02_2022'!$B148*0.9*0.9*0.9*0.9*0.9*0.97</f>
        <v>158.3801095</v>
      </c>
      <c r="D148" s="36">
        <f>'Lista de Preço 02_2022'!$C148*1.1712</f>
        <v>185.4947843</v>
      </c>
      <c r="E148" s="37">
        <v>3.25</v>
      </c>
      <c r="F148" s="38">
        <v>0.18</v>
      </c>
      <c r="G148" s="38" t="s">
        <v>22</v>
      </c>
      <c r="H148" s="39" t="s">
        <v>70</v>
      </c>
      <c r="I148" s="40" t="s">
        <v>459</v>
      </c>
      <c r="J148" s="41" t="s">
        <v>244</v>
      </c>
      <c r="K148" s="42" t="s">
        <v>86</v>
      </c>
      <c r="L148" s="39" t="s">
        <v>460</v>
      </c>
      <c r="M148" s="44">
        <v>8.708999E7</v>
      </c>
      <c r="N148" s="44" t="s">
        <v>28</v>
      </c>
      <c r="O148" s="45">
        <v>3.212</v>
      </c>
      <c r="P148" s="44">
        <v>7.89823343773E12</v>
      </c>
      <c r="Q148" s="44">
        <v>1.0</v>
      </c>
    </row>
    <row r="149" ht="15.75" customHeight="1">
      <c r="A149" s="35" t="s">
        <v>461</v>
      </c>
      <c r="B149" s="36">
        <v>257.0091765611695</v>
      </c>
      <c r="C149" s="36">
        <f>'Lista de Preço 02_2022'!$B149*0.9*0.9*0.9*0.9*0.9*0.97</f>
        <v>147.2085082</v>
      </c>
      <c r="D149" s="36">
        <f>'Lista de Preço 02_2022'!$C149*1.1712</f>
        <v>172.4106048</v>
      </c>
      <c r="E149" s="37">
        <v>3.25</v>
      </c>
      <c r="F149" s="38">
        <v>0.18</v>
      </c>
      <c r="G149" s="38" t="s">
        <v>22</v>
      </c>
      <c r="H149" s="39" t="s">
        <v>70</v>
      </c>
      <c r="I149" s="40" t="s">
        <v>462</v>
      </c>
      <c r="J149" s="41" t="s">
        <v>80</v>
      </c>
      <c r="K149" s="42" t="s">
        <v>153</v>
      </c>
      <c r="L149" s="39" t="s">
        <v>463</v>
      </c>
      <c r="M149" s="44">
        <v>8.708999E7</v>
      </c>
      <c r="N149" s="44" t="s">
        <v>28</v>
      </c>
      <c r="O149" s="45">
        <v>2.732</v>
      </c>
      <c r="P149" s="44">
        <v>7.89823343744E12</v>
      </c>
      <c r="Q149" s="44">
        <v>1.0</v>
      </c>
    </row>
    <row r="150" ht="15.75" customHeight="1">
      <c r="A150" s="35" t="s">
        <v>464</v>
      </c>
      <c r="B150" s="36">
        <v>1007.3772723447186</v>
      </c>
      <c r="C150" s="36">
        <f>'Lista de Preço 02_2022'!$B150*0.9*0.9*0.9*0.9*0.9*0.97</f>
        <v>577.0008194</v>
      </c>
      <c r="D150" s="36">
        <f>'Lista de Preço 02_2022'!$C150*1.1712</f>
        <v>675.7833597</v>
      </c>
      <c r="E150" s="37">
        <v>3.25</v>
      </c>
      <c r="F150" s="38">
        <v>0.18</v>
      </c>
      <c r="G150" s="38" t="s">
        <v>22</v>
      </c>
      <c r="H150" s="39" t="s">
        <v>229</v>
      </c>
      <c r="I150" s="40" t="s">
        <v>465</v>
      </c>
      <c r="J150" s="41" t="s">
        <v>260</v>
      </c>
      <c r="K150" s="42" t="s">
        <v>153</v>
      </c>
      <c r="L150" s="43" t="s">
        <v>466</v>
      </c>
      <c r="M150" s="44">
        <v>8.708999E7</v>
      </c>
      <c r="N150" s="44" t="s">
        <v>28</v>
      </c>
      <c r="O150" s="45">
        <v>11.66</v>
      </c>
      <c r="P150" s="44">
        <v>7.898233437631E12</v>
      </c>
      <c r="Q150" s="44">
        <v>1.0</v>
      </c>
    </row>
    <row r="151" ht="15.75" customHeight="1">
      <c r="A151" s="35" t="s">
        <v>467</v>
      </c>
      <c r="B151" s="36">
        <v>78.62300471694901</v>
      </c>
      <c r="C151" s="36">
        <f>'Lista de Preço 02_2022'!$B151*0.9*0.9*0.9*0.9*0.9*0.97</f>
        <v>45.03331511</v>
      </c>
      <c r="D151" s="36">
        <f>'Lista de Preço 02_2022'!$C151*1.1712</f>
        <v>52.74301866</v>
      </c>
      <c r="E151" s="37">
        <v>3.25</v>
      </c>
      <c r="F151" s="38">
        <v>0.18</v>
      </c>
      <c r="G151" s="38" t="s">
        <v>22</v>
      </c>
      <c r="H151" s="39" t="s">
        <v>43</v>
      </c>
      <c r="I151" s="40" t="s">
        <v>468</v>
      </c>
      <c r="J151" s="41" t="s">
        <v>469</v>
      </c>
      <c r="K151" s="42" t="s">
        <v>68</v>
      </c>
      <c r="L151" s="43" t="s">
        <v>470</v>
      </c>
      <c r="M151" s="44">
        <v>8.708999E7</v>
      </c>
      <c r="N151" s="44" t="s">
        <v>28</v>
      </c>
      <c r="O151" s="45">
        <v>0.5</v>
      </c>
      <c r="P151" s="44">
        <v>7.898233433848E12</v>
      </c>
      <c r="Q151" s="44">
        <v>1.0</v>
      </c>
    </row>
    <row r="152" ht="15.75" customHeight="1">
      <c r="A152" s="35" t="s">
        <v>471</v>
      </c>
      <c r="B152" s="36">
        <v>707.77372961837</v>
      </c>
      <c r="C152" s="36">
        <f>'Lista de Preço 02_2022'!$B152*0.9*0.9*0.9*0.9*0.9*0.97</f>
        <v>405.3953103</v>
      </c>
      <c r="D152" s="36">
        <f>'Lista de Preço 02_2022'!$C152*1.1712</f>
        <v>474.7989874</v>
      </c>
      <c r="E152" s="37">
        <v>3.25</v>
      </c>
      <c r="F152" s="38">
        <v>0.18</v>
      </c>
      <c r="G152" s="38" t="s">
        <v>22</v>
      </c>
      <c r="H152" s="39" t="s">
        <v>229</v>
      </c>
      <c r="I152" s="40" t="s">
        <v>465</v>
      </c>
      <c r="J152" s="41" t="s">
        <v>260</v>
      </c>
      <c r="K152" s="42" t="s">
        <v>153</v>
      </c>
      <c r="L152" s="43" t="s">
        <v>472</v>
      </c>
      <c r="M152" s="44">
        <v>8.708999E7</v>
      </c>
      <c r="N152" s="44" t="s">
        <v>28</v>
      </c>
      <c r="O152" s="45">
        <v>7.64</v>
      </c>
      <c r="P152" s="44">
        <v>7.898233437648E12</v>
      </c>
      <c r="Q152" s="44">
        <v>1.0</v>
      </c>
    </row>
    <row r="153" ht="15.75" customHeight="1">
      <c r="A153" s="35" t="s">
        <v>473</v>
      </c>
      <c r="B153" s="36">
        <v>819.5048185498434</v>
      </c>
      <c r="C153" s="36">
        <f>'Lista de Preço 02_2022'!$B153*0.9*0.9*0.9*0.9*0.9*0.97</f>
        <v>469.3921183</v>
      </c>
      <c r="D153" s="36">
        <f>'Lista de Preço 02_2022'!$C153*1.1712</f>
        <v>549.7520489</v>
      </c>
      <c r="E153" s="37">
        <v>3.25</v>
      </c>
      <c r="F153" s="38">
        <v>0.18</v>
      </c>
      <c r="G153" s="38" t="s">
        <v>22</v>
      </c>
      <c r="H153" s="39" t="s">
        <v>229</v>
      </c>
      <c r="I153" s="40" t="s">
        <v>474</v>
      </c>
      <c r="J153" s="41" t="s">
        <v>260</v>
      </c>
      <c r="K153" s="42" t="s">
        <v>95</v>
      </c>
      <c r="L153" s="43" t="s">
        <v>475</v>
      </c>
      <c r="M153" s="44">
        <v>8.708999E7</v>
      </c>
      <c r="N153" s="44" t="s">
        <v>28</v>
      </c>
      <c r="O153" s="45">
        <v>12.0</v>
      </c>
      <c r="P153" s="44">
        <v>7.898233438256E12</v>
      </c>
      <c r="Q153" s="44">
        <v>1.0</v>
      </c>
    </row>
    <row r="154" ht="15.75" customHeight="1">
      <c r="A154" s="35" t="s">
        <v>476</v>
      </c>
      <c r="B154" s="36">
        <v>725.8042174676746</v>
      </c>
      <c r="C154" s="36">
        <f>'Lista de Preço 02_2022'!$B154*0.9*0.9*0.9*0.9*0.9*0.97</f>
        <v>415.7227284</v>
      </c>
      <c r="D154" s="36">
        <f>'Lista de Preço 02_2022'!$C154*1.1712</f>
        <v>486.8944595</v>
      </c>
      <c r="E154" s="37">
        <v>3.25</v>
      </c>
      <c r="F154" s="38">
        <v>0.18</v>
      </c>
      <c r="G154" s="38" t="s">
        <v>22</v>
      </c>
      <c r="H154" s="39" t="s">
        <v>229</v>
      </c>
      <c r="I154" s="40" t="s">
        <v>477</v>
      </c>
      <c r="J154" s="41" t="s">
        <v>260</v>
      </c>
      <c r="K154" s="42" t="s">
        <v>95</v>
      </c>
      <c r="L154" s="43" t="s">
        <v>478</v>
      </c>
      <c r="M154" s="44">
        <v>8.708999E7</v>
      </c>
      <c r="N154" s="44" t="s">
        <v>28</v>
      </c>
      <c r="O154" s="45">
        <v>9.56</v>
      </c>
      <c r="P154" s="44">
        <v>7.898233438263E12</v>
      </c>
      <c r="Q154" s="44">
        <v>1.0</v>
      </c>
    </row>
    <row r="155" ht="15.75" customHeight="1">
      <c r="A155" s="35" t="s">
        <v>479</v>
      </c>
      <c r="B155" s="36">
        <v>1148.9211178089656</v>
      </c>
      <c r="C155" s="36">
        <f>'Lista de Preço 02_2022'!$B155*0.9*0.9*0.9*0.9*0.9*0.97</f>
        <v>658.0736379</v>
      </c>
      <c r="D155" s="36">
        <f>'Lista de Preço 02_2022'!$C155*1.1712</f>
        <v>770.7358447</v>
      </c>
      <c r="E155" s="37">
        <v>3.25</v>
      </c>
      <c r="F155" s="38">
        <v>0.18</v>
      </c>
      <c r="G155" s="38" t="s">
        <v>22</v>
      </c>
      <c r="H155" s="39" t="s">
        <v>229</v>
      </c>
      <c r="I155" s="40" t="s">
        <v>480</v>
      </c>
      <c r="J155" s="41" t="s">
        <v>260</v>
      </c>
      <c r="K155" s="42" t="s">
        <v>95</v>
      </c>
      <c r="L155" s="43">
        <v>5.187227E7</v>
      </c>
      <c r="M155" s="44">
        <v>8.708999E7</v>
      </c>
      <c r="N155" s="44" t="s">
        <v>28</v>
      </c>
      <c r="O155" s="45">
        <v>12.26</v>
      </c>
      <c r="P155" s="44">
        <v>7.89823343827E12</v>
      </c>
      <c r="Q155" s="44">
        <v>1.0</v>
      </c>
    </row>
    <row r="156" ht="15.75" customHeight="1">
      <c r="A156" s="35" t="s">
        <v>481</v>
      </c>
      <c r="B156" s="36">
        <v>1016.5009561858043</v>
      </c>
      <c r="C156" s="36">
        <f>'Lista de Preço 02_2022'!$B156*0.9*0.9*0.9*0.9*0.9*0.97</f>
        <v>582.2266401</v>
      </c>
      <c r="D156" s="36">
        <f>'Lista de Preço 02_2022'!$C156*1.1712</f>
        <v>681.9038409</v>
      </c>
      <c r="E156" s="37">
        <v>3.25</v>
      </c>
      <c r="F156" s="38">
        <v>0.18</v>
      </c>
      <c r="G156" s="38" t="s">
        <v>22</v>
      </c>
      <c r="H156" s="39" t="s">
        <v>229</v>
      </c>
      <c r="I156" s="40" t="s">
        <v>482</v>
      </c>
      <c r="J156" s="41" t="s">
        <v>260</v>
      </c>
      <c r="K156" s="42" t="s">
        <v>95</v>
      </c>
      <c r="L156" s="43">
        <v>5.1872269E7</v>
      </c>
      <c r="M156" s="44">
        <v>8.708999E7</v>
      </c>
      <c r="N156" s="44" t="s">
        <v>28</v>
      </c>
      <c r="O156" s="45">
        <v>9.36</v>
      </c>
      <c r="P156" s="44">
        <v>7.898233438287E12</v>
      </c>
      <c r="Q156" s="44">
        <v>1.0</v>
      </c>
    </row>
    <row r="157" ht="15.75" customHeight="1">
      <c r="A157" s="35" t="s">
        <v>483</v>
      </c>
      <c r="B157" s="36">
        <v>1089.5165262582198</v>
      </c>
      <c r="C157" s="36">
        <f>'Lista de Preço 02_2022'!$B157*0.9*0.9*0.9*0.9*0.9*0.97</f>
        <v>624.0481552</v>
      </c>
      <c r="D157" s="36">
        <f>'Lista de Preço 02_2022'!$C157*1.1712</f>
        <v>730.8851993</v>
      </c>
      <c r="E157" s="37">
        <v>3.25</v>
      </c>
      <c r="F157" s="38">
        <v>0.18</v>
      </c>
      <c r="G157" s="38" t="s">
        <v>22</v>
      </c>
      <c r="H157" s="39" t="s">
        <v>229</v>
      </c>
      <c r="I157" s="40" t="s">
        <v>484</v>
      </c>
      <c r="J157" s="41" t="s">
        <v>260</v>
      </c>
      <c r="K157" s="42" t="s">
        <v>95</v>
      </c>
      <c r="L157" s="43" t="s">
        <v>485</v>
      </c>
      <c r="M157" s="44">
        <v>8.708999E7</v>
      </c>
      <c r="N157" s="44" t="s">
        <v>28</v>
      </c>
      <c r="O157" s="45">
        <v>11.72</v>
      </c>
      <c r="P157" s="44">
        <v>7.898233438294E12</v>
      </c>
      <c r="Q157" s="44">
        <v>1.0</v>
      </c>
    </row>
    <row r="158" ht="15.75" customHeight="1">
      <c r="A158" s="35" t="s">
        <v>486</v>
      </c>
      <c r="B158" s="36">
        <v>949.0914950009192</v>
      </c>
      <c r="C158" s="36">
        <f>'Lista de Preço 02_2022'!$B158*0.9*0.9*0.9*0.9*0.9*0.97</f>
        <v>543.6161658</v>
      </c>
      <c r="D158" s="36">
        <f>'Lista de Preço 02_2022'!$C158*1.1712</f>
        <v>636.6832534</v>
      </c>
      <c r="E158" s="37">
        <v>3.25</v>
      </c>
      <c r="F158" s="38">
        <v>0.18</v>
      </c>
      <c r="G158" s="38" t="s">
        <v>22</v>
      </c>
      <c r="H158" s="39" t="s">
        <v>229</v>
      </c>
      <c r="I158" s="40" t="s">
        <v>487</v>
      </c>
      <c r="J158" s="41" t="s">
        <v>260</v>
      </c>
      <c r="K158" s="42" t="s">
        <v>95</v>
      </c>
      <c r="L158" s="43" t="s">
        <v>488</v>
      </c>
      <c r="M158" s="44">
        <v>8.708999E7</v>
      </c>
      <c r="N158" s="44" t="s">
        <v>28</v>
      </c>
      <c r="O158" s="45">
        <v>11.64</v>
      </c>
      <c r="P158" s="44">
        <v>7.8982334383E12</v>
      </c>
      <c r="Q158" s="44">
        <v>1.0</v>
      </c>
    </row>
    <row r="159" ht="15.75" customHeight="1">
      <c r="A159" s="35" t="s">
        <v>489</v>
      </c>
      <c r="B159" s="36">
        <v>1293.4543188175467</v>
      </c>
      <c r="C159" s="36">
        <f>'Lista de Preço 02_2022'!$B159*0.9*0.9*0.9*0.9*0.9*0.97</f>
        <v>740.8586855</v>
      </c>
      <c r="D159" s="36">
        <f>'Lista de Preço 02_2022'!$C159*1.1712</f>
        <v>867.6936925</v>
      </c>
      <c r="E159" s="37">
        <v>3.25</v>
      </c>
      <c r="F159" s="38">
        <v>0.18</v>
      </c>
      <c r="G159" s="38" t="s">
        <v>22</v>
      </c>
      <c r="H159" s="39" t="s">
        <v>229</v>
      </c>
      <c r="I159" s="40" t="s">
        <v>490</v>
      </c>
      <c r="J159" s="41" t="s">
        <v>260</v>
      </c>
      <c r="K159" s="42" t="s">
        <v>95</v>
      </c>
      <c r="L159" s="43" t="s">
        <v>491</v>
      </c>
      <c r="M159" s="44">
        <v>8.708999E7</v>
      </c>
      <c r="N159" s="44" t="s">
        <v>28</v>
      </c>
      <c r="O159" s="45">
        <v>14.42</v>
      </c>
      <c r="P159" s="44">
        <v>7.898233438317E12</v>
      </c>
      <c r="Q159" s="44">
        <v>1.0</v>
      </c>
    </row>
    <row r="160" ht="15.75" customHeight="1">
      <c r="A160" s="35" t="s">
        <v>492</v>
      </c>
      <c r="B160" s="36">
        <v>1245.1099717775257</v>
      </c>
      <c r="C160" s="36">
        <f>'Lista de Preço 02_2022'!$B160*0.9*0.9*0.9*0.9*0.9*0.97</f>
        <v>713.1682376</v>
      </c>
      <c r="D160" s="36">
        <f>'Lista de Preço 02_2022'!$C160*1.1712</f>
        <v>835.2626399</v>
      </c>
      <c r="E160" s="37">
        <v>3.25</v>
      </c>
      <c r="F160" s="38">
        <v>0.18</v>
      </c>
      <c r="G160" s="38" t="s">
        <v>22</v>
      </c>
      <c r="H160" s="39" t="s">
        <v>229</v>
      </c>
      <c r="I160" s="40" t="s">
        <v>493</v>
      </c>
      <c r="J160" s="41" t="s">
        <v>260</v>
      </c>
      <c r="K160" s="42" t="s">
        <v>95</v>
      </c>
      <c r="L160" s="43" t="s">
        <v>494</v>
      </c>
      <c r="M160" s="44">
        <v>8.708999E7</v>
      </c>
      <c r="N160" s="44" t="s">
        <v>28</v>
      </c>
      <c r="O160" s="45">
        <v>14.46</v>
      </c>
      <c r="P160" s="44">
        <v>7.898233438324E12</v>
      </c>
      <c r="Q160" s="44">
        <v>1.0</v>
      </c>
    </row>
    <row r="161" ht="15.75" customHeight="1">
      <c r="A161" s="35" t="s">
        <v>495</v>
      </c>
      <c r="B161" s="36">
        <v>812.6002743760996</v>
      </c>
      <c r="C161" s="36">
        <f>'Lista de Preço 02_2022'!$B161*0.9*0.9*0.9*0.9*0.9*0.97</f>
        <v>465.4373659</v>
      </c>
      <c r="D161" s="36">
        <f>'Lista de Preço 02_2022'!$C161*1.1712</f>
        <v>545.120243</v>
      </c>
      <c r="E161" s="37">
        <v>3.25</v>
      </c>
      <c r="F161" s="38">
        <v>0.18</v>
      </c>
      <c r="G161" s="38" t="s">
        <v>22</v>
      </c>
      <c r="H161" s="39" t="s">
        <v>229</v>
      </c>
      <c r="I161" s="40" t="s">
        <v>496</v>
      </c>
      <c r="J161" s="41" t="s">
        <v>276</v>
      </c>
      <c r="K161" s="42" t="s">
        <v>282</v>
      </c>
      <c r="L161" s="43" t="s">
        <v>497</v>
      </c>
      <c r="M161" s="44">
        <v>8.708999E7</v>
      </c>
      <c r="N161" s="44" t="s">
        <v>28</v>
      </c>
      <c r="O161" s="45">
        <v>5.512</v>
      </c>
      <c r="P161" s="44">
        <v>7.898233438331E12</v>
      </c>
      <c r="Q161" s="44">
        <v>1.0</v>
      </c>
    </row>
    <row r="162" ht="15.75" customHeight="1">
      <c r="A162" s="35" t="s">
        <v>498</v>
      </c>
      <c r="B162" s="36">
        <v>536.9633159825</v>
      </c>
      <c r="C162" s="36">
        <f>'Lista de Preço 02_2022'!$B162*0.9*0.9*0.9*0.9*0.9*0.97</f>
        <v>307.5593244</v>
      </c>
      <c r="D162" s="36">
        <f>'Lista de Preço 02_2022'!$C162*1.1712</f>
        <v>360.2134807</v>
      </c>
      <c r="E162" s="37">
        <v>3.25</v>
      </c>
      <c r="F162" s="38">
        <v>0.18</v>
      </c>
      <c r="G162" s="38" t="s">
        <v>22</v>
      </c>
      <c r="H162" s="39" t="s">
        <v>23</v>
      </c>
      <c r="I162" s="40" t="s">
        <v>499</v>
      </c>
      <c r="J162" s="41" t="s">
        <v>500</v>
      </c>
      <c r="K162" s="42" t="s">
        <v>68</v>
      </c>
      <c r="L162" s="43" t="s">
        <v>501</v>
      </c>
      <c r="M162" s="44">
        <v>8.708999E7</v>
      </c>
      <c r="N162" s="44" t="s">
        <v>28</v>
      </c>
      <c r="O162" s="45">
        <v>1.838</v>
      </c>
      <c r="P162" s="44">
        <v>7.898233439352E12</v>
      </c>
      <c r="Q162" s="44">
        <v>1.0</v>
      </c>
    </row>
    <row r="163" ht="15.75" customHeight="1">
      <c r="A163" s="35" t="s">
        <v>502</v>
      </c>
      <c r="B163" s="36">
        <v>685.5699077071215</v>
      </c>
      <c r="C163" s="36">
        <f>'Lista de Preço 02_2022'!$B163*0.9*0.9*0.9*0.9*0.9*0.97</f>
        <v>392.6775096</v>
      </c>
      <c r="D163" s="36">
        <f>'Lista de Preço 02_2022'!$C163*1.1712</f>
        <v>459.9038992</v>
      </c>
      <c r="E163" s="37">
        <v>3.25</v>
      </c>
      <c r="F163" s="38">
        <v>0.18</v>
      </c>
      <c r="G163" s="38" t="s">
        <v>22</v>
      </c>
      <c r="H163" s="39" t="s">
        <v>229</v>
      </c>
      <c r="I163" s="40" t="s">
        <v>503</v>
      </c>
      <c r="J163" s="41" t="s">
        <v>270</v>
      </c>
      <c r="K163" s="42" t="s">
        <v>282</v>
      </c>
      <c r="L163" s="43" t="s">
        <v>504</v>
      </c>
      <c r="M163" s="44">
        <v>8.708999E7</v>
      </c>
      <c r="N163" s="44" t="s">
        <v>28</v>
      </c>
      <c r="O163" s="45">
        <v>5.74</v>
      </c>
      <c r="P163" s="44">
        <v>7.898233438348E12</v>
      </c>
      <c r="Q163" s="44">
        <v>1.0</v>
      </c>
    </row>
    <row r="164" ht="15.75" customHeight="1">
      <c r="A164" s="35" t="s">
        <v>505</v>
      </c>
      <c r="B164" s="36">
        <v>917.9640934702684</v>
      </c>
      <c r="C164" s="36">
        <f>'Lista de Preço 02_2022'!$B164*0.9*0.9*0.9*0.9*0.9*0.97</f>
        <v>525.787159</v>
      </c>
      <c r="D164" s="36">
        <f>'Lista de Preço 02_2022'!$C164*1.1712</f>
        <v>615.8019207</v>
      </c>
      <c r="E164" s="37">
        <v>3.25</v>
      </c>
      <c r="F164" s="38">
        <v>0.18</v>
      </c>
      <c r="G164" s="38" t="s">
        <v>22</v>
      </c>
      <c r="H164" s="39" t="s">
        <v>229</v>
      </c>
      <c r="I164" s="40" t="s">
        <v>506</v>
      </c>
      <c r="J164" s="41" t="s">
        <v>276</v>
      </c>
      <c r="K164" s="42" t="s">
        <v>507</v>
      </c>
      <c r="L164" s="43" t="s">
        <v>508</v>
      </c>
      <c r="M164" s="44">
        <v>8.708999E7</v>
      </c>
      <c r="N164" s="44" t="s">
        <v>28</v>
      </c>
      <c r="O164" s="45">
        <v>9.32</v>
      </c>
      <c r="P164" s="44">
        <v>7.898233438355E12</v>
      </c>
      <c r="Q164" s="44">
        <v>1.0</v>
      </c>
    </row>
    <row r="165" ht="15.75" customHeight="1">
      <c r="A165" s="35" t="s">
        <v>509</v>
      </c>
      <c r="B165" s="36">
        <v>888.2080686495757</v>
      </c>
      <c r="C165" s="36">
        <f>'Lista de Preço 02_2022'!$B165*0.9*0.9*0.9*0.9*0.9*0.97</f>
        <v>508.743643</v>
      </c>
      <c r="D165" s="36">
        <f>'Lista de Preço 02_2022'!$C165*1.1712</f>
        <v>595.8405547</v>
      </c>
      <c r="E165" s="37">
        <v>3.25</v>
      </c>
      <c r="F165" s="38">
        <v>0.18</v>
      </c>
      <c r="G165" s="38" t="s">
        <v>22</v>
      </c>
      <c r="H165" s="39" t="s">
        <v>229</v>
      </c>
      <c r="I165" s="40" t="s">
        <v>510</v>
      </c>
      <c r="J165" s="41" t="s">
        <v>276</v>
      </c>
      <c r="K165" s="42" t="s">
        <v>507</v>
      </c>
      <c r="L165" s="43" t="s">
        <v>511</v>
      </c>
      <c r="M165" s="44">
        <v>8.708999E7</v>
      </c>
      <c r="N165" s="44" t="s">
        <v>28</v>
      </c>
      <c r="O165" s="45">
        <v>9.46</v>
      </c>
      <c r="P165" s="44">
        <v>7.898233438362E12</v>
      </c>
      <c r="Q165" s="44">
        <v>1.0</v>
      </c>
    </row>
    <row r="166" ht="15.75" customHeight="1">
      <c r="A166" s="35" t="s">
        <v>512</v>
      </c>
      <c r="B166" s="36">
        <v>832.1493514851333</v>
      </c>
      <c r="C166" s="36">
        <f>'Lista de Preço 02_2022'!$B166*0.9*0.9*0.9*0.9*0.9*0.97</f>
        <v>476.6345944</v>
      </c>
      <c r="D166" s="36">
        <f>'Lista de Preço 02_2022'!$C166*1.1712</f>
        <v>558.234437</v>
      </c>
      <c r="E166" s="37">
        <v>3.25</v>
      </c>
      <c r="F166" s="38">
        <v>0.18</v>
      </c>
      <c r="G166" s="38" t="s">
        <v>22</v>
      </c>
      <c r="H166" s="39" t="s">
        <v>229</v>
      </c>
      <c r="I166" s="40" t="s">
        <v>513</v>
      </c>
      <c r="J166" s="41" t="s">
        <v>231</v>
      </c>
      <c r="K166" s="42" t="s">
        <v>507</v>
      </c>
      <c r="L166" s="43" t="s">
        <v>514</v>
      </c>
      <c r="M166" s="44">
        <v>8.708999E7</v>
      </c>
      <c r="N166" s="44" t="s">
        <v>28</v>
      </c>
      <c r="O166" s="45">
        <v>8.46</v>
      </c>
      <c r="P166" s="44">
        <v>7.898233438379E12</v>
      </c>
      <c r="Q166" s="44">
        <v>1.0</v>
      </c>
    </row>
    <row r="167" ht="15.75" customHeight="1">
      <c r="A167" s="49" t="s">
        <v>515</v>
      </c>
      <c r="B167" s="36">
        <v>833.9766603669317</v>
      </c>
      <c r="C167" s="36">
        <f>'Lista de Preço 02_2022'!$B167*0.9*0.9*0.9*0.9*0.9*0.97</f>
        <v>477.6812318</v>
      </c>
      <c r="D167" s="36">
        <f>'Lista de Preço 02_2022'!$C167*1.1712</f>
        <v>559.4602587</v>
      </c>
      <c r="E167" s="37">
        <v>3.25</v>
      </c>
      <c r="F167" s="38">
        <v>0.18</v>
      </c>
      <c r="G167" s="38" t="s">
        <v>22</v>
      </c>
      <c r="H167" s="39" t="s">
        <v>229</v>
      </c>
      <c r="I167" s="40" t="s">
        <v>516</v>
      </c>
      <c r="J167" s="41" t="s">
        <v>231</v>
      </c>
      <c r="K167" s="42" t="s">
        <v>507</v>
      </c>
      <c r="L167" s="43" t="s">
        <v>517</v>
      </c>
      <c r="M167" s="44">
        <v>8.708999E7</v>
      </c>
      <c r="N167" s="44" t="s">
        <v>28</v>
      </c>
      <c r="O167" s="45">
        <v>7.12</v>
      </c>
      <c r="P167" s="44">
        <v>7.898233438386E12</v>
      </c>
      <c r="Q167" s="44">
        <v>1.0</v>
      </c>
    </row>
    <row r="168" ht="15.75" customHeight="1">
      <c r="A168" s="49" t="s">
        <v>518</v>
      </c>
      <c r="B168" s="36">
        <v>899.7018442225746</v>
      </c>
      <c r="C168" s="36">
        <f>'Lista de Preço 02_2022'!$B168*0.9*0.9*0.9*0.9*0.9*0.97</f>
        <v>515.3269937</v>
      </c>
      <c r="D168" s="36">
        <f>'Lista de Preço 02_2022'!$C168*1.1712</f>
        <v>603.5509751</v>
      </c>
      <c r="E168" s="37">
        <v>3.25</v>
      </c>
      <c r="F168" s="38">
        <v>0.18</v>
      </c>
      <c r="G168" s="38" t="s">
        <v>22</v>
      </c>
      <c r="H168" s="39" t="s">
        <v>229</v>
      </c>
      <c r="I168" s="40" t="s">
        <v>519</v>
      </c>
      <c r="J168" s="41" t="s">
        <v>276</v>
      </c>
      <c r="K168" s="42" t="s">
        <v>507</v>
      </c>
      <c r="L168" s="43" t="s">
        <v>520</v>
      </c>
      <c r="M168" s="44">
        <v>8.708999E7</v>
      </c>
      <c r="N168" s="44" t="s">
        <v>28</v>
      </c>
      <c r="O168" s="45">
        <v>10.0</v>
      </c>
      <c r="P168" s="44">
        <v>7.898233438409E12</v>
      </c>
      <c r="Q168" s="44">
        <v>1.0</v>
      </c>
    </row>
    <row r="169" ht="15.75" customHeight="1">
      <c r="A169" s="49" t="s">
        <v>521</v>
      </c>
      <c r="B169" s="36">
        <v>285.0703903232209</v>
      </c>
      <c r="C169" s="36">
        <f>'Lista de Preço 02_2022'!$B169*0.9*0.9*0.9*0.9*0.9*0.97</f>
        <v>163.2812783</v>
      </c>
      <c r="D169" s="36">
        <f>'Lista de Preço 02_2022'!$C169*1.1712</f>
        <v>191.2350332</v>
      </c>
      <c r="E169" s="37">
        <v>3.25</v>
      </c>
      <c r="F169" s="38">
        <v>0.18</v>
      </c>
      <c r="G169" s="38" t="s">
        <v>22</v>
      </c>
      <c r="H169" s="39" t="s">
        <v>229</v>
      </c>
      <c r="I169" s="40" t="s">
        <v>522</v>
      </c>
      <c r="J169" s="41" t="s">
        <v>231</v>
      </c>
      <c r="K169" s="42" t="s">
        <v>68</v>
      </c>
      <c r="L169" s="43" t="s">
        <v>523</v>
      </c>
      <c r="M169" s="44">
        <v>8.708999E7</v>
      </c>
      <c r="N169" s="44" t="s">
        <v>28</v>
      </c>
      <c r="O169" s="45">
        <v>6.26</v>
      </c>
      <c r="P169" s="44">
        <v>7.898233438423E12</v>
      </c>
      <c r="Q169" s="44">
        <v>1.0</v>
      </c>
    </row>
    <row r="170" ht="15.75" customHeight="1">
      <c r="A170" s="35" t="s">
        <v>524</v>
      </c>
      <c r="B170" s="36">
        <v>161.13362679388655</v>
      </c>
      <c r="C170" s="36">
        <f>'Lista de Preço 02_2022'!$B170*0.9*0.9*0.9*0.9*0.9*0.97</f>
        <v>92.29336143</v>
      </c>
      <c r="D170" s="36">
        <f>'Lista de Preço 02_2022'!$C170*1.1712</f>
        <v>108.0939849</v>
      </c>
      <c r="E170" s="37">
        <v>3.25</v>
      </c>
      <c r="F170" s="38">
        <v>0.18</v>
      </c>
      <c r="G170" s="38" t="s">
        <v>22</v>
      </c>
      <c r="H170" s="39" t="s">
        <v>525</v>
      </c>
      <c r="I170" s="40" t="s">
        <v>526</v>
      </c>
      <c r="J170" s="41" t="s">
        <v>527</v>
      </c>
      <c r="K170" s="42" t="s">
        <v>68</v>
      </c>
      <c r="L170" s="43">
        <v>9.3280401E7</v>
      </c>
      <c r="M170" s="44">
        <v>8.708999E7</v>
      </c>
      <c r="N170" s="44" t="s">
        <v>28</v>
      </c>
      <c r="O170" s="45">
        <v>3.562</v>
      </c>
      <c r="P170" s="44">
        <v>7.898233433879E12</v>
      </c>
      <c r="Q170" s="44">
        <v>1.0</v>
      </c>
    </row>
    <row r="171" ht="15.75" customHeight="1">
      <c r="A171" s="49" t="s">
        <v>528</v>
      </c>
      <c r="B171" s="36">
        <v>510.4260357261039</v>
      </c>
      <c r="C171" s="36">
        <f>'Lista de Preço 02_2022'!$B171*0.9*0.9*0.9*0.9*0.9*0.97</f>
        <v>292.3594257</v>
      </c>
      <c r="D171" s="36">
        <f>'Lista de Preço 02_2022'!$C171*1.1712</f>
        <v>342.4113594</v>
      </c>
      <c r="E171" s="37">
        <v>3.25</v>
      </c>
      <c r="F171" s="38">
        <v>0.18</v>
      </c>
      <c r="G171" s="38" t="s">
        <v>22</v>
      </c>
      <c r="H171" s="39" t="s">
        <v>229</v>
      </c>
      <c r="I171" s="40" t="s">
        <v>529</v>
      </c>
      <c r="J171" s="41" t="s">
        <v>260</v>
      </c>
      <c r="K171" s="42" t="s">
        <v>73</v>
      </c>
      <c r="L171" s="43" t="s">
        <v>530</v>
      </c>
      <c r="M171" s="44">
        <v>8.708999E7</v>
      </c>
      <c r="N171" s="44" t="s">
        <v>28</v>
      </c>
      <c r="O171" s="45">
        <v>6.26</v>
      </c>
      <c r="P171" s="44">
        <v>7.898233438454E12</v>
      </c>
      <c r="Q171" s="44">
        <v>1.0</v>
      </c>
    </row>
    <row r="172" ht="15.75" customHeight="1">
      <c r="A172" s="49" t="s">
        <v>531</v>
      </c>
      <c r="B172" s="36">
        <v>213.7689725700038</v>
      </c>
      <c r="C172" s="36">
        <f>'Lista de Preço 02_2022'!$B172*0.9*0.9*0.9*0.9*0.9*0.97</f>
        <v>122.4415874</v>
      </c>
      <c r="D172" s="36">
        <f>'Lista de Preço 02_2022'!$C172*1.1712</f>
        <v>143.4035872</v>
      </c>
      <c r="E172" s="37">
        <v>3.25</v>
      </c>
      <c r="F172" s="38">
        <v>0.18</v>
      </c>
      <c r="G172" s="38" t="s">
        <v>22</v>
      </c>
      <c r="H172" s="39" t="s">
        <v>70</v>
      </c>
      <c r="I172" s="40" t="s">
        <v>532</v>
      </c>
      <c r="J172" s="41" t="s">
        <v>80</v>
      </c>
      <c r="K172" s="42" t="s">
        <v>95</v>
      </c>
      <c r="L172" s="43" t="s">
        <v>533</v>
      </c>
      <c r="M172" s="44">
        <v>8.708999E7</v>
      </c>
      <c r="N172" s="44" t="s">
        <v>28</v>
      </c>
      <c r="O172" s="45">
        <v>1.708</v>
      </c>
      <c r="P172" s="44">
        <v>7.898233438461E12</v>
      </c>
      <c r="Q172" s="44">
        <v>1.0</v>
      </c>
    </row>
    <row r="173" ht="15.75" customHeight="1">
      <c r="A173" s="49" t="s">
        <v>534</v>
      </c>
      <c r="B173" s="36">
        <v>224.8804105421427</v>
      </c>
      <c r="C173" s="36">
        <f>'Lista de Preço 02_2022'!$B173*0.9*0.9*0.9*0.9*0.9*0.97</f>
        <v>128.8059446</v>
      </c>
      <c r="D173" s="36">
        <f>'Lista de Preço 02_2022'!$C173*1.1712</f>
        <v>150.8575223</v>
      </c>
      <c r="E173" s="37">
        <v>3.25</v>
      </c>
      <c r="F173" s="38">
        <v>0.18</v>
      </c>
      <c r="G173" s="38" t="s">
        <v>22</v>
      </c>
      <c r="H173" s="39" t="s">
        <v>70</v>
      </c>
      <c r="I173" s="40" t="s">
        <v>535</v>
      </c>
      <c r="J173" s="41" t="s">
        <v>80</v>
      </c>
      <c r="K173" s="42" t="s">
        <v>95</v>
      </c>
      <c r="L173" s="43" t="s">
        <v>536</v>
      </c>
      <c r="M173" s="44">
        <v>8.708999E7</v>
      </c>
      <c r="N173" s="44" t="s">
        <v>28</v>
      </c>
      <c r="O173" s="45">
        <v>1.774</v>
      </c>
      <c r="P173" s="44">
        <v>7.898233438478E12</v>
      </c>
      <c r="Q173" s="44">
        <v>1.0</v>
      </c>
    </row>
    <row r="174" ht="15.75" customHeight="1">
      <c r="A174" s="49" t="s">
        <v>537</v>
      </c>
      <c r="B174" s="36">
        <v>215.7191777038012</v>
      </c>
      <c r="C174" s="36">
        <f>'Lista de Preço 02_2022'!$B174*0.9*0.9*0.9*0.9*0.9*0.97</f>
        <v>123.5586167</v>
      </c>
      <c r="D174" s="36">
        <f>'Lista de Preço 02_2022'!$C174*1.1712</f>
        <v>144.7118519</v>
      </c>
      <c r="E174" s="37">
        <v>3.25</v>
      </c>
      <c r="F174" s="38">
        <v>0.18</v>
      </c>
      <c r="G174" s="38" t="s">
        <v>22</v>
      </c>
      <c r="H174" s="39" t="s">
        <v>70</v>
      </c>
      <c r="I174" s="40" t="s">
        <v>538</v>
      </c>
      <c r="J174" s="41" t="s">
        <v>80</v>
      </c>
      <c r="K174" s="42" t="s">
        <v>157</v>
      </c>
      <c r="L174" s="43" t="s">
        <v>539</v>
      </c>
      <c r="M174" s="44">
        <v>8.708999E7</v>
      </c>
      <c r="N174" s="44" t="s">
        <v>28</v>
      </c>
      <c r="O174" s="45">
        <v>1.846</v>
      </c>
      <c r="P174" s="44">
        <v>7.898233438485E12</v>
      </c>
      <c r="Q174" s="44">
        <v>1.0</v>
      </c>
    </row>
    <row r="175" ht="15.75" customHeight="1">
      <c r="A175" s="49" t="s">
        <v>540</v>
      </c>
      <c r="B175" s="36">
        <v>213.1912185900848</v>
      </c>
      <c r="C175" s="36">
        <f>'Lista de Preço 02_2022'!$B175*0.9*0.9*0.9*0.9*0.9*0.97</f>
        <v>122.1106642</v>
      </c>
      <c r="D175" s="36">
        <f>'Lista de Preço 02_2022'!$C175*1.1712</f>
        <v>143.0160099</v>
      </c>
      <c r="E175" s="37">
        <v>3.25</v>
      </c>
      <c r="F175" s="38">
        <v>0.18</v>
      </c>
      <c r="G175" s="38" t="s">
        <v>22</v>
      </c>
      <c r="H175" s="39" t="s">
        <v>70</v>
      </c>
      <c r="I175" s="40" t="s">
        <v>541</v>
      </c>
      <c r="J175" s="41" t="s">
        <v>80</v>
      </c>
      <c r="K175" s="42" t="s">
        <v>157</v>
      </c>
      <c r="L175" s="43" t="s">
        <v>542</v>
      </c>
      <c r="M175" s="44">
        <v>8.708999E7</v>
      </c>
      <c r="N175" s="44" t="s">
        <v>28</v>
      </c>
      <c r="O175" s="45">
        <v>2.174</v>
      </c>
      <c r="P175" s="44">
        <v>7.898233438492E12</v>
      </c>
      <c r="Q175" s="44">
        <v>1.0</v>
      </c>
    </row>
    <row r="176" ht="15.75" customHeight="1">
      <c r="A176" s="49" t="s">
        <v>543</v>
      </c>
      <c r="B176" s="36">
        <v>248.95944225597484</v>
      </c>
      <c r="C176" s="36">
        <f>'Lista de Preço 02_2022'!$B176*0.9*0.9*0.9*0.9*0.9*0.97</f>
        <v>142.5978192</v>
      </c>
      <c r="D176" s="36">
        <f>'Lista de Preço 02_2022'!$C176*1.1712</f>
        <v>167.0105659</v>
      </c>
      <c r="E176" s="37">
        <v>3.25</v>
      </c>
      <c r="F176" s="38">
        <v>0.18</v>
      </c>
      <c r="G176" s="38" t="s">
        <v>22</v>
      </c>
      <c r="H176" s="39" t="s">
        <v>70</v>
      </c>
      <c r="I176" s="40" t="s">
        <v>544</v>
      </c>
      <c r="J176" s="41" t="s">
        <v>80</v>
      </c>
      <c r="K176" s="42" t="s">
        <v>95</v>
      </c>
      <c r="L176" s="43" t="s">
        <v>545</v>
      </c>
      <c r="M176" s="44">
        <v>8.708999E7</v>
      </c>
      <c r="N176" s="44" t="s">
        <v>28</v>
      </c>
      <c r="O176" s="45">
        <v>2.216</v>
      </c>
      <c r="P176" s="44">
        <v>7.898233438812E12</v>
      </c>
      <c r="Q176" s="44">
        <v>1.0</v>
      </c>
    </row>
    <row r="177" ht="15.75" customHeight="1">
      <c r="A177" s="49" t="s">
        <v>546</v>
      </c>
      <c r="B177" s="36">
        <v>226.44758955225623</v>
      </c>
      <c r="C177" s="36">
        <f>'Lista de Preço 02_2022'!$B177*0.9*0.9*0.9*0.9*0.9*0.97</f>
        <v>129.703586</v>
      </c>
      <c r="D177" s="36">
        <f>'Lista de Preço 02_2022'!$C177*1.1712</f>
        <v>151.90884</v>
      </c>
      <c r="E177" s="37">
        <v>3.25</v>
      </c>
      <c r="F177" s="38">
        <v>0.18</v>
      </c>
      <c r="G177" s="38" t="s">
        <v>22</v>
      </c>
      <c r="H177" s="39" t="s">
        <v>70</v>
      </c>
      <c r="I177" s="40" t="s">
        <v>547</v>
      </c>
      <c r="J177" s="41" t="s">
        <v>80</v>
      </c>
      <c r="K177" s="42" t="s">
        <v>95</v>
      </c>
      <c r="L177" s="43" t="s">
        <v>548</v>
      </c>
      <c r="M177" s="44">
        <v>8.708999E7</v>
      </c>
      <c r="N177" s="44" t="s">
        <v>28</v>
      </c>
      <c r="O177" s="45">
        <v>1.682</v>
      </c>
      <c r="P177" s="44">
        <v>7.898233438829E12</v>
      </c>
      <c r="Q177" s="44">
        <v>1.0</v>
      </c>
    </row>
    <row r="178" ht="15.75" customHeight="1">
      <c r="A178" s="49" t="s">
        <v>549</v>
      </c>
      <c r="B178" s="36">
        <v>193.28496782742346</v>
      </c>
      <c r="C178" s="36">
        <f>'Lista de Preço 02_2022'!$B178*0.9*0.9*0.9*0.9*0.9*0.97</f>
        <v>110.7088554</v>
      </c>
      <c r="D178" s="36">
        <f>'Lista de Preço 02_2022'!$C178*1.1712</f>
        <v>129.6622115</v>
      </c>
      <c r="E178" s="37">
        <v>3.25</v>
      </c>
      <c r="F178" s="38">
        <v>0.18</v>
      </c>
      <c r="G178" s="38" t="s">
        <v>22</v>
      </c>
      <c r="H178" s="39" t="s">
        <v>70</v>
      </c>
      <c r="I178" s="40" t="s">
        <v>550</v>
      </c>
      <c r="J178" s="41" t="s">
        <v>80</v>
      </c>
      <c r="K178" s="42" t="s">
        <v>73</v>
      </c>
      <c r="L178" s="43" t="s">
        <v>551</v>
      </c>
      <c r="M178" s="44">
        <v>8.708999E7</v>
      </c>
      <c r="N178" s="44" t="s">
        <v>28</v>
      </c>
      <c r="O178" s="45">
        <v>1.776</v>
      </c>
      <c r="P178" s="44">
        <v>7.898233438836E12</v>
      </c>
      <c r="Q178" s="44">
        <v>1.0</v>
      </c>
    </row>
    <row r="179" ht="15.75" customHeight="1">
      <c r="A179" s="49" t="s">
        <v>552</v>
      </c>
      <c r="B179" s="36">
        <v>334.32858722064475</v>
      </c>
      <c r="C179" s="36">
        <f>'Lista de Preço 02_2022'!$B179*0.9*0.9*0.9*0.9*0.9*0.97</f>
        <v>191.4951568</v>
      </c>
      <c r="D179" s="36">
        <f>'Lista de Preço 02_2022'!$C179*1.1712</f>
        <v>224.2791277</v>
      </c>
      <c r="E179" s="37">
        <v>3.25</v>
      </c>
      <c r="F179" s="38">
        <v>0.18</v>
      </c>
      <c r="G179" s="38" t="s">
        <v>22</v>
      </c>
      <c r="H179" s="39" t="s">
        <v>70</v>
      </c>
      <c r="I179" s="40" t="s">
        <v>553</v>
      </c>
      <c r="J179" s="41" t="s">
        <v>72</v>
      </c>
      <c r="K179" s="42" t="s">
        <v>95</v>
      </c>
      <c r="L179" s="43" t="s">
        <v>264</v>
      </c>
      <c r="M179" s="44">
        <v>8.708999E7</v>
      </c>
      <c r="N179" s="44" t="s">
        <v>28</v>
      </c>
      <c r="O179" s="45">
        <v>4.282</v>
      </c>
      <c r="P179" s="44">
        <v>7.898233439222E12</v>
      </c>
      <c r="Q179" s="44">
        <v>1.0</v>
      </c>
    </row>
    <row r="180" ht="15.75" customHeight="1">
      <c r="A180" s="35" t="s">
        <v>554</v>
      </c>
      <c r="B180" s="36">
        <v>53.28656588884602</v>
      </c>
      <c r="C180" s="36">
        <f>'Lista de Preço 02_2022'!$B180*0.9*0.9*0.9*0.9*0.9*0.97</f>
        <v>30.52122876</v>
      </c>
      <c r="D180" s="36">
        <f>'Lista de Preço 02_2022'!$C180*1.1627</f>
        <v>35.48703268</v>
      </c>
      <c r="E180" s="37">
        <v>2.6</v>
      </c>
      <c r="F180" s="38">
        <v>0.18</v>
      </c>
      <c r="G180" s="38" t="s">
        <v>22</v>
      </c>
      <c r="H180" s="39" t="s">
        <v>38</v>
      </c>
      <c r="I180" s="40" t="s">
        <v>555</v>
      </c>
      <c r="J180" s="41" t="s">
        <v>556</v>
      </c>
      <c r="K180" s="42" t="s">
        <v>26</v>
      </c>
      <c r="L180" s="43" t="s">
        <v>557</v>
      </c>
      <c r="M180" s="44">
        <v>8.70893E7</v>
      </c>
      <c r="N180" s="44" t="s">
        <v>28</v>
      </c>
      <c r="O180" s="45">
        <v>0.204</v>
      </c>
      <c r="P180" s="44">
        <v>7.89823343012E12</v>
      </c>
      <c r="Q180" s="44">
        <v>1.0</v>
      </c>
    </row>
    <row r="181" ht="15.75" customHeight="1">
      <c r="A181" s="35" t="s">
        <v>558</v>
      </c>
      <c r="B181" s="36">
        <v>24.541811128400425</v>
      </c>
      <c r="C181" s="36">
        <f>'Lista de Preço 02_2022'!$B181*0.9*0.9*0.9*0.9*0.9*0.97</f>
        <v>14.05694323</v>
      </c>
      <c r="D181" s="36">
        <f>'Lista de Preço 02_2022'!$C181*1.1712</f>
        <v>16.46349191</v>
      </c>
      <c r="E181" s="37">
        <v>3.25</v>
      </c>
      <c r="F181" s="38">
        <v>0.18</v>
      </c>
      <c r="G181" s="38" t="s">
        <v>37</v>
      </c>
      <c r="H181" s="39" t="s">
        <v>559</v>
      </c>
      <c r="I181" s="40" t="s">
        <v>560</v>
      </c>
      <c r="J181" s="41" t="s">
        <v>40</v>
      </c>
      <c r="K181" s="42" t="s">
        <v>303</v>
      </c>
      <c r="L181" s="43">
        <v>3.210700223E9</v>
      </c>
      <c r="M181" s="42">
        <v>8.708999E7</v>
      </c>
      <c r="N181" s="44" t="s">
        <v>28</v>
      </c>
      <c r="O181" s="45">
        <v>0.28</v>
      </c>
      <c r="P181" s="44">
        <v>7.898233431462E12</v>
      </c>
      <c r="Q181" s="44">
        <v>1.0</v>
      </c>
    </row>
    <row r="182" ht="15.75" customHeight="1">
      <c r="A182" s="35" t="s">
        <v>561</v>
      </c>
      <c r="B182" s="36">
        <v>209.0076</v>
      </c>
      <c r="C182" s="36">
        <f>'Lista de Preço 02_2022'!$B182*0.9*0.9*0.9*0.9*0.9*0.97</f>
        <v>119.7143908</v>
      </c>
      <c r="D182" s="36">
        <f>'Lista de Preço 02_2022'!$C182*1.1712</f>
        <v>140.2094945</v>
      </c>
      <c r="E182" s="37">
        <v>3.25</v>
      </c>
      <c r="F182" s="38">
        <v>0.18</v>
      </c>
      <c r="G182" s="38" t="s">
        <v>22</v>
      </c>
      <c r="H182" s="39" t="s">
        <v>55</v>
      </c>
      <c r="I182" s="40" t="s">
        <v>562</v>
      </c>
      <c r="J182" s="41" t="s">
        <v>57</v>
      </c>
      <c r="K182" s="42" t="s">
        <v>26</v>
      </c>
      <c r="L182" s="43" t="s">
        <v>563</v>
      </c>
      <c r="M182" s="44">
        <v>8.708999E7</v>
      </c>
      <c r="N182" s="44" t="s">
        <v>28</v>
      </c>
      <c r="O182" s="45">
        <v>1.594</v>
      </c>
      <c r="P182" s="44">
        <v>7.899823502272E12</v>
      </c>
      <c r="Q182" s="44">
        <v>1.0</v>
      </c>
    </row>
    <row r="183" ht="15.75" customHeight="1">
      <c r="A183" s="35" t="s">
        <v>564</v>
      </c>
      <c r="B183" s="36">
        <v>204.26351622678268</v>
      </c>
      <c r="C183" s="36">
        <f>'Lista de Preço 02_2022'!$B183*0.9*0.9*0.9*0.9*0.9*0.97</f>
        <v>116.9970968</v>
      </c>
      <c r="D183" s="36">
        <f>'Lista de Preço 02_2022'!$C183*1.1712</f>
        <v>137.0269998</v>
      </c>
      <c r="E183" s="37">
        <v>3.25</v>
      </c>
      <c r="F183" s="38">
        <v>0.18</v>
      </c>
      <c r="G183" s="38" t="s">
        <v>22</v>
      </c>
      <c r="H183" s="39" t="s">
        <v>55</v>
      </c>
      <c r="I183" s="40" t="s">
        <v>565</v>
      </c>
      <c r="J183" s="41" t="s">
        <v>57</v>
      </c>
      <c r="K183" s="42" t="s">
        <v>26</v>
      </c>
      <c r="L183" s="43" t="s">
        <v>566</v>
      </c>
      <c r="M183" s="44">
        <v>8.708999E7</v>
      </c>
      <c r="N183" s="44" t="s">
        <v>28</v>
      </c>
      <c r="O183" s="45">
        <v>1.415</v>
      </c>
      <c r="P183" s="44">
        <v>7.899823502289E12</v>
      </c>
      <c r="Q183" s="44">
        <v>1.0</v>
      </c>
    </row>
    <row r="184" ht="15.75" customHeight="1">
      <c r="A184" s="35" t="s">
        <v>567</v>
      </c>
      <c r="B184" s="36">
        <v>245.11621947213922</v>
      </c>
      <c r="C184" s="36">
        <f>'Lista de Preço 02_2022'!$B184*0.9*0.9*0.9*0.9*0.9*0.97</f>
        <v>140.3965161</v>
      </c>
      <c r="D184" s="36">
        <f>'Lista de Preço 02_2022'!$C184*1.1712</f>
        <v>164.4323997</v>
      </c>
      <c r="E184" s="37">
        <v>3.25</v>
      </c>
      <c r="F184" s="38">
        <v>0.18</v>
      </c>
      <c r="G184" s="38" t="s">
        <v>22</v>
      </c>
      <c r="H184" s="39" t="s">
        <v>55</v>
      </c>
      <c r="I184" s="40" t="s">
        <v>568</v>
      </c>
      <c r="J184" s="41" t="s">
        <v>57</v>
      </c>
      <c r="K184" s="42" t="s">
        <v>26</v>
      </c>
      <c r="L184" s="43" t="s">
        <v>569</v>
      </c>
      <c r="M184" s="44">
        <v>8.708999E7</v>
      </c>
      <c r="N184" s="44" t="s">
        <v>28</v>
      </c>
      <c r="O184" s="45">
        <v>1.906</v>
      </c>
      <c r="P184" s="44">
        <v>7.899823502296E12</v>
      </c>
      <c r="Q184" s="44">
        <v>1.0</v>
      </c>
    </row>
    <row r="185" ht="15.75" customHeight="1">
      <c r="A185" s="35" t="s">
        <v>570</v>
      </c>
      <c r="B185" s="36">
        <v>244.39007174879956</v>
      </c>
      <c r="C185" s="36">
        <f>'Lista de Preço 02_2022'!$B185*0.9*0.9*0.9*0.9*0.9*0.97</f>
        <v>139.9805967</v>
      </c>
      <c r="D185" s="36">
        <f>'Lista de Preço 02_2022'!$C185*1.1712</f>
        <v>163.9452748</v>
      </c>
      <c r="E185" s="37">
        <v>3.25</v>
      </c>
      <c r="F185" s="38">
        <v>0.18</v>
      </c>
      <c r="G185" s="38" t="s">
        <v>22</v>
      </c>
      <c r="H185" s="39" t="s">
        <v>55</v>
      </c>
      <c r="I185" s="40" t="s">
        <v>571</v>
      </c>
      <c r="J185" s="41" t="s">
        <v>57</v>
      </c>
      <c r="K185" s="42" t="s">
        <v>26</v>
      </c>
      <c r="L185" s="43" t="s">
        <v>572</v>
      </c>
      <c r="M185" s="44">
        <v>8.708999E7</v>
      </c>
      <c r="N185" s="44" t="s">
        <v>28</v>
      </c>
      <c r="O185" s="45">
        <v>1.95</v>
      </c>
      <c r="P185" s="44">
        <v>7.899823502302E12</v>
      </c>
      <c r="Q185" s="44">
        <v>1.0</v>
      </c>
    </row>
    <row r="186" ht="15.75" customHeight="1">
      <c r="A186" s="35" t="s">
        <v>573</v>
      </c>
      <c r="B186" s="36">
        <v>236.5495146853978</v>
      </c>
      <c r="C186" s="36">
        <f>'Lista de Preço 02_2022'!$B186*0.9*0.9*0.9*0.9*0.9*0.97</f>
        <v>135.4897192</v>
      </c>
      <c r="D186" s="36">
        <f>'Lista de Preço 02_2022'!$C186*1.1712</f>
        <v>158.6855592</v>
      </c>
      <c r="E186" s="37">
        <v>3.25</v>
      </c>
      <c r="F186" s="38">
        <v>0.18</v>
      </c>
      <c r="G186" s="38" t="s">
        <v>22</v>
      </c>
      <c r="H186" s="39" t="s">
        <v>55</v>
      </c>
      <c r="I186" s="40" t="s">
        <v>574</v>
      </c>
      <c r="J186" s="41" t="s">
        <v>575</v>
      </c>
      <c r="K186" s="42" t="s">
        <v>26</v>
      </c>
      <c r="L186" s="43" t="s">
        <v>576</v>
      </c>
      <c r="M186" s="44">
        <v>8.708999E7</v>
      </c>
      <c r="N186" s="44" t="s">
        <v>28</v>
      </c>
      <c r="O186" s="45">
        <v>1.944</v>
      </c>
      <c r="P186" s="44">
        <v>7.899823502319E12</v>
      </c>
      <c r="Q186" s="44">
        <v>1.0</v>
      </c>
    </row>
    <row r="187" ht="15.75" customHeight="1">
      <c r="A187" s="35" t="s">
        <v>577</v>
      </c>
      <c r="B187" s="36">
        <v>267.8206</v>
      </c>
      <c r="C187" s="36">
        <f>'Lista de Preço 02_2022'!$B187*0.9*0.9*0.9*0.9*0.9*0.97</f>
        <v>153.4010245</v>
      </c>
      <c r="D187" s="36">
        <f>'Lista de Preço 02_2022'!$C187*1.1712</f>
        <v>179.6632799</v>
      </c>
      <c r="E187" s="37">
        <v>3.25</v>
      </c>
      <c r="F187" s="38">
        <v>0.18</v>
      </c>
      <c r="G187" s="38" t="s">
        <v>22</v>
      </c>
      <c r="H187" s="39" t="s">
        <v>55</v>
      </c>
      <c r="I187" s="40" t="s">
        <v>574</v>
      </c>
      <c r="J187" s="41" t="s">
        <v>575</v>
      </c>
      <c r="K187" s="42" t="s">
        <v>26</v>
      </c>
      <c r="L187" s="43" t="s">
        <v>578</v>
      </c>
      <c r="M187" s="44">
        <v>8.708999E7</v>
      </c>
      <c r="N187" s="44" t="s">
        <v>28</v>
      </c>
      <c r="O187" s="45">
        <v>2.372</v>
      </c>
      <c r="P187" s="44">
        <v>7.899823502326E12</v>
      </c>
      <c r="Q187" s="44">
        <v>1.0</v>
      </c>
    </row>
    <row r="188" ht="15.75" customHeight="1">
      <c r="A188" s="35" t="s">
        <v>579</v>
      </c>
      <c r="B188" s="36">
        <v>237.2159160770703</v>
      </c>
      <c r="C188" s="36">
        <f>'Lista de Preço 02_2022'!$B188*0.9*0.9*0.9*0.9*0.9*0.97</f>
        <v>135.8714175</v>
      </c>
      <c r="D188" s="36">
        <f>'Lista de Preço 02_2022'!$C188*1.1712</f>
        <v>159.1326042</v>
      </c>
      <c r="E188" s="37">
        <v>3.25</v>
      </c>
      <c r="F188" s="38">
        <v>0.18</v>
      </c>
      <c r="G188" s="38" t="s">
        <v>22</v>
      </c>
      <c r="H188" s="39" t="s">
        <v>55</v>
      </c>
      <c r="I188" s="40" t="s">
        <v>580</v>
      </c>
      <c r="J188" s="41" t="s">
        <v>581</v>
      </c>
      <c r="K188" s="42" t="s">
        <v>95</v>
      </c>
      <c r="L188" s="43" t="s">
        <v>582</v>
      </c>
      <c r="M188" s="44">
        <v>8.708999E7</v>
      </c>
      <c r="N188" s="44" t="s">
        <v>28</v>
      </c>
      <c r="O188" s="45">
        <v>2.418</v>
      </c>
      <c r="P188" s="44">
        <v>7.899823502333E12</v>
      </c>
      <c r="Q188" s="44">
        <v>1.0</v>
      </c>
    </row>
    <row r="189" ht="15.75" customHeight="1">
      <c r="A189" s="35" t="s">
        <v>583</v>
      </c>
      <c r="B189" s="36">
        <v>334.5117768066376</v>
      </c>
      <c r="C189" s="36">
        <f>'Lista de Preço 02_2022'!$B189*0.9*0.9*0.9*0.9*0.9*0.97</f>
        <v>191.6000833</v>
      </c>
      <c r="D189" s="36">
        <f>'Lista de Preço 02_2022'!$C189*1.1712</f>
        <v>224.4020176</v>
      </c>
      <c r="E189" s="37">
        <v>3.25</v>
      </c>
      <c r="F189" s="38">
        <v>0.18</v>
      </c>
      <c r="G189" s="38" t="s">
        <v>22</v>
      </c>
      <c r="H189" s="39" t="s">
        <v>55</v>
      </c>
      <c r="I189" s="40" t="s">
        <v>584</v>
      </c>
      <c r="J189" s="41" t="s">
        <v>581</v>
      </c>
      <c r="K189" s="42" t="s">
        <v>95</v>
      </c>
      <c r="L189" s="43" t="s">
        <v>585</v>
      </c>
      <c r="M189" s="44">
        <v>8.708999E7</v>
      </c>
      <c r="N189" s="44" t="s">
        <v>28</v>
      </c>
      <c r="O189" s="45">
        <v>2.92</v>
      </c>
      <c r="P189" s="44">
        <v>7.89982350289E12</v>
      </c>
      <c r="Q189" s="44">
        <v>1.0</v>
      </c>
    </row>
    <row r="190" ht="15.75" customHeight="1">
      <c r="A190" s="35" t="s">
        <v>586</v>
      </c>
      <c r="B190" s="36">
        <v>465.124214418222</v>
      </c>
      <c r="C190" s="36">
        <f>'Lista de Preço 02_2022'!$B190*0.9*0.9*0.9*0.9*0.9*0.97</f>
        <v>266.4116615</v>
      </c>
      <c r="D190" s="36">
        <f>'Lista de Preço 02_2022'!$C190*1.1712</f>
        <v>312.0213379</v>
      </c>
      <c r="E190" s="37">
        <v>3.25</v>
      </c>
      <c r="F190" s="38">
        <v>0.18</v>
      </c>
      <c r="G190" s="38" t="s">
        <v>22</v>
      </c>
      <c r="H190" s="39" t="s">
        <v>55</v>
      </c>
      <c r="I190" s="40" t="s">
        <v>587</v>
      </c>
      <c r="J190" s="41" t="s">
        <v>581</v>
      </c>
      <c r="K190" s="42" t="s">
        <v>95</v>
      </c>
      <c r="L190" s="43" t="s">
        <v>585</v>
      </c>
      <c r="M190" s="44">
        <v>8.708999E7</v>
      </c>
      <c r="N190" s="44" t="s">
        <v>28</v>
      </c>
      <c r="O190" s="45">
        <v>5.88</v>
      </c>
      <c r="P190" s="44">
        <v>7.899823502906E12</v>
      </c>
      <c r="Q190" s="44">
        <v>1.0</v>
      </c>
    </row>
    <row r="191" ht="15.75" customHeight="1">
      <c r="A191" s="35" t="s">
        <v>588</v>
      </c>
      <c r="B191" s="36">
        <v>264.5613524939756</v>
      </c>
      <c r="C191" s="36">
        <f>'Lista de Preço 02_2022'!$B191*0.9*0.9*0.9*0.9*0.9*0.97</f>
        <v>151.534208</v>
      </c>
      <c r="D191" s="36">
        <f>'Lista de Preço 02_2022'!$C191*1.1712</f>
        <v>177.4768645</v>
      </c>
      <c r="E191" s="37">
        <v>3.25</v>
      </c>
      <c r="F191" s="38">
        <v>0.18</v>
      </c>
      <c r="G191" s="38" t="s">
        <v>22</v>
      </c>
      <c r="H191" s="39" t="s">
        <v>55</v>
      </c>
      <c r="I191" s="40" t="s">
        <v>589</v>
      </c>
      <c r="J191" s="41" t="s">
        <v>581</v>
      </c>
      <c r="K191" s="42" t="s">
        <v>153</v>
      </c>
      <c r="L191" s="43" t="s">
        <v>590</v>
      </c>
      <c r="M191" s="44">
        <v>8.708999E7</v>
      </c>
      <c r="N191" s="44" t="s">
        <v>28</v>
      </c>
      <c r="O191" s="45">
        <v>2.11</v>
      </c>
      <c r="P191" s="44">
        <v>7.899823502913E12</v>
      </c>
      <c r="Q191" s="44">
        <v>1.0</v>
      </c>
    </row>
    <row r="192" ht="15.75" customHeight="1">
      <c r="A192" s="35" t="s">
        <v>591</v>
      </c>
      <c r="B192" s="36">
        <v>220.7397161519265</v>
      </c>
      <c r="C192" s="36">
        <f>'Lista de Preço 02_2022'!$B192*0.9*0.9*0.9*0.9*0.9*0.97</f>
        <v>126.4342571</v>
      </c>
      <c r="D192" s="36">
        <f>'Lista de Preço 02_2022'!$C192*1.1712</f>
        <v>148.079802</v>
      </c>
      <c r="E192" s="37">
        <v>3.25</v>
      </c>
      <c r="F192" s="38">
        <v>0.18</v>
      </c>
      <c r="G192" s="38" t="s">
        <v>22</v>
      </c>
      <c r="H192" s="39" t="s">
        <v>55</v>
      </c>
      <c r="I192" s="40" t="s">
        <v>592</v>
      </c>
      <c r="J192" s="41" t="s">
        <v>57</v>
      </c>
      <c r="K192" s="42" t="s">
        <v>157</v>
      </c>
      <c r="L192" s="43" t="s">
        <v>593</v>
      </c>
      <c r="M192" s="44">
        <v>8.708999E7</v>
      </c>
      <c r="N192" s="44" t="s">
        <v>28</v>
      </c>
      <c r="O192" s="45">
        <v>1.888</v>
      </c>
      <c r="P192" s="44">
        <v>7.89982350234E12</v>
      </c>
      <c r="Q192" s="44">
        <v>1.0</v>
      </c>
    </row>
    <row r="193" ht="15.75" customHeight="1">
      <c r="A193" s="35" t="s">
        <v>594</v>
      </c>
      <c r="B193" s="36">
        <v>321.3806</v>
      </c>
      <c r="C193" s="36">
        <f>'Lista de Preço 02_2022'!$B193*0.9*0.9*0.9*0.9*0.9*0.97</f>
        <v>184.0788696</v>
      </c>
      <c r="D193" s="36">
        <f>'Lista de Preço 02_2022'!$C193*1.1712</f>
        <v>215.5931721</v>
      </c>
      <c r="E193" s="37">
        <v>3.25</v>
      </c>
      <c r="F193" s="38">
        <v>0.18</v>
      </c>
      <c r="G193" s="38" t="s">
        <v>22</v>
      </c>
      <c r="H193" s="39" t="s">
        <v>55</v>
      </c>
      <c r="I193" s="40" t="s">
        <v>595</v>
      </c>
      <c r="J193" s="41" t="s">
        <v>581</v>
      </c>
      <c r="K193" s="42" t="s">
        <v>303</v>
      </c>
      <c r="L193" s="43" t="s">
        <v>304</v>
      </c>
      <c r="M193" s="44">
        <v>8.708999E7</v>
      </c>
      <c r="N193" s="44" t="s">
        <v>28</v>
      </c>
      <c r="O193" s="45">
        <v>2.564</v>
      </c>
      <c r="P193" s="44">
        <v>7.89982350292E12</v>
      </c>
      <c r="Q193" s="44">
        <v>1.0</v>
      </c>
    </row>
    <row r="194" ht="15.75" customHeight="1">
      <c r="A194" s="35" t="s">
        <v>596</v>
      </c>
      <c r="B194" s="36">
        <v>234.15098891963723</v>
      </c>
      <c r="C194" s="36">
        <f>'Lista de Preço 02_2022'!$B194*0.9*0.9*0.9*0.9*0.9*0.97</f>
        <v>134.1159029</v>
      </c>
      <c r="D194" s="36">
        <f>'Lista de Preço 02_2022'!$C194*1.1712</f>
        <v>157.0765455</v>
      </c>
      <c r="E194" s="37">
        <v>3.25</v>
      </c>
      <c r="F194" s="38">
        <v>0.18</v>
      </c>
      <c r="G194" s="38" t="s">
        <v>22</v>
      </c>
      <c r="H194" s="39" t="s">
        <v>55</v>
      </c>
      <c r="I194" s="40" t="s">
        <v>597</v>
      </c>
      <c r="J194" s="41" t="s">
        <v>57</v>
      </c>
      <c r="K194" s="42" t="s">
        <v>153</v>
      </c>
      <c r="L194" s="43" t="s">
        <v>598</v>
      </c>
      <c r="M194" s="44">
        <v>8.708999E7</v>
      </c>
      <c r="N194" s="44" t="s">
        <v>28</v>
      </c>
      <c r="O194" s="45">
        <v>2.146</v>
      </c>
      <c r="P194" s="44">
        <v>7.899823502937E12</v>
      </c>
      <c r="Q194" s="44">
        <v>1.0</v>
      </c>
    </row>
    <row r="195" ht="15.75" customHeight="1">
      <c r="A195" s="35" t="s">
        <v>599</v>
      </c>
      <c r="B195" s="36">
        <v>187.7873163016389</v>
      </c>
      <c r="C195" s="36">
        <f>'Lista de Preço 02_2022'!$B195*0.9*0.9*0.9*0.9*0.9*0.97</f>
        <v>107.5599364</v>
      </c>
      <c r="D195" s="36">
        <f>'Lista de Preço 02_2022'!$C195*1.1712</f>
        <v>125.9741975</v>
      </c>
      <c r="E195" s="37">
        <v>3.25</v>
      </c>
      <c r="F195" s="38">
        <v>0.18</v>
      </c>
      <c r="G195" s="38" t="s">
        <v>22</v>
      </c>
      <c r="H195" s="39" t="s">
        <v>55</v>
      </c>
      <c r="I195" s="40" t="s">
        <v>600</v>
      </c>
      <c r="J195" s="41" t="s">
        <v>57</v>
      </c>
      <c r="K195" s="42" t="s">
        <v>153</v>
      </c>
      <c r="L195" s="43" t="s">
        <v>598</v>
      </c>
      <c r="M195" s="44">
        <v>8.708999E7</v>
      </c>
      <c r="N195" s="44" t="s">
        <v>28</v>
      </c>
      <c r="O195" s="45">
        <v>1.246</v>
      </c>
      <c r="P195" s="44">
        <v>7.899823502357E12</v>
      </c>
      <c r="Q195" s="44">
        <v>1.0</v>
      </c>
    </row>
    <row r="196" ht="15.75" customHeight="1">
      <c r="A196" s="35" t="s">
        <v>601</v>
      </c>
      <c r="B196" s="36">
        <v>217.45366791023116</v>
      </c>
      <c r="C196" s="36">
        <f>'Lista de Preço 02_2022'!$B196*0.9*0.9*0.9*0.9*0.9*0.97</f>
        <v>124.5520899</v>
      </c>
      <c r="D196" s="36">
        <f>'Lista de Preço 02_2022'!$C196*1.1712</f>
        <v>145.8754077</v>
      </c>
      <c r="E196" s="37">
        <v>3.25</v>
      </c>
      <c r="F196" s="38">
        <v>0.18</v>
      </c>
      <c r="G196" s="38" t="s">
        <v>22</v>
      </c>
      <c r="H196" s="39" t="s">
        <v>55</v>
      </c>
      <c r="I196" s="40" t="s">
        <v>602</v>
      </c>
      <c r="J196" s="41" t="s">
        <v>57</v>
      </c>
      <c r="K196" s="42" t="s">
        <v>153</v>
      </c>
      <c r="L196" s="43" t="s">
        <v>603</v>
      </c>
      <c r="M196" s="44">
        <v>8.708999E7</v>
      </c>
      <c r="N196" s="44" t="s">
        <v>28</v>
      </c>
      <c r="O196" s="45">
        <v>1.408</v>
      </c>
      <c r="P196" s="44">
        <v>7.899823502944E12</v>
      </c>
      <c r="Q196" s="44">
        <v>1.0</v>
      </c>
    </row>
    <row r="197" ht="15.75" customHeight="1">
      <c r="A197" s="35" t="s">
        <v>604</v>
      </c>
      <c r="B197" s="36">
        <v>205.91803002679717</v>
      </c>
      <c r="C197" s="36">
        <f>'Lista de Preço 02_2022'!$B197*0.9*0.9*0.9*0.9*0.9*0.97</f>
        <v>117.9447614</v>
      </c>
      <c r="D197" s="36">
        <f>'Lista de Preço 02_2022'!$C197*1.1712</f>
        <v>138.1369046</v>
      </c>
      <c r="E197" s="37">
        <v>3.25</v>
      </c>
      <c r="F197" s="38">
        <v>0.18</v>
      </c>
      <c r="G197" s="38" t="s">
        <v>22</v>
      </c>
      <c r="H197" s="39" t="s">
        <v>55</v>
      </c>
      <c r="I197" s="40" t="s">
        <v>605</v>
      </c>
      <c r="J197" s="41" t="s">
        <v>57</v>
      </c>
      <c r="K197" s="42" t="s">
        <v>153</v>
      </c>
      <c r="L197" s="43" t="s">
        <v>606</v>
      </c>
      <c r="M197" s="44">
        <v>8.708999E7</v>
      </c>
      <c r="N197" s="44" t="s">
        <v>28</v>
      </c>
      <c r="O197" s="45">
        <v>1.454</v>
      </c>
      <c r="P197" s="44">
        <v>7.899823502951E12</v>
      </c>
      <c r="Q197" s="44">
        <v>1.0</v>
      </c>
    </row>
    <row r="198" ht="15.75" customHeight="1">
      <c r="A198" s="35" t="s">
        <v>607</v>
      </c>
      <c r="B198" s="36">
        <v>223.7040533769524</v>
      </c>
      <c r="C198" s="36">
        <f>'Lista de Preço 02_2022'!$B198*0.9*0.9*0.9*0.9*0.9*0.97</f>
        <v>128.1321563</v>
      </c>
      <c r="D198" s="36">
        <f>'Lista de Preço 02_2022'!$C198*1.1712</f>
        <v>150.0683814</v>
      </c>
      <c r="E198" s="37">
        <v>3.25</v>
      </c>
      <c r="F198" s="38">
        <v>0.18</v>
      </c>
      <c r="G198" s="38" t="s">
        <v>22</v>
      </c>
      <c r="H198" s="39" t="s">
        <v>55</v>
      </c>
      <c r="I198" s="40" t="s">
        <v>608</v>
      </c>
      <c r="J198" s="41" t="s">
        <v>57</v>
      </c>
      <c r="K198" s="42" t="s">
        <v>456</v>
      </c>
      <c r="L198" s="43" t="s">
        <v>609</v>
      </c>
      <c r="M198" s="44">
        <v>8.708999E7</v>
      </c>
      <c r="N198" s="44" t="s">
        <v>28</v>
      </c>
      <c r="O198" s="45">
        <v>1.922</v>
      </c>
      <c r="P198" s="44">
        <v>7.899823502364E12</v>
      </c>
      <c r="Q198" s="44">
        <v>1.0</v>
      </c>
    </row>
    <row r="199" ht="15.75" customHeight="1">
      <c r="A199" s="35" t="s">
        <v>610</v>
      </c>
      <c r="B199" s="36">
        <v>197.69141974339203</v>
      </c>
      <c r="C199" s="36">
        <f>'Lista de Preço 02_2022'!$B199*0.9*0.9*0.9*0.9*0.9*0.97</f>
        <v>113.2327623</v>
      </c>
      <c r="D199" s="36">
        <f>'Lista de Preço 02_2022'!$C199*1.1712</f>
        <v>132.6182111</v>
      </c>
      <c r="E199" s="37">
        <v>3.25</v>
      </c>
      <c r="F199" s="38">
        <v>0.18</v>
      </c>
      <c r="G199" s="38" t="s">
        <v>22</v>
      </c>
      <c r="H199" s="39" t="s">
        <v>55</v>
      </c>
      <c r="I199" s="40" t="s">
        <v>611</v>
      </c>
      <c r="J199" s="41" t="s">
        <v>57</v>
      </c>
      <c r="K199" s="42" t="s">
        <v>456</v>
      </c>
      <c r="L199" s="43" t="s">
        <v>612</v>
      </c>
      <c r="M199" s="44">
        <v>8.708999E7</v>
      </c>
      <c r="N199" s="44" t="s">
        <v>28</v>
      </c>
      <c r="O199" s="45">
        <v>1.34</v>
      </c>
      <c r="P199" s="44">
        <v>7.899823502968E12</v>
      </c>
      <c r="Q199" s="44">
        <v>1.0</v>
      </c>
    </row>
    <row r="200" ht="15.75" customHeight="1">
      <c r="A200" s="35" t="s">
        <v>613</v>
      </c>
      <c r="B200" s="36">
        <v>310.0375026360392</v>
      </c>
      <c r="C200" s="36">
        <f>'Lista de Preço 02_2022'!$B200*0.9*0.9*0.9*0.9*0.9*0.97</f>
        <v>177.5818236</v>
      </c>
      <c r="D200" s="36">
        <f>'Lista de Preço 02_2022'!$C200*1.1712</f>
        <v>207.9838318</v>
      </c>
      <c r="E200" s="37">
        <v>3.25</v>
      </c>
      <c r="F200" s="38">
        <v>0.18</v>
      </c>
      <c r="G200" s="38" t="s">
        <v>22</v>
      </c>
      <c r="H200" s="39" t="s">
        <v>55</v>
      </c>
      <c r="I200" s="40" t="s">
        <v>614</v>
      </c>
      <c r="J200" s="41" t="s">
        <v>57</v>
      </c>
      <c r="K200" s="42" t="s">
        <v>456</v>
      </c>
      <c r="L200" s="43" t="s">
        <v>615</v>
      </c>
      <c r="M200" s="44">
        <v>8.708999E7</v>
      </c>
      <c r="N200" s="44" t="s">
        <v>28</v>
      </c>
      <c r="O200" s="45">
        <v>1.734</v>
      </c>
      <c r="P200" s="44">
        <v>7.899823502975E12</v>
      </c>
      <c r="Q200" s="44">
        <v>1.0</v>
      </c>
    </row>
    <row r="201" ht="15.75" customHeight="1">
      <c r="A201" s="35" t="s">
        <v>616</v>
      </c>
      <c r="B201" s="36">
        <v>428.450074360224</v>
      </c>
      <c r="C201" s="36">
        <f>'Lista de Preço 02_2022'!$B201*0.9*0.9*0.9*0.9*0.9*0.97</f>
        <v>245.4056199</v>
      </c>
      <c r="D201" s="36">
        <f>'Lista de Preço 02_2022'!$C201*1.1712</f>
        <v>287.419062</v>
      </c>
      <c r="E201" s="37">
        <v>3.25</v>
      </c>
      <c r="F201" s="38">
        <v>0.18</v>
      </c>
      <c r="G201" s="38" t="s">
        <v>22</v>
      </c>
      <c r="H201" s="39" t="s">
        <v>23</v>
      </c>
      <c r="I201" s="40" t="s">
        <v>617</v>
      </c>
      <c r="J201" s="41" t="s">
        <v>25</v>
      </c>
      <c r="K201" s="42" t="s">
        <v>618</v>
      </c>
      <c r="L201" s="43" t="s">
        <v>619</v>
      </c>
      <c r="M201" s="44">
        <v>8.708999E7</v>
      </c>
      <c r="N201" s="44" t="s">
        <v>28</v>
      </c>
      <c r="O201" s="45">
        <v>3.326</v>
      </c>
      <c r="P201" s="44">
        <v>7.899823506676E12</v>
      </c>
      <c r="Q201" s="44">
        <v>1.0</v>
      </c>
    </row>
    <row r="202" ht="15.75" customHeight="1">
      <c r="A202" s="35" t="s">
        <v>620</v>
      </c>
      <c r="B202" s="36">
        <v>421.4414318370114</v>
      </c>
      <c r="C202" s="36">
        <f>'Lista de Preço 02_2022'!$B202*0.9*0.9*0.9*0.9*0.9*0.97</f>
        <v>241.3912426</v>
      </c>
      <c r="D202" s="36">
        <f>'Lista de Preço 02_2022'!$C202*1.1712</f>
        <v>282.7174233</v>
      </c>
      <c r="E202" s="37">
        <v>3.25</v>
      </c>
      <c r="F202" s="38">
        <v>0.18</v>
      </c>
      <c r="G202" s="38" t="s">
        <v>22</v>
      </c>
      <c r="H202" s="39" t="s">
        <v>55</v>
      </c>
      <c r="I202" s="40" t="s">
        <v>621</v>
      </c>
      <c r="J202" s="41" t="s">
        <v>57</v>
      </c>
      <c r="K202" s="42" t="s">
        <v>456</v>
      </c>
      <c r="L202" s="43" t="s">
        <v>622</v>
      </c>
      <c r="M202" s="44">
        <v>8.708999E7</v>
      </c>
      <c r="N202" s="44" t="s">
        <v>28</v>
      </c>
      <c r="O202" s="45">
        <v>3.084</v>
      </c>
      <c r="P202" s="44">
        <v>7.899823502982E12</v>
      </c>
      <c r="Q202" s="44">
        <v>1.0</v>
      </c>
    </row>
    <row r="203" ht="15.75" customHeight="1">
      <c r="A203" s="35" t="s">
        <v>623</v>
      </c>
      <c r="B203" s="36">
        <v>401.4034313701699</v>
      </c>
      <c r="C203" s="36">
        <f>'Lista de Preço 02_2022'!$B203*0.9*0.9*0.9*0.9*0.9*0.97</f>
        <v>229.9139708</v>
      </c>
      <c r="D203" s="36">
        <f>'Lista de Preço 02_2022'!$C203*1.1712</f>
        <v>269.2752426</v>
      </c>
      <c r="E203" s="37">
        <v>3.25</v>
      </c>
      <c r="F203" s="38">
        <v>0.18</v>
      </c>
      <c r="G203" s="38" t="s">
        <v>22</v>
      </c>
      <c r="H203" s="39" t="s">
        <v>55</v>
      </c>
      <c r="I203" s="40" t="s">
        <v>624</v>
      </c>
      <c r="J203" s="41" t="s">
        <v>57</v>
      </c>
      <c r="K203" s="42" t="s">
        <v>625</v>
      </c>
      <c r="L203" s="43" t="s">
        <v>626</v>
      </c>
      <c r="M203" s="44">
        <v>8.708999E7</v>
      </c>
      <c r="N203" s="44" t="s">
        <v>28</v>
      </c>
      <c r="O203" s="45">
        <v>3.484</v>
      </c>
      <c r="P203" s="44">
        <v>7.899823502999E12</v>
      </c>
      <c r="Q203" s="44">
        <v>1.0</v>
      </c>
    </row>
    <row r="204" ht="15.75" customHeight="1">
      <c r="A204" s="35" t="s">
        <v>627</v>
      </c>
      <c r="B204" s="36">
        <v>295.53752752757936</v>
      </c>
      <c r="C204" s="36">
        <f>'Lista de Preço 02_2022'!$B204*0.9*0.9*0.9*0.9*0.9*0.97</f>
        <v>169.276596</v>
      </c>
      <c r="D204" s="36">
        <f>'Lista de Preço 02_2022'!$C204*1.1712</f>
        <v>198.2567492</v>
      </c>
      <c r="E204" s="37">
        <v>3.25</v>
      </c>
      <c r="F204" s="38">
        <v>0.18</v>
      </c>
      <c r="G204" s="38" t="s">
        <v>22</v>
      </c>
      <c r="H204" s="39" t="s">
        <v>55</v>
      </c>
      <c r="I204" s="40" t="s">
        <v>628</v>
      </c>
      <c r="J204" s="41" t="s">
        <v>57</v>
      </c>
      <c r="K204" s="42" t="s">
        <v>456</v>
      </c>
      <c r="L204" s="43" t="s">
        <v>629</v>
      </c>
      <c r="M204" s="44">
        <v>8.708999E7</v>
      </c>
      <c r="N204" s="44" t="s">
        <v>28</v>
      </c>
      <c r="O204" s="45">
        <v>1.902</v>
      </c>
      <c r="P204" s="44">
        <v>7.899823503002E12</v>
      </c>
      <c r="Q204" s="44">
        <v>1.0</v>
      </c>
    </row>
    <row r="205" ht="15.75" customHeight="1">
      <c r="A205" s="35" t="s">
        <v>630</v>
      </c>
      <c r="B205" s="36">
        <v>243.801</v>
      </c>
      <c r="C205" s="36">
        <f>'Lista de Preço 02_2022'!$B205*0.9*0.9*0.9*0.9*0.9*0.97</f>
        <v>139.6431909</v>
      </c>
      <c r="D205" s="36">
        <f>'Lista de Preço 02_2022'!$C205*1.1712</f>
        <v>163.5501052</v>
      </c>
      <c r="E205" s="37">
        <v>3.25</v>
      </c>
      <c r="F205" s="38">
        <v>0.18</v>
      </c>
      <c r="G205" s="38" t="s">
        <v>22</v>
      </c>
      <c r="H205" s="39" t="s">
        <v>55</v>
      </c>
      <c r="I205" s="40" t="s">
        <v>631</v>
      </c>
      <c r="J205" s="41" t="s">
        <v>57</v>
      </c>
      <c r="K205" s="42" t="s">
        <v>625</v>
      </c>
      <c r="L205" s="43" t="s">
        <v>632</v>
      </c>
      <c r="M205" s="44">
        <v>8.708999E7</v>
      </c>
      <c r="N205" s="44" t="s">
        <v>28</v>
      </c>
      <c r="O205" s="45">
        <v>1.45</v>
      </c>
      <c r="P205" s="44">
        <v>7.899823502746E12</v>
      </c>
      <c r="Q205" s="44">
        <v>1.0</v>
      </c>
    </row>
    <row r="206" ht="15.75" customHeight="1">
      <c r="A206" s="35" t="s">
        <v>633</v>
      </c>
      <c r="B206" s="36">
        <v>262.56759999999997</v>
      </c>
      <c r="C206" s="36">
        <f>'Lista de Preço 02_2022'!$B206*0.9*0.9*0.9*0.9*0.9*0.97</f>
        <v>150.3922359</v>
      </c>
      <c r="D206" s="36">
        <f>'Lista de Preço 02_2022'!$C206*1.1712</f>
        <v>176.1393866</v>
      </c>
      <c r="E206" s="37">
        <v>3.25</v>
      </c>
      <c r="F206" s="38">
        <v>0.18</v>
      </c>
      <c r="G206" s="38" t="s">
        <v>22</v>
      </c>
      <c r="H206" s="39" t="s">
        <v>55</v>
      </c>
      <c r="I206" s="40" t="s">
        <v>634</v>
      </c>
      <c r="J206" s="41" t="s">
        <v>57</v>
      </c>
      <c r="K206" s="42" t="s">
        <v>456</v>
      </c>
      <c r="L206" s="43" t="s">
        <v>635</v>
      </c>
      <c r="M206" s="44">
        <v>8.708999E7</v>
      </c>
      <c r="N206" s="44" t="s">
        <v>28</v>
      </c>
      <c r="O206" s="45">
        <v>1.82</v>
      </c>
      <c r="P206" s="44">
        <v>7.899823503019E12</v>
      </c>
      <c r="Q206" s="44">
        <v>1.0</v>
      </c>
    </row>
    <row r="207" ht="15.75" customHeight="1">
      <c r="A207" s="35" t="s">
        <v>636</v>
      </c>
      <c r="B207" s="36">
        <v>226.02496856863928</v>
      </c>
      <c r="C207" s="36">
        <f>'Lista de Preço 02_2022'!$B207*0.9*0.9*0.9*0.9*0.9*0.97</f>
        <v>129.4615192</v>
      </c>
      <c r="D207" s="36">
        <f>'Lista de Preço 02_2022'!$C207*1.1712</f>
        <v>151.6253313</v>
      </c>
      <c r="E207" s="37">
        <v>3.25</v>
      </c>
      <c r="F207" s="38">
        <v>0.18</v>
      </c>
      <c r="G207" s="38" t="s">
        <v>22</v>
      </c>
      <c r="H207" s="39" t="s">
        <v>55</v>
      </c>
      <c r="I207" s="40" t="s">
        <v>637</v>
      </c>
      <c r="J207" s="41" t="s">
        <v>57</v>
      </c>
      <c r="K207" s="42" t="s">
        <v>625</v>
      </c>
      <c r="L207" s="43" t="s">
        <v>638</v>
      </c>
      <c r="M207" s="44">
        <v>8.708999E7</v>
      </c>
      <c r="N207" s="44" t="s">
        <v>28</v>
      </c>
      <c r="O207" s="45">
        <v>1.894</v>
      </c>
      <c r="P207" s="44">
        <v>7.899823502371E12</v>
      </c>
      <c r="Q207" s="44">
        <v>1.0</v>
      </c>
    </row>
    <row r="208" ht="15.75" customHeight="1">
      <c r="A208" s="35" t="s">
        <v>639</v>
      </c>
      <c r="B208" s="36">
        <v>207.57254382681154</v>
      </c>
      <c r="C208" s="36">
        <f>'Lista de Preço 02_2022'!$B208*0.9*0.9*0.9*0.9*0.9*0.97</f>
        <v>118.8924261</v>
      </c>
      <c r="D208" s="36">
        <f>'Lista de Preço 02_2022'!$C208*1.1712</f>
        <v>139.2468094</v>
      </c>
      <c r="E208" s="37">
        <v>3.25</v>
      </c>
      <c r="F208" s="38">
        <v>0.18</v>
      </c>
      <c r="G208" s="38" t="s">
        <v>22</v>
      </c>
      <c r="H208" s="39" t="s">
        <v>55</v>
      </c>
      <c r="I208" s="40" t="s">
        <v>640</v>
      </c>
      <c r="J208" s="41" t="s">
        <v>57</v>
      </c>
      <c r="K208" s="42" t="s">
        <v>157</v>
      </c>
      <c r="L208" s="43" t="s">
        <v>641</v>
      </c>
      <c r="M208" s="44">
        <v>8.708999E7</v>
      </c>
      <c r="N208" s="44" t="s">
        <v>28</v>
      </c>
      <c r="O208" s="45">
        <v>1.694</v>
      </c>
      <c r="P208" s="44">
        <v>7.899823502388E12</v>
      </c>
      <c r="Q208" s="44">
        <v>1.0</v>
      </c>
    </row>
    <row r="209" ht="15.75" customHeight="1">
      <c r="A209" s="35" t="s">
        <v>642</v>
      </c>
      <c r="B209" s="36">
        <v>232.941755427033</v>
      </c>
      <c r="C209" s="36">
        <f>'Lista de Preço 02_2022'!$B209*0.9*0.9*0.9*0.9*0.9*0.97</f>
        <v>133.4232838</v>
      </c>
      <c r="D209" s="36">
        <f>'Lista de Preço 02_2022'!$C209*1.1712</f>
        <v>156.26535</v>
      </c>
      <c r="E209" s="37">
        <v>3.25</v>
      </c>
      <c r="F209" s="38">
        <v>0.18</v>
      </c>
      <c r="G209" s="38" t="s">
        <v>22</v>
      </c>
      <c r="H209" s="39" t="s">
        <v>55</v>
      </c>
      <c r="I209" s="40" t="s">
        <v>643</v>
      </c>
      <c r="J209" s="41" t="s">
        <v>57</v>
      </c>
      <c r="K209" s="42" t="s">
        <v>157</v>
      </c>
      <c r="L209" s="43" t="s">
        <v>644</v>
      </c>
      <c r="M209" s="44">
        <v>8.708999E7</v>
      </c>
      <c r="N209" s="44" t="s">
        <v>28</v>
      </c>
      <c r="O209" s="45">
        <v>2.082</v>
      </c>
      <c r="P209" s="44">
        <v>7.899823502395E12</v>
      </c>
      <c r="Q209" s="44">
        <v>1.0</v>
      </c>
    </row>
    <row r="210" ht="15.75" customHeight="1">
      <c r="A210" s="35" t="s">
        <v>645</v>
      </c>
      <c r="B210" s="36">
        <v>204.26351622678268</v>
      </c>
      <c r="C210" s="36">
        <f>'Lista de Preço 02_2022'!$B210*0.9*0.9*0.9*0.9*0.9*0.97</f>
        <v>116.9970968</v>
      </c>
      <c r="D210" s="36">
        <f>'Lista de Preço 02_2022'!$C210*1.1712</f>
        <v>137.0269998</v>
      </c>
      <c r="E210" s="37">
        <v>3.25</v>
      </c>
      <c r="F210" s="38">
        <v>0.18</v>
      </c>
      <c r="G210" s="38" t="s">
        <v>22</v>
      </c>
      <c r="H210" s="39" t="s">
        <v>55</v>
      </c>
      <c r="I210" s="40" t="s">
        <v>646</v>
      </c>
      <c r="J210" s="41" t="s">
        <v>57</v>
      </c>
      <c r="K210" s="42" t="s">
        <v>157</v>
      </c>
      <c r="L210" s="43" t="s">
        <v>647</v>
      </c>
      <c r="M210" s="44">
        <v>8.708999E7</v>
      </c>
      <c r="N210" s="44" t="s">
        <v>28</v>
      </c>
      <c r="O210" s="45">
        <v>1.794</v>
      </c>
      <c r="P210" s="44">
        <v>7.899823502401E12</v>
      </c>
      <c r="Q210" s="44">
        <v>1.0</v>
      </c>
    </row>
    <row r="211" ht="15.75" customHeight="1">
      <c r="A211" s="35" t="s">
        <v>648</v>
      </c>
      <c r="B211" s="36">
        <v>225.3585671769668</v>
      </c>
      <c r="C211" s="36">
        <f>'Lista de Preço 02_2022'!$B211*0.9*0.9*0.9*0.9*0.9*0.97</f>
        <v>129.0798209</v>
      </c>
      <c r="D211" s="36">
        <f>'Lista de Preço 02_2022'!$C211*1.1712</f>
        <v>151.1782863</v>
      </c>
      <c r="E211" s="37">
        <v>3.25</v>
      </c>
      <c r="F211" s="38">
        <v>0.18</v>
      </c>
      <c r="G211" s="38" t="s">
        <v>22</v>
      </c>
      <c r="H211" s="39" t="s">
        <v>55</v>
      </c>
      <c r="I211" s="40" t="s">
        <v>649</v>
      </c>
      <c r="J211" s="41" t="s">
        <v>57</v>
      </c>
      <c r="K211" s="42" t="s">
        <v>86</v>
      </c>
      <c r="L211" s="43" t="s">
        <v>650</v>
      </c>
      <c r="M211" s="44">
        <v>8.708999E7</v>
      </c>
      <c r="N211" s="44" t="s">
        <v>28</v>
      </c>
      <c r="O211" s="45">
        <v>2.426</v>
      </c>
      <c r="P211" s="44">
        <v>7.899823503026E12</v>
      </c>
      <c r="Q211" s="44">
        <v>1.0</v>
      </c>
    </row>
    <row r="212" ht="15.75" customHeight="1">
      <c r="A212" s="35" t="s">
        <v>651</v>
      </c>
      <c r="B212" s="36">
        <v>164.71459934116822</v>
      </c>
      <c r="C212" s="36">
        <f>'Lista de Preço 02_2022'!$B212*0.9*0.9*0.9*0.9*0.9*0.97</f>
        <v>94.34445405</v>
      </c>
      <c r="D212" s="36">
        <f>'Lista de Preço 02_2022'!$C212*1.1712</f>
        <v>110.4962246</v>
      </c>
      <c r="E212" s="37">
        <v>3.25</v>
      </c>
      <c r="F212" s="38">
        <v>0.18</v>
      </c>
      <c r="G212" s="38" t="s">
        <v>22</v>
      </c>
      <c r="H212" s="39" t="s">
        <v>23</v>
      </c>
      <c r="I212" s="40" t="s">
        <v>652</v>
      </c>
      <c r="J212" s="41" t="s">
        <v>25</v>
      </c>
      <c r="K212" s="42" t="s">
        <v>157</v>
      </c>
      <c r="L212" s="43" t="s">
        <v>653</v>
      </c>
      <c r="M212" s="42">
        <v>8.708999E7</v>
      </c>
      <c r="N212" s="44" t="s">
        <v>28</v>
      </c>
      <c r="O212" s="45">
        <v>1.418</v>
      </c>
      <c r="P212" s="44">
        <v>7.899823505594E12</v>
      </c>
      <c r="Q212" s="44">
        <v>1.0</v>
      </c>
    </row>
    <row r="213" ht="15.75" customHeight="1">
      <c r="A213" s="35" t="s">
        <v>654</v>
      </c>
      <c r="B213" s="36">
        <v>222.39422995194096</v>
      </c>
      <c r="C213" s="36">
        <f>'Lista de Preço 02_2022'!$B213*0.9*0.9*0.9*0.9*0.9*0.97</f>
        <v>127.3819218</v>
      </c>
      <c r="D213" s="36">
        <f>'Lista de Preço 02_2022'!$C213*1.1712</f>
        <v>149.1897068</v>
      </c>
      <c r="E213" s="37">
        <v>3.25</v>
      </c>
      <c r="F213" s="38">
        <v>0.18</v>
      </c>
      <c r="G213" s="38" t="s">
        <v>22</v>
      </c>
      <c r="H213" s="39" t="s">
        <v>55</v>
      </c>
      <c r="I213" s="40" t="s">
        <v>655</v>
      </c>
      <c r="J213" s="41" t="s">
        <v>57</v>
      </c>
      <c r="K213" s="42" t="s">
        <v>86</v>
      </c>
      <c r="L213" s="43" t="s">
        <v>650</v>
      </c>
      <c r="M213" s="44">
        <v>8.708999E7</v>
      </c>
      <c r="N213" s="44" t="s">
        <v>28</v>
      </c>
      <c r="O213" s="45">
        <v>2.898</v>
      </c>
      <c r="P213" s="44">
        <v>7.899823503033E12</v>
      </c>
      <c r="Q213" s="44">
        <v>1.0</v>
      </c>
    </row>
    <row r="214" ht="15.75" customHeight="1">
      <c r="A214" s="35" t="s">
        <v>656</v>
      </c>
      <c r="B214" s="36">
        <v>286.29982547749864</v>
      </c>
      <c r="C214" s="36">
        <f>'Lista de Preço 02_2022'!$B214*0.9*0.9*0.9*0.9*0.9*0.97</f>
        <v>163.9854684</v>
      </c>
      <c r="D214" s="36">
        <f>'Lista de Preço 02_2022'!$C214*1.1712</f>
        <v>192.0597806</v>
      </c>
      <c r="E214" s="37">
        <v>3.25</v>
      </c>
      <c r="F214" s="38">
        <v>0.18</v>
      </c>
      <c r="G214" s="38" t="s">
        <v>22</v>
      </c>
      <c r="H214" s="39" t="s">
        <v>55</v>
      </c>
      <c r="I214" s="40" t="s">
        <v>657</v>
      </c>
      <c r="J214" s="41" t="s">
        <v>57</v>
      </c>
      <c r="K214" s="42" t="s">
        <v>86</v>
      </c>
      <c r="L214" s="43" t="s">
        <v>658</v>
      </c>
      <c r="M214" s="44">
        <v>8.708999E7</v>
      </c>
      <c r="N214" s="44" t="s">
        <v>28</v>
      </c>
      <c r="O214" s="45">
        <v>2.374</v>
      </c>
      <c r="P214" s="44">
        <v>7.89982350304E12</v>
      </c>
      <c r="Q214" s="44">
        <v>1.0</v>
      </c>
    </row>
    <row r="215" ht="15.75" customHeight="1">
      <c r="A215" s="35" t="s">
        <v>659</v>
      </c>
      <c r="B215" s="36">
        <v>230.6208402353461</v>
      </c>
      <c r="C215" s="36">
        <f>'Lista de Preço 02_2022'!$B215*0.9*0.9*0.9*0.9*0.9*0.97</f>
        <v>132.093921</v>
      </c>
      <c r="D215" s="36">
        <f>'Lista de Preço 02_2022'!$C215*1.1712</f>
        <v>154.7084002</v>
      </c>
      <c r="E215" s="37">
        <v>3.25</v>
      </c>
      <c r="F215" s="38">
        <v>0.18</v>
      </c>
      <c r="G215" s="38" t="s">
        <v>22</v>
      </c>
      <c r="H215" s="39" t="s">
        <v>55</v>
      </c>
      <c r="I215" s="40" t="s">
        <v>660</v>
      </c>
      <c r="J215" s="41" t="s">
        <v>57</v>
      </c>
      <c r="K215" s="42" t="s">
        <v>661</v>
      </c>
      <c r="L215" s="43" t="s">
        <v>662</v>
      </c>
      <c r="M215" s="44">
        <v>8.708999E7</v>
      </c>
      <c r="N215" s="44" t="s">
        <v>28</v>
      </c>
      <c r="O215" s="45">
        <v>1.71</v>
      </c>
      <c r="P215" s="44">
        <v>7.899823503057E12</v>
      </c>
      <c r="Q215" s="44">
        <v>1.0</v>
      </c>
    </row>
    <row r="216" ht="15.75" customHeight="1">
      <c r="A216" s="35" t="s">
        <v>663</v>
      </c>
      <c r="B216" s="36">
        <v>239.85854228542664</v>
      </c>
      <c r="C216" s="36">
        <f>'Lista de Preço 02_2022'!$B216*0.9*0.9*0.9*0.9*0.9*0.97</f>
        <v>137.3850485</v>
      </c>
      <c r="D216" s="36">
        <f>'Lista de Preço 02_2022'!$C216*1.1712</f>
        <v>160.9053688</v>
      </c>
      <c r="E216" s="37">
        <v>3.25</v>
      </c>
      <c r="F216" s="38">
        <v>0.18</v>
      </c>
      <c r="G216" s="38" t="s">
        <v>22</v>
      </c>
      <c r="H216" s="39" t="s">
        <v>55</v>
      </c>
      <c r="I216" s="40" t="s">
        <v>664</v>
      </c>
      <c r="J216" s="41" t="s">
        <v>57</v>
      </c>
      <c r="K216" s="42" t="s">
        <v>73</v>
      </c>
      <c r="L216" s="43" t="s">
        <v>665</v>
      </c>
      <c r="M216" s="44">
        <v>8.708999E7</v>
      </c>
      <c r="N216" s="44" t="s">
        <v>28</v>
      </c>
      <c r="O216" s="45">
        <v>1.64</v>
      </c>
      <c r="P216" s="44">
        <v>7.899823502418E12</v>
      </c>
      <c r="Q216" s="44">
        <v>1.0</v>
      </c>
    </row>
    <row r="217" ht="15.75" customHeight="1">
      <c r="A217" s="35" t="s">
        <v>666</v>
      </c>
      <c r="B217" s="36">
        <v>199.00124316840342</v>
      </c>
      <c r="C217" s="36">
        <f>'Lista de Preço 02_2022'!$B217*0.9*0.9*0.9*0.9*0.9*0.97</f>
        <v>113.9829968</v>
      </c>
      <c r="D217" s="36">
        <f>'Lista de Preço 02_2022'!$C217*1.1712</f>
        <v>133.4968858</v>
      </c>
      <c r="E217" s="37">
        <v>3.25</v>
      </c>
      <c r="F217" s="38">
        <v>0.18</v>
      </c>
      <c r="G217" s="38" t="s">
        <v>22</v>
      </c>
      <c r="H217" s="39" t="s">
        <v>55</v>
      </c>
      <c r="I217" s="40" t="s">
        <v>667</v>
      </c>
      <c r="J217" s="41" t="s">
        <v>57</v>
      </c>
      <c r="K217" s="42" t="s">
        <v>668</v>
      </c>
      <c r="L217" s="43" t="s">
        <v>669</v>
      </c>
      <c r="M217" s="44">
        <v>8.708999E7</v>
      </c>
      <c r="N217" s="44" t="s">
        <v>28</v>
      </c>
      <c r="O217" s="45">
        <v>1.472</v>
      </c>
      <c r="P217" s="44">
        <v>7.899823503064E12</v>
      </c>
      <c r="Q217" s="44">
        <v>1.0</v>
      </c>
    </row>
    <row r="218" ht="15.75" customHeight="1">
      <c r="A218" s="35" t="s">
        <v>670</v>
      </c>
      <c r="B218" s="36">
        <v>459.7480221790125</v>
      </c>
      <c r="C218" s="36">
        <f>'Lista de Preço 02_2022'!$B218*0.9*0.9*0.9*0.9*0.9*0.97</f>
        <v>263.3323113</v>
      </c>
      <c r="D218" s="36">
        <f>'Lista de Preço 02_2022'!$C218*1.1712</f>
        <v>308.414803</v>
      </c>
      <c r="E218" s="37">
        <v>3.25</v>
      </c>
      <c r="F218" s="38">
        <v>0.18</v>
      </c>
      <c r="G218" s="38" t="s">
        <v>22</v>
      </c>
      <c r="H218" s="39" t="s">
        <v>55</v>
      </c>
      <c r="I218" s="40" t="s">
        <v>671</v>
      </c>
      <c r="J218" s="41" t="s">
        <v>57</v>
      </c>
      <c r="K218" s="42" t="s">
        <v>26</v>
      </c>
      <c r="L218" s="43" t="s">
        <v>672</v>
      </c>
      <c r="M218" s="44">
        <v>8.708999E7</v>
      </c>
      <c r="N218" s="44" t="s">
        <v>28</v>
      </c>
      <c r="O218" s="45">
        <v>4.67</v>
      </c>
      <c r="P218" s="44">
        <v>7.899823503071E12</v>
      </c>
      <c r="Q218" s="44">
        <v>1.0</v>
      </c>
    </row>
    <row r="219" ht="15.75" customHeight="1">
      <c r="A219" s="35" t="s">
        <v>673</v>
      </c>
      <c r="B219" s="36">
        <v>441.870081395523</v>
      </c>
      <c r="C219" s="36">
        <f>'Lista de Preço 02_2022'!$B219*0.9*0.9*0.9*0.9*0.9*0.97</f>
        <v>253.0922684</v>
      </c>
      <c r="D219" s="36">
        <f>'Lista de Preço 02_2022'!$C219*1.1712</f>
        <v>296.4216648</v>
      </c>
      <c r="E219" s="37">
        <v>3.25</v>
      </c>
      <c r="F219" s="38">
        <v>0.18</v>
      </c>
      <c r="G219" s="38" t="s">
        <v>22</v>
      </c>
      <c r="H219" s="39" t="s">
        <v>55</v>
      </c>
      <c r="I219" s="40" t="s">
        <v>674</v>
      </c>
      <c r="J219" s="41" t="s">
        <v>57</v>
      </c>
      <c r="K219" s="42" t="s">
        <v>153</v>
      </c>
      <c r="L219" s="43" t="s">
        <v>598</v>
      </c>
      <c r="M219" s="44">
        <v>8.708999E7</v>
      </c>
      <c r="N219" s="44" t="s">
        <v>28</v>
      </c>
      <c r="O219" s="45">
        <v>3.0</v>
      </c>
      <c r="P219" s="44">
        <v>7.899823503088E12</v>
      </c>
      <c r="Q219" s="44">
        <v>1.0</v>
      </c>
    </row>
    <row r="220" ht="15.75" customHeight="1">
      <c r="A220" s="35" t="s">
        <v>675</v>
      </c>
      <c r="B220" s="36">
        <v>224.04874375195536</v>
      </c>
      <c r="C220" s="36">
        <f>'Lista de Preço 02_2022'!$B220*0.9*0.9*0.9*0.9*0.9*0.97</f>
        <v>128.3295864</v>
      </c>
      <c r="D220" s="36">
        <f>'Lista de Preço 02_2022'!$C220*1.1712</f>
        <v>150.2996116</v>
      </c>
      <c r="E220" s="37">
        <v>3.25</v>
      </c>
      <c r="F220" s="38">
        <v>0.18</v>
      </c>
      <c r="G220" s="38" t="s">
        <v>22</v>
      </c>
      <c r="H220" s="39" t="s">
        <v>55</v>
      </c>
      <c r="I220" s="40" t="s">
        <v>676</v>
      </c>
      <c r="J220" s="41" t="s">
        <v>57</v>
      </c>
      <c r="K220" s="42" t="s">
        <v>661</v>
      </c>
      <c r="L220" s="43" t="s">
        <v>677</v>
      </c>
      <c r="M220" s="44">
        <v>8.708999E7</v>
      </c>
      <c r="N220" s="44" t="s">
        <v>28</v>
      </c>
      <c r="O220" s="45">
        <v>1.042</v>
      </c>
      <c r="P220" s="44">
        <v>7.899823503095E12</v>
      </c>
      <c r="Q220" s="44">
        <v>1.0</v>
      </c>
    </row>
    <row r="221" ht="15.75" customHeight="1">
      <c r="A221" s="35" t="s">
        <v>678</v>
      </c>
      <c r="B221" s="36">
        <v>220.7397161519265</v>
      </c>
      <c r="C221" s="36">
        <f>'Lista de Preço 02_2022'!$B221*0.9*0.9*0.9*0.9*0.9*0.97</f>
        <v>126.4342571</v>
      </c>
      <c r="D221" s="36">
        <f>'Lista de Preço 02_2022'!$C221*1.1712</f>
        <v>148.079802</v>
      </c>
      <c r="E221" s="37">
        <v>3.25</v>
      </c>
      <c r="F221" s="38">
        <v>0.18</v>
      </c>
      <c r="G221" s="38" t="s">
        <v>22</v>
      </c>
      <c r="H221" s="39" t="s">
        <v>55</v>
      </c>
      <c r="I221" s="40" t="s">
        <v>679</v>
      </c>
      <c r="J221" s="41" t="s">
        <v>57</v>
      </c>
      <c r="K221" s="42" t="s">
        <v>157</v>
      </c>
      <c r="L221" s="43" t="s">
        <v>680</v>
      </c>
      <c r="M221" s="44">
        <v>8.708999E7</v>
      </c>
      <c r="N221" s="44" t="s">
        <v>28</v>
      </c>
      <c r="O221" s="45">
        <v>2.114</v>
      </c>
      <c r="P221" s="44">
        <v>7.899823503101E12</v>
      </c>
      <c r="Q221" s="44">
        <v>1.0</v>
      </c>
    </row>
    <row r="222" ht="15.75" customHeight="1">
      <c r="A222" s="35" t="s">
        <v>681</v>
      </c>
      <c r="B222" s="36">
        <v>313.001839861065</v>
      </c>
      <c r="C222" s="36">
        <f>'Lista de Preço 02_2022'!$B222*0.9*0.9*0.9*0.9*0.9*0.97</f>
        <v>179.2797227</v>
      </c>
      <c r="D222" s="36">
        <f>'Lista de Preço 02_2022'!$C222*1.1712</f>
        <v>209.9724113</v>
      </c>
      <c r="E222" s="37">
        <v>3.25</v>
      </c>
      <c r="F222" s="38">
        <v>0.18</v>
      </c>
      <c r="G222" s="38" t="s">
        <v>22</v>
      </c>
      <c r="H222" s="39" t="s">
        <v>55</v>
      </c>
      <c r="I222" s="40" t="s">
        <v>682</v>
      </c>
      <c r="J222" s="41" t="s">
        <v>57</v>
      </c>
      <c r="K222" s="42" t="s">
        <v>661</v>
      </c>
      <c r="L222" s="43" t="s">
        <v>677</v>
      </c>
      <c r="M222" s="44">
        <v>8.708999E7</v>
      </c>
      <c r="N222" s="44" t="s">
        <v>28</v>
      </c>
      <c r="O222" s="45">
        <v>1.524</v>
      </c>
      <c r="P222" s="44">
        <v>7.899823502425E12</v>
      </c>
      <c r="Q222" s="44">
        <v>1.0</v>
      </c>
    </row>
    <row r="223" ht="15.75" customHeight="1">
      <c r="A223" s="35" t="s">
        <v>683</v>
      </c>
      <c r="B223" s="36">
        <v>220.7397161519265</v>
      </c>
      <c r="C223" s="36">
        <f>'Lista de Preço 02_2022'!$B223*0.9*0.9*0.9*0.9*0.9*0.97</f>
        <v>126.4342571</v>
      </c>
      <c r="D223" s="36">
        <f>'Lista de Preço 02_2022'!$C223*1.1712</f>
        <v>148.079802</v>
      </c>
      <c r="E223" s="37">
        <v>3.25</v>
      </c>
      <c r="F223" s="38">
        <v>0.18</v>
      </c>
      <c r="G223" s="38" t="s">
        <v>22</v>
      </c>
      <c r="H223" s="39" t="s">
        <v>55</v>
      </c>
      <c r="I223" s="40" t="s">
        <v>684</v>
      </c>
      <c r="J223" s="41" t="s">
        <v>57</v>
      </c>
      <c r="K223" s="42" t="s">
        <v>157</v>
      </c>
      <c r="L223" s="43" t="s">
        <v>644</v>
      </c>
      <c r="M223" s="44">
        <v>8.708999E7</v>
      </c>
      <c r="N223" s="44" t="s">
        <v>28</v>
      </c>
      <c r="O223" s="45">
        <v>2.072</v>
      </c>
      <c r="P223" s="44">
        <v>7.899823503118E12</v>
      </c>
      <c r="Q223" s="44">
        <v>1.0</v>
      </c>
    </row>
    <row r="224" ht="15.75" customHeight="1">
      <c r="A224" s="35" t="s">
        <v>685</v>
      </c>
      <c r="B224" s="36">
        <v>220.7397161519265</v>
      </c>
      <c r="C224" s="36">
        <f>'Lista de Preço 02_2022'!$B224*0.9*0.9*0.9*0.9*0.9*0.97</f>
        <v>126.4342571</v>
      </c>
      <c r="D224" s="36">
        <f>'Lista de Preço 02_2022'!$C224*1.1712</f>
        <v>148.079802</v>
      </c>
      <c r="E224" s="37">
        <v>3.25</v>
      </c>
      <c r="F224" s="38">
        <v>0.18</v>
      </c>
      <c r="G224" s="38" t="s">
        <v>22</v>
      </c>
      <c r="H224" s="39" t="s">
        <v>55</v>
      </c>
      <c r="I224" s="40" t="s">
        <v>686</v>
      </c>
      <c r="J224" s="41" t="s">
        <v>57</v>
      </c>
      <c r="K224" s="42" t="s">
        <v>157</v>
      </c>
      <c r="L224" s="43" t="s">
        <v>644</v>
      </c>
      <c r="M224" s="44">
        <v>8.708999E7</v>
      </c>
      <c r="N224" s="44" t="s">
        <v>28</v>
      </c>
      <c r="O224" s="45">
        <v>2.162</v>
      </c>
      <c r="P224" s="44">
        <v>7.899823503125E12</v>
      </c>
      <c r="Q224" s="44">
        <v>1.0</v>
      </c>
    </row>
    <row r="225" ht="15.75" customHeight="1">
      <c r="A225" s="35" t="s">
        <v>687</v>
      </c>
      <c r="B225" s="36">
        <v>203.94180521011324</v>
      </c>
      <c r="C225" s="36">
        <f>'Lista de Preço 02_2022'!$B225*0.9*0.9*0.9*0.9*0.9*0.97</f>
        <v>116.8128287</v>
      </c>
      <c r="D225" s="36">
        <f>'Lista de Preço 02_2022'!$C225*1.1712</f>
        <v>136.8111849</v>
      </c>
      <c r="E225" s="37">
        <v>3.25</v>
      </c>
      <c r="F225" s="38">
        <v>0.18</v>
      </c>
      <c r="G225" s="38" t="s">
        <v>22</v>
      </c>
      <c r="H225" s="39" t="s">
        <v>55</v>
      </c>
      <c r="I225" s="40" t="s">
        <v>688</v>
      </c>
      <c r="J225" s="41" t="s">
        <v>57</v>
      </c>
      <c r="K225" s="42" t="s">
        <v>157</v>
      </c>
      <c r="L225" s="43" t="s">
        <v>644</v>
      </c>
      <c r="M225" s="44">
        <v>8.708999E7</v>
      </c>
      <c r="N225" s="44" t="s">
        <v>28</v>
      </c>
      <c r="O225" s="45">
        <v>2.2</v>
      </c>
      <c r="P225" s="44">
        <v>7.899823503132E12</v>
      </c>
      <c r="Q225" s="44">
        <v>1.0</v>
      </c>
    </row>
    <row r="226" ht="15.75" customHeight="1">
      <c r="A226" s="35" t="s">
        <v>689</v>
      </c>
      <c r="B226" s="36">
        <v>280.0494400107774</v>
      </c>
      <c r="C226" s="36">
        <f>'Lista de Preço 02_2022'!$B226*0.9*0.9*0.9*0.9*0.9*0.97</f>
        <v>160.405402</v>
      </c>
      <c r="D226" s="36">
        <f>'Lista de Preço 02_2022'!$C226*1.1712</f>
        <v>187.8668068</v>
      </c>
      <c r="E226" s="37">
        <v>3.25</v>
      </c>
      <c r="F226" s="38">
        <v>0.18</v>
      </c>
      <c r="G226" s="38" t="s">
        <v>22</v>
      </c>
      <c r="H226" s="39" t="s">
        <v>55</v>
      </c>
      <c r="I226" s="40" t="s">
        <v>690</v>
      </c>
      <c r="J226" s="41" t="s">
        <v>57</v>
      </c>
      <c r="K226" s="42" t="s">
        <v>26</v>
      </c>
      <c r="L226" s="43" t="s">
        <v>691</v>
      </c>
      <c r="M226" s="44">
        <v>8.708999E7</v>
      </c>
      <c r="N226" s="44" t="s">
        <v>28</v>
      </c>
      <c r="O226" s="45">
        <v>1.77</v>
      </c>
      <c r="P226" s="44">
        <v>7.899823502432E12</v>
      </c>
      <c r="Q226" s="44">
        <v>1.0</v>
      </c>
    </row>
    <row r="227" ht="15.75" customHeight="1">
      <c r="A227" s="35" t="s">
        <v>692</v>
      </c>
      <c r="B227" s="36">
        <v>273.45436416905324</v>
      </c>
      <c r="C227" s="36">
        <f>'Lista de Preço 02_2022'!$B227*0.9*0.9*0.9*0.9*0.9*0.97</f>
        <v>156.6279055</v>
      </c>
      <c r="D227" s="36">
        <f>'Lista de Preço 02_2022'!$C227*1.1712</f>
        <v>183.4426029</v>
      </c>
      <c r="E227" s="37">
        <v>3.25</v>
      </c>
      <c r="F227" s="38">
        <v>0.18</v>
      </c>
      <c r="G227" s="38" t="s">
        <v>22</v>
      </c>
      <c r="H227" s="39" t="s">
        <v>55</v>
      </c>
      <c r="I227" s="40" t="s">
        <v>693</v>
      </c>
      <c r="J227" s="41" t="s">
        <v>57</v>
      </c>
      <c r="K227" s="42" t="s">
        <v>26</v>
      </c>
      <c r="L227" s="43" t="s">
        <v>694</v>
      </c>
      <c r="M227" s="44">
        <v>8.708999E7</v>
      </c>
      <c r="N227" s="44" t="s">
        <v>28</v>
      </c>
      <c r="O227" s="45">
        <v>2.018</v>
      </c>
      <c r="P227" s="44">
        <v>7.899823503149E12</v>
      </c>
      <c r="Q227" s="44">
        <v>1.0</v>
      </c>
    </row>
    <row r="228" ht="15.75" customHeight="1">
      <c r="A228" s="35" t="s">
        <v>695</v>
      </c>
      <c r="B228" s="36">
        <v>234.14535313740902</v>
      </c>
      <c r="C228" s="36">
        <f>'Lista de Preço 02_2022'!$B228*0.9*0.9*0.9*0.9*0.9*0.97</f>
        <v>134.1126749</v>
      </c>
      <c r="D228" s="36">
        <f>'Lista de Preço 02_2022'!$C228*1.1712</f>
        <v>157.0727648</v>
      </c>
      <c r="E228" s="37">
        <v>3.25</v>
      </c>
      <c r="F228" s="38">
        <v>0.18</v>
      </c>
      <c r="G228" s="38" t="s">
        <v>22</v>
      </c>
      <c r="H228" s="39" t="s">
        <v>55</v>
      </c>
      <c r="I228" s="40" t="s">
        <v>696</v>
      </c>
      <c r="J228" s="41" t="s">
        <v>57</v>
      </c>
      <c r="K228" s="42" t="s">
        <v>157</v>
      </c>
      <c r="L228" s="43" t="s">
        <v>697</v>
      </c>
      <c r="M228" s="44">
        <v>8.708999E7</v>
      </c>
      <c r="N228" s="44" t="s">
        <v>28</v>
      </c>
      <c r="O228" s="45">
        <v>1.5</v>
      </c>
      <c r="P228" s="44">
        <v>7.899823502449E12</v>
      </c>
      <c r="Q228" s="44">
        <v>1.0</v>
      </c>
    </row>
    <row r="229" ht="15.75" customHeight="1">
      <c r="A229" s="35" t="s">
        <v>698</v>
      </c>
      <c r="B229" s="36">
        <v>295.53752752757936</v>
      </c>
      <c r="C229" s="36">
        <f>'Lista de Preço 02_2022'!$B229*0.9*0.9*0.9*0.9*0.9*0.97</f>
        <v>169.276596</v>
      </c>
      <c r="D229" s="36">
        <f>'Lista de Preço 02_2022'!$C229*1.1712</f>
        <v>198.2567492</v>
      </c>
      <c r="E229" s="37">
        <v>3.25</v>
      </c>
      <c r="F229" s="38">
        <v>0.18</v>
      </c>
      <c r="G229" s="38" t="s">
        <v>22</v>
      </c>
      <c r="H229" s="39" t="s">
        <v>55</v>
      </c>
      <c r="I229" s="40" t="s">
        <v>699</v>
      </c>
      <c r="J229" s="41" t="s">
        <v>57</v>
      </c>
      <c r="K229" s="42" t="s">
        <v>86</v>
      </c>
      <c r="L229" s="43" t="s">
        <v>700</v>
      </c>
      <c r="M229" s="44">
        <v>8.708999E7</v>
      </c>
      <c r="N229" s="44" t="s">
        <v>28</v>
      </c>
      <c r="O229" s="45">
        <v>1.836</v>
      </c>
      <c r="P229" s="44">
        <v>7.899823503156E12</v>
      </c>
      <c r="Q229" s="44">
        <v>1.0</v>
      </c>
    </row>
    <row r="230" ht="15.75" customHeight="1">
      <c r="A230" s="35" t="s">
        <v>701</v>
      </c>
      <c r="B230" s="36">
        <v>360.10952444480944</v>
      </c>
      <c r="C230" s="36">
        <f>'Lista de Preço 02_2022'!$B230*0.9*0.9*0.9*0.9*0.9*0.97</f>
        <v>206.2618409</v>
      </c>
      <c r="D230" s="36">
        <f>'Lista de Preço 02_2022'!$C230*1.1712</f>
        <v>241.5738681</v>
      </c>
      <c r="E230" s="37">
        <v>3.25</v>
      </c>
      <c r="F230" s="38">
        <v>0.18</v>
      </c>
      <c r="G230" s="38" t="s">
        <v>22</v>
      </c>
      <c r="H230" s="39" t="s">
        <v>55</v>
      </c>
      <c r="I230" s="40" t="s">
        <v>702</v>
      </c>
      <c r="J230" s="41" t="s">
        <v>57</v>
      </c>
      <c r="K230" s="42" t="s">
        <v>95</v>
      </c>
      <c r="L230" s="43" t="s">
        <v>703</v>
      </c>
      <c r="M230" s="44">
        <v>8.708999E7</v>
      </c>
      <c r="N230" s="44" t="s">
        <v>28</v>
      </c>
      <c r="O230" s="45">
        <v>4.32</v>
      </c>
      <c r="P230" s="44">
        <v>7.899823503163E12</v>
      </c>
      <c r="Q230" s="44">
        <v>1.0</v>
      </c>
    </row>
    <row r="231" ht="15.75" customHeight="1">
      <c r="A231" s="35" t="s">
        <v>704</v>
      </c>
      <c r="B231" s="36">
        <v>256.9781642439094</v>
      </c>
      <c r="C231" s="36">
        <f>'Lista de Preço 02_2022'!$B231*0.9*0.9*0.9*0.9*0.9*0.97</f>
        <v>147.1907451</v>
      </c>
      <c r="D231" s="36">
        <f>'Lista de Preço 02_2022'!$C231*1.1712</f>
        <v>172.3898007</v>
      </c>
      <c r="E231" s="37">
        <v>3.25</v>
      </c>
      <c r="F231" s="38">
        <v>0.18</v>
      </c>
      <c r="G231" s="38" t="s">
        <v>22</v>
      </c>
      <c r="H231" s="39" t="s">
        <v>55</v>
      </c>
      <c r="I231" s="40" t="s">
        <v>705</v>
      </c>
      <c r="J231" s="41" t="s">
        <v>57</v>
      </c>
      <c r="K231" s="42" t="s">
        <v>157</v>
      </c>
      <c r="L231" s="43" t="s">
        <v>706</v>
      </c>
      <c r="M231" s="44">
        <v>8.708999E7</v>
      </c>
      <c r="N231" s="44" t="s">
        <v>28</v>
      </c>
      <c r="O231" s="45">
        <v>1.506</v>
      </c>
      <c r="P231" s="44">
        <v>7.89982350317E12</v>
      </c>
      <c r="Q231" s="44">
        <v>1.0</v>
      </c>
    </row>
    <row r="232" ht="15.75" customHeight="1">
      <c r="A232" s="35" t="s">
        <v>707</v>
      </c>
      <c r="B232" s="36">
        <v>24.544257576609592</v>
      </c>
      <c r="C232" s="36">
        <f>'Lista de Preço 02_2022'!$B232*0.9*0.9*0.9*0.9*0.9*0.97</f>
        <v>14.0583445</v>
      </c>
      <c r="D232" s="36">
        <f>'Lista de Preço 02_2022'!$C232*1.1712</f>
        <v>16.46513307</v>
      </c>
      <c r="E232" s="37">
        <v>3.25</v>
      </c>
      <c r="F232" s="38">
        <v>0.18</v>
      </c>
      <c r="G232" s="38" t="s">
        <v>37</v>
      </c>
      <c r="H232" s="39" t="s">
        <v>559</v>
      </c>
      <c r="I232" s="40" t="s">
        <v>708</v>
      </c>
      <c r="J232" s="41" t="s">
        <v>40</v>
      </c>
      <c r="K232" s="42" t="s">
        <v>303</v>
      </c>
      <c r="L232" s="43">
        <v>3.520700521E9</v>
      </c>
      <c r="M232" s="42">
        <v>8.708999E7</v>
      </c>
      <c r="N232" s="44" t="s">
        <v>28</v>
      </c>
      <c r="O232" s="45">
        <v>0.102</v>
      </c>
      <c r="P232" s="44">
        <v>7.898233431486E12</v>
      </c>
      <c r="Q232" s="48">
        <v>20.0</v>
      </c>
    </row>
    <row r="233" ht="15.75" customHeight="1">
      <c r="A233" s="35" t="s">
        <v>709</v>
      </c>
      <c r="B233" s="36">
        <v>353.8591389780883</v>
      </c>
      <c r="C233" s="36">
        <f>'Lista de Preço 02_2022'!$B233*0.9*0.9*0.9*0.9*0.9*0.97</f>
        <v>202.6817745</v>
      </c>
      <c r="D233" s="36">
        <f>'Lista de Preço 02_2022'!$C233*1.1712</f>
        <v>237.3808943</v>
      </c>
      <c r="E233" s="37">
        <v>3.25</v>
      </c>
      <c r="F233" s="38">
        <v>0.18</v>
      </c>
      <c r="G233" s="38" t="s">
        <v>22</v>
      </c>
      <c r="H233" s="39" t="s">
        <v>55</v>
      </c>
      <c r="I233" s="40" t="s">
        <v>710</v>
      </c>
      <c r="J233" s="41" t="s">
        <v>575</v>
      </c>
      <c r="K233" s="42" t="s">
        <v>86</v>
      </c>
      <c r="L233" s="43" t="s">
        <v>711</v>
      </c>
      <c r="M233" s="44">
        <v>8.708999E7</v>
      </c>
      <c r="N233" s="44" t="s">
        <v>28</v>
      </c>
      <c r="O233" s="45">
        <v>4.07</v>
      </c>
      <c r="P233" s="44">
        <v>7.898233437525E12</v>
      </c>
      <c r="Q233" s="44">
        <v>1.0</v>
      </c>
    </row>
    <row r="234" ht="15.75" customHeight="1">
      <c r="A234" s="35" t="s">
        <v>712</v>
      </c>
      <c r="B234" s="36">
        <v>197.69141974339203</v>
      </c>
      <c r="C234" s="36">
        <f>'Lista de Preço 02_2022'!$B234*0.9*0.9*0.9*0.9*0.9*0.97</f>
        <v>113.2327623</v>
      </c>
      <c r="D234" s="36">
        <f>'Lista de Preço 02_2022'!$C234*1.1712</f>
        <v>132.6182111</v>
      </c>
      <c r="E234" s="37">
        <v>3.25</v>
      </c>
      <c r="F234" s="38">
        <v>0.18</v>
      </c>
      <c r="G234" s="38" t="s">
        <v>22</v>
      </c>
      <c r="H234" s="39" t="s">
        <v>55</v>
      </c>
      <c r="I234" s="40" t="s">
        <v>713</v>
      </c>
      <c r="J234" s="41" t="s">
        <v>57</v>
      </c>
      <c r="K234" s="42" t="s">
        <v>625</v>
      </c>
      <c r="L234" s="43" t="s">
        <v>714</v>
      </c>
      <c r="M234" s="44">
        <v>8.708999E7</v>
      </c>
      <c r="N234" s="44" t="s">
        <v>28</v>
      </c>
      <c r="O234" s="45">
        <v>1.354</v>
      </c>
      <c r="P234" s="44">
        <v>7.899823503187E12</v>
      </c>
      <c r="Q234" s="44">
        <v>1.0</v>
      </c>
    </row>
    <row r="235" ht="15.75" customHeight="1">
      <c r="A235" s="35" t="s">
        <v>715</v>
      </c>
      <c r="B235" s="36">
        <v>256.65645322724</v>
      </c>
      <c r="C235" s="36">
        <f>'Lista de Preço 02_2022'!$B235*0.9*0.9*0.9*0.9*0.9*0.97</f>
        <v>147.006477</v>
      </c>
      <c r="D235" s="36">
        <f>'Lista de Preço 02_2022'!$C235*1.1712</f>
        <v>172.1739859</v>
      </c>
      <c r="E235" s="37">
        <v>3.25</v>
      </c>
      <c r="F235" s="38">
        <v>0.18</v>
      </c>
      <c r="G235" s="38" t="s">
        <v>22</v>
      </c>
      <c r="H235" s="39" t="s">
        <v>55</v>
      </c>
      <c r="I235" s="40" t="s">
        <v>716</v>
      </c>
      <c r="J235" s="41" t="s">
        <v>575</v>
      </c>
      <c r="K235" s="42" t="s">
        <v>26</v>
      </c>
      <c r="L235" s="43" t="s">
        <v>717</v>
      </c>
      <c r="M235" s="44">
        <v>8.708999E7</v>
      </c>
      <c r="N235" s="44" t="s">
        <v>28</v>
      </c>
      <c r="O235" s="45">
        <v>2.08</v>
      </c>
      <c r="P235" s="44">
        <v>7.899823503194E12</v>
      </c>
      <c r="Q235" s="44">
        <v>1.0</v>
      </c>
    </row>
    <row r="236" ht="15.75" customHeight="1">
      <c r="A236" s="35" t="s">
        <v>718</v>
      </c>
      <c r="B236" s="36">
        <v>305.0969405943294</v>
      </c>
      <c r="C236" s="36">
        <f>'Lista de Preço 02_2022'!$B236*0.9*0.9*0.9*0.9*0.9*0.97</f>
        <v>174.7519917</v>
      </c>
      <c r="D236" s="36">
        <f>'Lista de Preço 02_2022'!$C236*1.1712</f>
        <v>204.6695327</v>
      </c>
      <c r="E236" s="37">
        <v>3.25</v>
      </c>
      <c r="F236" s="38">
        <v>0.18</v>
      </c>
      <c r="G236" s="38" t="s">
        <v>22</v>
      </c>
      <c r="H236" s="39" t="s">
        <v>55</v>
      </c>
      <c r="I236" s="40" t="s">
        <v>719</v>
      </c>
      <c r="J236" s="41" t="s">
        <v>575</v>
      </c>
      <c r="K236" s="42" t="s">
        <v>26</v>
      </c>
      <c r="L236" s="43" t="s">
        <v>717</v>
      </c>
      <c r="M236" s="44">
        <v>8.708999E7</v>
      </c>
      <c r="N236" s="44" t="s">
        <v>28</v>
      </c>
      <c r="O236" s="45">
        <v>1.58</v>
      </c>
      <c r="P236" s="44">
        <v>7.8998235032E12</v>
      </c>
      <c r="Q236" s="44">
        <v>1.0</v>
      </c>
    </row>
    <row r="237" ht="15.75" customHeight="1">
      <c r="A237" s="35" t="s">
        <v>720</v>
      </c>
      <c r="B237" s="36">
        <v>329.47803978620885</v>
      </c>
      <c r="C237" s="36">
        <f>'Lista de Preço 02_2022'!$B237*0.9*0.9*0.9*0.9*0.9*0.97</f>
        <v>188.7168831</v>
      </c>
      <c r="D237" s="36">
        <f>'Lista de Preço 02_2022'!$C237*1.1712</f>
        <v>221.0252135</v>
      </c>
      <c r="E237" s="37">
        <v>3.25</v>
      </c>
      <c r="F237" s="38">
        <v>0.18</v>
      </c>
      <c r="G237" s="38" t="s">
        <v>22</v>
      </c>
      <c r="H237" s="39" t="s">
        <v>55</v>
      </c>
      <c r="I237" s="40" t="s">
        <v>721</v>
      </c>
      <c r="J237" s="41" t="s">
        <v>575</v>
      </c>
      <c r="K237" s="42" t="s">
        <v>68</v>
      </c>
      <c r="L237" s="43" t="s">
        <v>722</v>
      </c>
      <c r="M237" s="44">
        <v>8.708999E7</v>
      </c>
      <c r="N237" s="44" t="s">
        <v>28</v>
      </c>
      <c r="O237" s="45">
        <v>2.606</v>
      </c>
      <c r="P237" s="44">
        <v>7.899823503217E12</v>
      </c>
      <c r="Q237" s="44">
        <v>1.0</v>
      </c>
    </row>
    <row r="238" ht="15.75" customHeight="1">
      <c r="A238" s="35" t="s">
        <v>723</v>
      </c>
      <c r="B238" s="36">
        <v>273.45436416905324</v>
      </c>
      <c r="C238" s="36">
        <f>'Lista de Preço 02_2022'!$B238*0.9*0.9*0.9*0.9*0.9*0.97</f>
        <v>156.6279055</v>
      </c>
      <c r="D238" s="36">
        <f>'Lista de Preço 02_2022'!$C238*1.1712</f>
        <v>183.4426029</v>
      </c>
      <c r="E238" s="37">
        <v>3.25</v>
      </c>
      <c r="F238" s="38">
        <v>0.18</v>
      </c>
      <c r="G238" s="38" t="s">
        <v>22</v>
      </c>
      <c r="H238" s="39" t="s">
        <v>55</v>
      </c>
      <c r="I238" s="40" t="s">
        <v>721</v>
      </c>
      <c r="J238" s="41" t="s">
        <v>575</v>
      </c>
      <c r="K238" s="42" t="s">
        <v>68</v>
      </c>
      <c r="L238" s="43" t="s">
        <v>722</v>
      </c>
      <c r="M238" s="44">
        <v>8.708999E7</v>
      </c>
      <c r="N238" s="44" t="s">
        <v>28</v>
      </c>
      <c r="O238" s="45">
        <v>2.106</v>
      </c>
      <c r="P238" s="44">
        <v>7.899823503224E12</v>
      </c>
      <c r="Q238" s="44">
        <v>1.0</v>
      </c>
    </row>
    <row r="239" ht="15.75" customHeight="1">
      <c r="A239" s="35" t="s">
        <v>724</v>
      </c>
      <c r="B239" s="36">
        <v>289.60885307752756</v>
      </c>
      <c r="C239" s="36">
        <f>'Lista de Preço 02_2022'!$B239*0.9*0.9*0.9*0.9*0.9*0.97</f>
        <v>165.8807977</v>
      </c>
      <c r="D239" s="36">
        <f>'Lista de Preço 02_2022'!$C239*1.1712</f>
        <v>194.2795903</v>
      </c>
      <c r="E239" s="37">
        <v>3.25</v>
      </c>
      <c r="F239" s="38">
        <v>0.18</v>
      </c>
      <c r="G239" s="38" t="s">
        <v>22</v>
      </c>
      <c r="H239" s="39" t="s">
        <v>55</v>
      </c>
      <c r="I239" s="40" t="s">
        <v>725</v>
      </c>
      <c r="J239" s="41" t="s">
        <v>575</v>
      </c>
      <c r="K239" s="42" t="s">
        <v>86</v>
      </c>
      <c r="L239" s="43" t="s">
        <v>726</v>
      </c>
      <c r="M239" s="44">
        <v>8.708999E7</v>
      </c>
      <c r="N239" s="44" t="s">
        <v>28</v>
      </c>
      <c r="O239" s="45">
        <v>2.764</v>
      </c>
      <c r="P239" s="44">
        <v>7.899823503231E12</v>
      </c>
      <c r="Q239" s="44">
        <v>1.0</v>
      </c>
    </row>
    <row r="240" ht="15.75" customHeight="1">
      <c r="A240" s="35" t="s">
        <v>727</v>
      </c>
      <c r="B240" s="36">
        <v>204.26351622678268</v>
      </c>
      <c r="C240" s="36">
        <f>'Lista de Preço 02_2022'!$B240*0.9*0.9*0.9*0.9*0.9*0.97</f>
        <v>116.9970968</v>
      </c>
      <c r="D240" s="36">
        <f>'Lista de Preço 02_2022'!$C240*1.1712</f>
        <v>137.0269998</v>
      </c>
      <c r="E240" s="37">
        <v>3.25</v>
      </c>
      <c r="F240" s="38">
        <v>0.18</v>
      </c>
      <c r="G240" s="38" t="s">
        <v>22</v>
      </c>
      <c r="H240" s="39" t="s">
        <v>55</v>
      </c>
      <c r="I240" s="40" t="s">
        <v>728</v>
      </c>
      <c r="J240" s="41" t="s">
        <v>57</v>
      </c>
      <c r="K240" s="42" t="s">
        <v>157</v>
      </c>
      <c r="L240" s="43" t="s">
        <v>641</v>
      </c>
      <c r="M240" s="44">
        <v>8.708999E7</v>
      </c>
      <c r="N240" s="44" t="s">
        <v>28</v>
      </c>
      <c r="O240" s="45">
        <v>1.502</v>
      </c>
      <c r="P240" s="44">
        <v>7.899823503248E12</v>
      </c>
      <c r="Q240" s="44">
        <v>1.0</v>
      </c>
    </row>
    <row r="241" ht="15.75" customHeight="1">
      <c r="A241" s="35" t="s">
        <v>729</v>
      </c>
      <c r="B241" s="36">
        <v>302.0131107059691</v>
      </c>
      <c r="C241" s="36">
        <f>'Lista de Preço 02_2022'!$B241*0.9*0.9*0.9*0.9*0.9*0.97</f>
        <v>172.9856501</v>
      </c>
      <c r="D241" s="36">
        <f>'Lista de Preço 02_2022'!$C241*1.1712</f>
        <v>202.6007934</v>
      </c>
      <c r="E241" s="37">
        <v>3.25</v>
      </c>
      <c r="F241" s="38">
        <v>0.18</v>
      </c>
      <c r="G241" s="38" t="s">
        <v>22</v>
      </c>
      <c r="H241" s="39" t="s">
        <v>55</v>
      </c>
      <c r="I241" s="40" t="s">
        <v>730</v>
      </c>
      <c r="J241" s="41" t="s">
        <v>581</v>
      </c>
      <c r="K241" s="42" t="s">
        <v>95</v>
      </c>
      <c r="L241" s="43" t="s">
        <v>731</v>
      </c>
      <c r="M241" s="44">
        <v>8.708999E7</v>
      </c>
      <c r="N241" s="44" t="s">
        <v>28</v>
      </c>
      <c r="O241" s="45">
        <v>2.586</v>
      </c>
      <c r="P241" s="44">
        <v>7.899823503255E12</v>
      </c>
      <c r="Q241" s="44">
        <v>1.0</v>
      </c>
    </row>
    <row r="242" ht="15.75" customHeight="1">
      <c r="A242" s="35" t="s">
        <v>732</v>
      </c>
      <c r="B242" s="36">
        <v>253.6921160022141</v>
      </c>
      <c r="C242" s="36">
        <f>'Lista de Preço 02_2022'!$B242*0.9*0.9*0.9*0.9*0.9*0.97</f>
        <v>145.3085779</v>
      </c>
      <c r="D242" s="36">
        <f>'Lista de Preço 02_2022'!$C242*1.1712</f>
        <v>170.1854064</v>
      </c>
      <c r="E242" s="37">
        <v>3.25</v>
      </c>
      <c r="F242" s="38">
        <v>0.18</v>
      </c>
      <c r="G242" s="38" t="s">
        <v>22</v>
      </c>
      <c r="H242" s="39" t="s">
        <v>55</v>
      </c>
      <c r="I242" s="40" t="s">
        <v>733</v>
      </c>
      <c r="J242" s="41" t="s">
        <v>57</v>
      </c>
      <c r="K242" s="42" t="s">
        <v>26</v>
      </c>
      <c r="L242" s="43" t="s">
        <v>734</v>
      </c>
      <c r="M242" s="44">
        <v>8.708999E7</v>
      </c>
      <c r="N242" s="44" t="s">
        <v>28</v>
      </c>
      <c r="O242" s="45">
        <v>1.7</v>
      </c>
      <c r="P242" s="44">
        <v>7.899823503262E12</v>
      </c>
      <c r="Q242" s="44">
        <v>1.0</v>
      </c>
    </row>
    <row r="243" ht="15.75" customHeight="1">
      <c r="A243" s="35" t="s">
        <v>735</v>
      </c>
      <c r="B243" s="36">
        <v>15.33863195525027</v>
      </c>
      <c r="C243" s="36">
        <f>'Lista de Preço 02_2022'!$B243*0.9*0.9*0.9*0.9*0.9*0.97</f>
        <v>8.78558952</v>
      </c>
      <c r="D243" s="36">
        <f>'Lista de Preço 02_2022'!$C243*1.1712</f>
        <v>10.28968245</v>
      </c>
      <c r="E243" s="37">
        <v>3.25</v>
      </c>
      <c r="F243" s="38">
        <v>0.18</v>
      </c>
      <c r="G243" s="38" t="s">
        <v>37</v>
      </c>
      <c r="H243" s="39" t="s">
        <v>559</v>
      </c>
      <c r="I243" s="40" t="s">
        <v>736</v>
      </c>
      <c r="J243" s="41" t="s">
        <v>40</v>
      </c>
      <c r="K243" s="42" t="s">
        <v>303</v>
      </c>
      <c r="L243" s="43">
        <v>3.223000021E9</v>
      </c>
      <c r="M243" s="42">
        <v>8.708999E7</v>
      </c>
      <c r="N243" s="44" t="s">
        <v>28</v>
      </c>
      <c r="O243" s="45">
        <v>0.058</v>
      </c>
      <c r="P243" s="44">
        <v>7.898233431493E12</v>
      </c>
      <c r="Q243" s="48">
        <v>10.0</v>
      </c>
    </row>
    <row r="244" ht="15.75" customHeight="1">
      <c r="A244" s="35" t="s">
        <v>737</v>
      </c>
      <c r="B244" s="36">
        <v>284.9900020524873</v>
      </c>
      <c r="C244" s="36">
        <f>'Lista de Preço 02_2022'!$B244*0.9*0.9*0.9*0.9*0.9*0.97</f>
        <v>163.2352339</v>
      </c>
      <c r="D244" s="36">
        <f>'Lista de Preço 02_2022'!$C244*1.1712</f>
        <v>191.181106</v>
      </c>
      <c r="E244" s="37">
        <v>3.25</v>
      </c>
      <c r="F244" s="38">
        <v>0.18</v>
      </c>
      <c r="G244" s="38" t="s">
        <v>22</v>
      </c>
      <c r="H244" s="39" t="s">
        <v>55</v>
      </c>
      <c r="I244" s="40" t="s">
        <v>738</v>
      </c>
      <c r="J244" s="41" t="s">
        <v>57</v>
      </c>
      <c r="K244" s="42" t="s">
        <v>26</v>
      </c>
      <c r="L244" s="43" t="s">
        <v>739</v>
      </c>
      <c r="M244" s="44">
        <v>8.708999E7</v>
      </c>
      <c r="N244" s="44" t="s">
        <v>28</v>
      </c>
      <c r="O244" s="45">
        <v>1.724</v>
      </c>
      <c r="P244" s="44">
        <v>7.899823503279E12</v>
      </c>
      <c r="Q244" s="44">
        <v>1.0</v>
      </c>
    </row>
    <row r="245" ht="15.75" customHeight="1">
      <c r="A245" s="35" t="s">
        <v>740</v>
      </c>
      <c r="B245" s="36">
        <v>234.9179802437169</v>
      </c>
      <c r="C245" s="36">
        <f>'Lista de Preço 02_2022'!$B245*0.9*0.9*0.9*0.9*0.9*0.97</f>
        <v>134.5552166</v>
      </c>
      <c r="D245" s="36">
        <f>'Lista de Preço 02_2022'!$C245*1.1712</f>
        <v>157.5910697</v>
      </c>
      <c r="E245" s="37">
        <v>3.25</v>
      </c>
      <c r="F245" s="38">
        <v>0.18</v>
      </c>
      <c r="G245" s="38" t="s">
        <v>22</v>
      </c>
      <c r="H245" s="39" t="s">
        <v>55</v>
      </c>
      <c r="I245" s="40" t="s">
        <v>741</v>
      </c>
      <c r="J245" s="41" t="s">
        <v>57</v>
      </c>
      <c r="K245" s="42" t="s">
        <v>73</v>
      </c>
      <c r="L245" s="43" t="s">
        <v>742</v>
      </c>
      <c r="M245" s="44">
        <v>8.708999E7</v>
      </c>
      <c r="N245" s="44" t="s">
        <v>28</v>
      </c>
      <c r="O245" s="45">
        <v>1.725</v>
      </c>
      <c r="P245" s="44">
        <v>7.899823503286E12</v>
      </c>
      <c r="Q245" s="44">
        <v>1.0</v>
      </c>
    </row>
    <row r="246" ht="15.75" customHeight="1">
      <c r="A246" s="35" t="s">
        <v>743</v>
      </c>
      <c r="B246" s="36">
        <v>270.581</v>
      </c>
      <c r="C246" s="36">
        <f>'Lista de Preço 02_2022'!$B246*0.9*0.9*0.9*0.9*0.9*0.97</f>
        <v>154.9821134</v>
      </c>
      <c r="D246" s="36">
        <f>'Lista de Preço 02_2022'!$C246*1.1712</f>
        <v>181.5150513</v>
      </c>
      <c r="E246" s="37">
        <v>3.25</v>
      </c>
      <c r="F246" s="38">
        <v>0.18</v>
      </c>
      <c r="G246" s="38" t="s">
        <v>22</v>
      </c>
      <c r="H246" s="39" t="s">
        <v>55</v>
      </c>
      <c r="I246" s="40" t="s">
        <v>744</v>
      </c>
      <c r="J246" s="41" t="s">
        <v>57</v>
      </c>
      <c r="K246" s="42" t="s">
        <v>95</v>
      </c>
      <c r="L246" s="43" t="s">
        <v>745</v>
      </c>
      <c r="M246" s="44">
        <v>8.708999E7</v>
      </c>
      <c r="N246" s="44" t="s">
        <v>28</v>
      </c>
      <c r="O246" s="45">
        <v>1.83</v>
      </c>
      <c r="P246" s="44">
        <v>7.899823503293E12</v>
      </c>
      <c r="Q246" s="44">
        <v>1.0</v>
      </c>
    </row>
    <row r="247" ht="15.75" customHeight="1">
      <c r="A247" s="35" t="s">
        <v>746</v>
      </c>
      <c r="B247" s="36">
        <v>250.40606776051877</v>
      </c>
      <c r="C247" s="36">
        <f>'Lista de Preço 02_2022'!$B247*0.9*0.9*0.9*0.9*0.9*0.97</f>
        <v>143.4264106</v>
      </c>
      <c r="D247" s="36">
        <f>'Lista de Preço 02_2022'!$C247*1.1712</f>
        <v>167.9810121</v>
      </c>
      <c r="E247" s="37">
        <v>3.25</v>
      </c>
      <c r="F247" s="38">
        <v>0.18</v>
      </c>
      <c r="G247" s="38" t="s">
        <v>22</v>
      </c>
      <c r="H247" s="39" t="s">
        <v>55</v>
      </c>
      <c r="I247" s="40" t="s">
        <v>747</v>
      </c>
      <c r="J247" s="41" t="s">
        <v>57</v>
      </c>
      <c r="K247" s="42" t="s">
        <v>456</v>
      </c>
      <c r="L247" s="43" t="s">
        <v>748</v>
      </c>
      <c r="M247" s="44">
        <v>8.708999E7</v>
      </c>
      <c r="N247" s="44" t="s">
        <v>28</v>
      </c>
      <c r="O247" s="45">
        <v>1.64</v>
      </c>
      <c r="P247" s="44">
        <v>7.899823503309E12</v>
      </c>
      <c r="Q247" s="44">
        <v>1.0</v>
      </c>
    </row>
    <row r="248" ht="15.75" customHeight="1">
      <c r="A248" s="35" t="s">
        <v>749</v>
      </c>
      <c r="B248" s="36">
        <v>210.72888422958255</v>
      </c>
      <c r="C248" s="36">
        <f>'Lista de Preço 02_2022'!$B248*0.9*0.9*0.9*0.9*0.9*0.97</f>
        <v>120.7002999</v>
      </c>
      <c r="D248" s="36">
        <f>'Lista de Preço 02_2022'!$C248*1.1712</f>
        <v>141.3641912</v>
      </c>
      <c r="E248" s="37">
        <v>3.25</v>
      </c>
      <c r="F248" s="38">
        <v>0.18</v>
      </c>
      <c r="G248" s="38" t="s">
        <v>22</v>
      </c>
      <c r="H248" s="39" t="s">
        <v>55</v>
      </c>
      <c r="I248" s="40" t="s">
        <v>750</v>
      </c>
      <c r="J248" s="41" t="s">
        <v>57</v>
      </c>
      <c r="K248" s="42" t="s">
        <v>86</v>
      </c>
      <c r="L248" s="43" t="s">
        <v>751</v>
      </c>
      <c r="M248" s="44">
        <v>8.708999E7</v>
      </c>
      <c r="N248" s="44" t="s">
        <v>28</v>
      </c>
      <c r="O248" s="45">
        <v>1.722</v>
      </c>
      <c r="P248" s="44">
        <v>7.898233439628E12</v>
      </c>
      <c r="Q248" s="44">
        <v>1.0</v>
      </c>
    </row>
    <row r="249" ht="15.75" customHeight="1">
      <c r="A249" s="35" t="s">
        <v>752</v>
      </c>
      <c r="B249" s="36">
        <v>296.5256399359212</v>
      </c>
      <c r="C249" s="36">
        <f>'Lista de Preço 02_2022'!$B249*0.9*0.9*0.9*0.9*0.9*0.97</f>
        <v>169.8425624</v>
      </c>
      <c r="D249" s="36">
        <f>'Lista de Preço 02_2022'!$C249*1.1712</f>
        <v>198.9196091</v>
      </c>
      <c r="E249" s="37">
        <v>3.25</v>
      </c>
      <c r="F249" s="38">
        <v>0.18</v>
      </c>
      <c r="G249" s="38" t="s">
        <v>22</v>
      </c>
      <c r="H249" s="39" t="s">
        <v>55</v>
      </c>
      <c r="I249" s="40" t="s">
        <v>753</v>
      </c>
      <c r="J249" s="41" t="s">
        <v>57</v>
      </c>
      <c r="K249" s="42" t="s">
        <v>26</v>
      </c>
      <c r="L249" s="43" t="s">
        <v>754</v>
      </c>
      <c r="M249" s="44">
        <v>8.708999E7</v>
      </c>
      <c r="N249" s="44" t="s">
        <v>28</v>
      </c>
      <c r="O249" s="45">
        <v>1.844</v>
      </c>
      <c r="P249" s="44">
        <v>7.899823503316E12</v>
      </c>
      <c r="Q249" s="44">
        <v>1.0</v>
      </c>
    </row>
    <row r="250" ht="15.75" customHeight="1">
      <c r="A250" s="35" t="s">
        <v>755</v>
      </c>
      <c r="B250" s="36">
        <v>523.0791337462318</v>
      </c>
      <c r="C250" s="36">
        <f>'Lista de Preço 02_2022'!$B250*0.9*0.9*0.9*0.9*0.9*0.97</f>
        <v>299.6068078</v>
      </c>
      <c r="D250" s="36">
        <f>'Lista de Preço 02_2022'!$C250*1.1712</f>
        <v>350.8994932</v>
      </c>
      <c r="E250" s="37">
        <v>3.25</v>
      </c>
      <c r="F250" s="38">
        <v>0.18</v>
      </c>
      <c r="G250" s="38" t="s">
        <v>22</v>
      </c>
      <c r="H250" s="39" t="s">
        <v>55</v>
      </c>
      <c r="I250" s="40" t="s">
        <v>756</v>
      </c>
      <c r="J250" s="41" t="s">
        <v>581</v>
      </c>
      <c r="K250" s="42" t="s">
        <v>95</v>
      </c>
      <c r="L250" s="43" t="s">
        <v>731</v>
      </c>
      <c r="M250" s="44">
        <v>8.708999E7</v>
      </c>
      <c r="N250" s="44" t="s">
        <v>28</v>
      </c>
      <c r="O250" s="45">
        <v>5.43</v>
      </c>
      <c r="P250" s="44">
        <v>7.899823503323E12</v>
      </c>
      <c r="Q250" s="44">
        <v>1.0</v>
      </c>
    </row>
    <row r="251" ht="15.75" customHeight="1">
      <c r="A251" s="35" t="s">
        <v>757</v>
      </c>
      <c r="B251" s="36">
        <v>323.87107635282655</v>
      </c>
      <c r="C251" s="36">
        <f>'Lista de Preço 02_2022'!$B251*0.9*0.9*0.9*0.9*0.9*0.97</f>
        <v>185.5053529</v>
      </c>
      <c r="D251" s="36">
        <f>'Lista de Preço 02_2022'!$C251*1.1712</f>
        <v>217.2638693</v>
      </c>
      <c r="E251" s="37">
        <v>3.25</v>
      </c>
      <c r="F251" s="38">
        <v>0.18</v>
      </c>
      <c r="G251" s="38" t="s">
        <v>22</v>
      </c>
      <c r="H251" s="39" t="s">
        <v>55</v>
      </c>
      <c r="I251" s="40" t="s">
        <v>758</v>
      </c>
      <c r="J251" s="41" t="s">
        <v>57</v>
      </c>
      <c r="K251" s="42" t="s">
        <v>26</v>
      </c>
      <c r="L251" s="43" t="s">
        <v>739</v>
      </c>
      <c r="M251" s="44">
        <v>8.708999E7</v>
      </c>
      <c r="N251" s="44" t="s">
        <v>28</v>
      </c>
      <c r="O251" s="45">
        <v>2.244</v>
      </c>
      <c r="P251" s="44">
        <v>7.89982350333E12</v>
      </c>
      <c r="Q251" s="44">
        <v>1.0</v>
      </c>
    </row>
    <row r="252" ht="15.75" customHeight="1">
      <c r="A252" s="35" t="s">
        <v>759</v>
      </c>
      <c r="B252" s="36">
        <v>401.4034313701699</v>
      </c>
      <c r="C252" s="36">
        <f>'Lista de Preço 02_2022'!$B252*0.9*0.9*0.9*0.9*0.9*0.97</f>
        <v>229.9139708</v>
      </c>
      <c r="D252" s="36">
        <f>'Lista de Preço 02_2022'!$C252*1.1712</f>
        <v>269.2752426</v>
      </c>
      <c r="E252" s="37">
        <v>3.25</v>
      </c>
      <c r="F252" s="38">
        <v>0.18</v>
      </c>
      <c r="G252" s="38" t="s">
        <v>22</v>
      </c>
      <c r="H252" s="39" t="s">
        <v>55</v>
      </c>
      <c r="I252" s="40" t="s">
        <v>611</v>
      </c>
      <c r="J252" s="41" t="s">
        <v>57</v>
      </c>
      <c r="K252" s="42" t="s">
        <v>456</v>
      </c>
      <c r="L252" s="43" t="s">
        <v>760</v>
      </c>
      <c r="M252" s="44">
        <v>8.708999E7</v>
      </c>
      <c r="N252" s="44" t="s">
        <v>28</v>
      </c>
      <c r="O252" s="45">
        <v>3.206</v>
      </c>
      <c r="P252" s="44">
        <v>7.899823503347E12</v>
      </c>
      <c r="Q252" s="44">
        <v>1.0</v>
      </c>
    </row>
    <row r="253" ht="15.75" customHeight="1">
      <c r="A253" s="35" t="s">
        <v>761</v>
      </c>
      <c r="B253" s="36">
        <v>500.5823419377022</v>
      </c>
      <c r="C253" s="36">
        <f>'Lista de Preço 02_2022'!$B253*0.9*0.9*0.9*0.9*0.9*0.97</f>
        <v>286.7212011</v>
      </c>
      <c r="D253" s="36">
        <f>'Lista de Preço 02_2022'!$C253*1.1712</f>
        <v>335.8078707</v>
      </c>
      <c r="E253" s="37">
        <v>3.25</v>
      </c>
      <c r="F253" s="38">
        <v>0.18</v>
      </c>
      <c r="G253" s="38" t="s">
        <v>22</v>
      </c>
      <c r="H253" s="39" t="s">
        <v>55</v>
      </c>
      <c r="I253" s="40" t="s">
        <v>762</v>
      </c>
      <c r="J253" s="41" t="s">
        <v>57</v>
      </c>
      <c r="K253" s="42" t="s">
        <v>26</v>
      </c>
      <c r="L253" s="43" t="s">
        <v>763</v>
      </c>
      <c r="M253" s="44">
        <v>8.708999E7</v>
      </c>
      <c r="N253" s="44" t="s">
        <v>28</v>
      </c>
      <c r="O253" s="45">
        <v>4.5</v>
      </c>
      <c r="P253" s="44">
        <v>7.899823503354E12</v>
      </c>
      <c r="Q253" s="44">
        <v>1.0</v>
      </c>
    </row>
    <row r="254" ht="15.75" customHeight="1">
      <c r="A254" s="35" t="s">
        <v>764</v>
      </c>
      <c r="B254" s="36">
        <v>123.90040569677883</v>
      </c>
      <c r="C254" s="36">
        <f>'Lista de Preço 02_2022'!$B254*0.9*0.9*0.9*0.9*0.9*0.97</f>
        <v>70.96709204</v>
      </c>
      <c r="D254" s="36">
        <f>'Lista de Preço 02_2022'!$C254*1.1712</f>
        <v>83.1166582</v>
      </c>
      <c r="E254" s="37">
        <v>3.25</v>
      </c>
      <c r="F254" s="38">
        <v>0.18</v>
      </c>
      <c r="G254" s="38" t="s">
        <v>37</v>
      </c>
      <c r="H254" s="39" t="s">
        <v>559</v>
      </c>
      <c r="I254" s="40" t="s">
        <v>765</v>
      </c>
      <c r="J254" s="41" t="s">
        <v>40</v>
      </c>
      <c r="K254" s="42" t="s">
        <v>303</v>
      </c>
      <c r="L254" s="43">
        <v>3.521500973E9</v>
      </c>
      <c r="M254" s="42">
        <v>8.708999E7</v>
      </c>
      <c r="N254" s="44" t="s">
        <v>28</v>
      </c>
      <c r="O254" s="45">
        <v>1.092</v>
      </c>
      <c r="P254" s="44">
        <v>7.898233431509E12</v>
      </c>
      <c r="Q254" s="44">
        <v>1.0</v>
      </c>
    </row>
    <row r="255" ht="15.75" customHeight="1">
      <c r="A255" s="35" t="s">
        <v>766</v>
      </c>
      <c r="B255" s="36">
        <v>256.9781642439094</v>
      </c>
      <c r="C255" s="36">
        <f>'Lista de Preço 02_2022'!$B255*0.9*0.9*0.9*0.9*0.9*0.97</f>
        <v>147.1907451</v>
      </c>
      <c r="D255" s="36">
        <f>'Lista de Preço 02_2022'!$C255*1.1712</f>
        <v>172.3898007</v>
      </c>
      <c r="E255" s="37">
        <v>3.25</v>
      </c>
      <c r="F255" s="38">
        <v>0.18</v>
      </c>
      <c r="G255" s="38" t="s">
        <v>22</v>
      </c>
      <c r="H255" s="39" t="s">
        <v>55</v>
      </c>
      <c r="I255" s="40" t="s">
        <v>767</v>
      </c>
      <c r="J255" s="41" t="s">
        <v>768</v>
      </c>
      <c r="K255" s="42" t="s">
        <v>157</v>
      </c>
      <c r="L255" s="43" t="s">
        <v>769</v>
      </c>
      <c r="M255" s="44">
        <v>8.708999E7</v>
      </c>
      <c r="N255" s="44" t="s">
        <v>28</v>
      </c>
      <c r="O255" s="45">
        <v>1.915</v>
      </c>
      <c r="P255" s="44">
        <v>7.899823503361E12</v>
      </c>
      <c r="Q255" s="44">
        <v>1.0</v>
      </c>
    </row>
    <row r="256" ht="15.75" customHeight="1">
      <c r="A256" s="35" t="s">
        <v>770</v>
      </c>
      <c r="B256" s="36">
        <v>225.3585671769668</v>
      </c>
      <c r="C256" s="36">
        <f>'Lista de Preço 02_2022'!$B256*0.9*0.9*0.9*0.9*0.9*0.97</f>
        <v>129.0798209</v>
      </c>
      <c r="D256" s="36">
        <f>'Lista de Preço 02_2022'!$C256*1.1712</f>
        <v>151.1782863</v>
      </c>
      <c r="E256" s="37">
        <v>3.25</v>
      </c>
      <c r="F256" s="38">
        <v>0.18</v>
      </c>
      <c r="G256" s="38" t="s">
        <v>22</v>
      </c>
      <c r="H256" s="39" t="s">
        <v>55</v>
      </c>
      <c r="I256" s="40" t="s">
        <v>771</v>
      </c>
      <c r="J256" s="41" t="s">
        <v>57</v>
      </c>
      <c r="K256" s="42" t="s">
        <v>95</v>
      </c>
      <c r="L256" s="43" t="s">
        <v>703</v>
      </c>
      <c r="M256" s="44">
        <v>8.708999E7</v>
      </c>
      <c r="N256" s="44" t="s">
        <v>28</v>
      </c>
      <c r="O256" s="45">
        <v>1.96</v>
      </c>
      <c r="P256" s="44">
        <v>7.899823503378E12</v>
      </c>
      <c r="Q256" s="44">
        <v>1.0</v>
      </c>
    </row>
    <row r="257" ht="15.75" customHeight="1">
      <c r="A257" s="35" t="s">
        <v>772</v>
      </c>
      <c r="B257" s="36">
        <v>210.39142171358617</v>
      </c>
      <c r="C257" s="36">
        <f>'Lista de Preço 02_2022'!$B257*0.9*0.9*0.9*0.9*0.9*0.97</f>
        <v>120.5070097</v>
      </c>
      <c r="D257" s="36">
        <f>'Lista de Preço 02_2022'!$C257*1.1712</f>
        <v>141.1378097</v>
      </c>
      <c r="E257" s="37">
        <v>3.25</v>
      </c>
      <c r="F257" s="38">
        <v>0.18</v>
      </c>
      <c r="G257" s="38" t="s">
        <v>22</v>
      </c>
      <c r="H257" s="39" t="s">
        <v>55</v>
      </c>
      <c r="I257" s="40" t="s">
        <v>773</v>
      </c>
      <c r="J257" s="41" t="s">
        <v>57</v>
      </c>
      <c r="K257" s="42" t="s">
        <v>68</v>
      </c>
      <c r="L257" s="43" t="s">
        <v>774</v>
      </c>
      <c r="M257" s="44">
        <v>8.708999E7</v>
      </c>
      <c r="N257" s="44" t="s">
        <v>28</v>
      </c>
      <c r="O257" s="45">
        <v>1.42</v>
      </c>
      <c r="P257" s="44">
        <v>7.899823503385E12</v>
      </c>
      <c r="Q257" s="44">
        <v>1.0</v>
      </c>
    </row>
    <row r="258" ht="15.75" customHeight="1">
      <c r="A258" s="35" t="s">
        <v>775</v>
      </c>
      <c r="B258" s="36">
        <v>220.49797330225772</v>
      </c>
      <c r="C258" s="36">
        <f>'Lista de Preço 02_2022'!$B258*0.9*0.9*0.9*0.9*0.9*0.97</f>
        <v>126.2957928</v>
      </c>
      <c r="D258" s="36">
        <f>'Lista de Preço 02_2022'!$C258*1.1712</f>
        <v>147.9176325</v>
      </c>
      <c r="E258" s="37">
        <v>3.25</v>
      </c>
      <c r="F258" s="38">
        <v>0.18</v>
      </c>
      <c r="G258" s="38" t="s">
        <v>22</v>
      </c>
      <c r="H258" s="39" t="s">
        <v>55</v>
      </c>
      <c r="I258" s="40" t="s">
        <v>776</v>
      </c>
      <c r="J258" s="41" t="s">
        <v>57</v>
      </c>
      <c r="K258" s="42" t="s">
        <v>68</v>
      </c>
      <c r="L258" s="43" t="s">
        <v>777</v>
      </c>
      <c r="M258" s="44">
        <v>8.708999E7</v>
      </c>
      <c r="N258" s="44" t="s">
        <v>28</v>
      </c>
      <c r="O258" s="45">
        <v>1.59</v>
      </c>
      <c r="P258" s="44">
        <v>7.899823503392E12</v>
      </c>
      <c r="Q258" s="44">
        <v>1.0</v>
      </c>
    </row>
    <row r="259" ht="15.75" customHeight="1">
      <c r="A259" s="35" t="s">
        <v>778</v>
      </c>
      <c r="B259" s="36">
        <v>317.78154639444006</v>
      </c>
      <c r="C259" s="36">
        <f>'Lista de Preço 02_2022'!$B259*0.9*0.9*0.9*0.9*0.9*0.97</f>
        <v>182.0174206</v>
      </c>
      <c r="D259" s="36">
        <f>'Lista de Preço 02_2022'!$C259*1.1712</f>
        <v>213.178803</v>
      </c>
      <c r="E259" s="37">
        <v>3.25</v>
      </c>
      <c r="F259" s="38">
        <v>0.18</v>
      </c>
      <c r="G259" s="38" t="s">
        <v>22</v>
      </c>
      <c r="H259" s="39" t="s">
        <v>55</v>
      </c>
      <c r="I259" s="40" t="s">
        <v>779</v>
      </c>
      <c r="J259" s="41" t="s">
        <v>57</v>
      </c>
      <c r="K259" s="42" t="s">
        <v>68</v>
      </c>
      <c r="L259" s="43" t="s">
        <v>777</v>
      </c>
      <c r="M259" s="44">
        <v>8.708999E7</v>
      </c>
      <c r="N259" s="44" t="s">
        <v>28</v>
      </c>
      <c r="O259" s="45">
        <v>1.805</v>
      </c>
      <c r="P259" s="44">
        <v>7.899823503408E12</v>
      </c>
      <c r="Q259" s="44">
        <v>1.0</v>
      </c>
    </row>
    <row r="260" ht="15.75" customHeight="1">
      <c r="A260" s="35" t="s">
        <v>780</v>
      </c>
      <c r="B260" s="36">
        <v>410.98398544658676</v>
      </c>
      <c r="C260" s="36">
        <f>'Lista de Preço 02_2022'!$B260*0.9*0.9*0.9*0.9*0.9*0.97</f>
        <v>235.4014756</v>
      </c>
      <c r="D260" s="36">
        <f>'Lista de Preço 02_2022'!$C260*1.1712</f>
        <v>275.7022082</v>
      </c>
      <c r="E260" s="37">
        <v>3.25</v>
      </c>
      <c r="F260" s="38">
        <v>0.18</v>
      </c>
      <c r="G260" s="38" t="s">
        <v>22</v>
      </c>
      <c r="H260" s="39" t="s">
        <v>55</v>
      </c>
      <c r="I260" s="40" t="s">
        <v>747</v>
      </c>
      <c r="J260" s="41" t="s">
        <v>57</v>
      </c>
      <c r="K260" s="42" t="s">
        <v>456</v>
      </c>
      <c r="L260" s="43" t="s">
        <v>748</v>
      </c>
      <c r="M260" s="44">
        <v>8.708999E7</v>
      </c>
      <c r="N260" s="44" t="s">
        <v>28</v>
      </c>
      <c r="O260" s="45">
        <v>3.204</v>
      </c>
      <c r="P260" s="44">
        <v>7.899823503415E12</v>
      </c>
      <c r="Q260" s="44">
        <v>1.0</v>
      </c>
    </row>
    <row r="261" ht="15.75" customHeight="1">
      <c r="A261" s="35" t="s">
        <v>781</v>
      </c>
      <c r="B261" s="36">
        <v>299.48997716094715</v>
      </c>
      <c r="C261" s="36">
        <f>'Lista de Preço 02_2022'!$B261*0.9*0.9*0.9*0.9*0.9*0.97</f>
        <v>171.5404615</v>
      </c>
      <c r="D261" s="36">
        <f>'Lista de Preço 02_2022'!$C261*1.1712</f>
        <v>200.9081885</v>
      </c>
      <c r="E261" s="37">
        <v>3.25</v>
      </c>
      <c r="F261" s="38">
        <v>0.18</v>
      </c>
      <c r="G261" s="38" t="s">
        <v>22</v>
      </c>
      <c r="H261" s="39" t="s">
        <v>55</v>
      </c>
      <c r="I261" s="40" t="s">
        <v>782</v>
      </c>
      <c r="J261" s="41" t="s">
        <v>57</v>
      </c>
      <c r="K261" s="42" t="s">
        <v>153</v>
      </c>
      <c r="L261" s="43" t="s">
        <v>783</v>
      </c>
      <c r="M261" s="44">
        <v>8.708999E7</v>
      </c>
      <c r="N261" s="44" t="s">
        <v>28</v>
      </c>
      <c r="O261" s="45">
        <v>1.614</v>
      </c>
      <c r="P261" s="44">
        <v>7.899823503422E12</v>
      </c>
      <c r="Q261" s="44">
        <v>1.0</v>
      </c>
    </row>
    <row r="262" ht="15.75" customHeight="1">
      <c r="A262" s="35" t="s">
        <v>784</v>
      </c>
      <c r="B262" s="36">
        <v>204.26351622678268</v>
      </c>
      <c r="C262" s="36">
        <f>'Lista de Preço 02_2022'!$B262*0.9*0.9*0.9*0.9*0.9*0.97</f>
        <v>116.9970968</v>
      </c>
      <c r="D262" s="36">
        <f>'Lista de Preço 02_2022'!$C262*1.1712</f>
        <v>137.0269998</v>
      </c>
      <c r="E262" s="37">
        <v>3.25</v>
      </c>
      <c r="F262" s="38">
        <v>0.18</v>
      </c>
      <c r="G262" s="38" t="s">
        <v>22</v>
      </c>
      <c r="H262" s="39" t="s">
        <v>55</v>
      </c>
      <c r="I262" s="40" t="s">
        <v>785</v>
      </c>
      <c r="J262" s="41" t="s">
        <v>57</v>
      </c>
      <c r="K262" s="42" t="s">
        <v>153</v>
      </c>
      <c r="L262" s="43" t="s">
        <v>786</v>
      </c>
      <c r="M262" s="44">
        <v>8.708999E7</v>
      </c>
      <c r="N262" s="44" t="s">
        <v>28</v>
      </c>
      <c r="O262" s="45">
        <v>1.33</v>
      </c>
      <c r="P262" s="44">
        <v>7.899823503439E12</v>
      </c>
      <c r="Q262" s="44">
        <v>1.0</v>
      </c>
    </row>
    <row r="263" ht="15.75" customHeight="1">
      <c r="A263" s="35" t="s">
        <v>787</v>
      </c>
      <c r="B263" s="36">
        <v>296.5256399359212</v>
      </c>
      <c r="C263" s="36">
        <f>'Lista de Preço 02_2022'!$B263*0.9*0.9*0.9*0.9*0.9*0.97</f>
        <v>169.8425624</v>
      </c>
      <c r="D263" s="36">
        <f>'Lista de Preço 02_2022'!$C263*1.1712</f>
        <v>198.9196091</v>
      </c>
      <c r="E263" s="37">
        <v>3.25</v>
      </c>
      <c r="F263" s="38">
        <v>0.18</v>
      </c>
      <c r="G263" s="38" t="s">
        <v>22</v>
      </c>
      <c r="H263" s="39" t="s">
        <v>55</v>
      </c>
      <c r="I263" s="40" t="s">
        <v>788</v>
      </c>
      <c r="J263" s="41" t="s">
        <v>57</v>
      </c>
      <c r="K263" s="42" t="s">
        <v>625</v>
      </c>
      <c r="L263" s="43" t="s">
        <v>714</v>
      </c>
      <c r="M263" s="44">
        <v>8.708999E7</v>
      </c>
      <c r="N263" s="44" t="s">
        <v>28</v>
      </c>
      <c r="O263" s="45">
        <v>1.542</v>
      </c>
      <c r="P263" s="44">
        <v>7.899823503446E12</v>
      </c>
      <c r="Q263" s="44">
        <v>1.0</v>
      </c>
    </row>
    <row r="264" ht="15.75" customHeight="1">
      <c r="A264" s="35" t="s">
        <v>789</v>
      </c>
      <c r="B264" s="36">
        <v>306.7284750360102</v>
      </c>
      <c r="C264" s="36">
        <f>'Lista de Preço 02_2022'!$B264*0.9*0.9*0.9*0.9*0.9*0.97</f>
        <v>175.6864943</v>
      </c>
      <c r="D264" s="36">
        <f>'Lista de Preço 02_2022'!$C264*1.1712</f>
        <v>205.7640221</v>
      </c>
      <c r="E264" s="37">
        <v>3.25</v>
      </c>
      <c r="F264" s="38">
        <v>0.18</v>
      </c>
      <c r="G264" s="38" t="s">
        <v>22</v>
      </c>
      <c r="H264" s="39" t="s">
        <v>55</v>
      </c>
      <c r="I264" s="40" t="s">
        <v>790</v>
      </c>
      <c r="J264" s="41" t="s">
        <v>57</v>
      </c>
      <c r="K264" s="42" t="s">
        <v>456</v>
      </c>
      <c r="L264" s="43" t="s">
        <v>791</v>
      </c>
      <c r="M264" s="44">
        <v>8.708999E7</v>
      </c>
      <c r="N264" s="44" t="s">
        <v>28</v>
      </c>
      <c r="O264" s="45">
        <v>1.478</v>
      </c>
      <c r="P264" s="44">
        <v>7.899823503453E12</v>
      </c>
      <c r="Q264" s="44">
        <v>1.0</v>
      </c>
    </row>
    <row r="265" ht="15.75" customHeight="1">
      <c r="A265" s="35" t="s">
        <v>792</v>
      </c>
      <c r="B265" s="36">
        <v>137.6176324957033</v>
      </c>
      <c r="C265" s="36">
        <f>'Lista de Preço 02_2022'!$B265*0.9*0.9*0.9*0.9*0.9*0.97</f>
        <v>78.82398074</v>
      </c>
      <c r="D265" s="36">
        <f>'Lista de Preço 02_2022'!$C265*1.1712</f>
        <v>92.31864624</v>
      </c>
      <c r="E265" s="37">
        <v>3.25</v>
      </c>
      <c r="F265" s="38">
        <v>0.18</v>
      </c>
      <c r="G265" s="38" t="s">
        <v>37</v>
      </c>
      <c r="H265" s="39" t="s">
        <v>793</v>
      </c>
      <c r="I265" s="40" t="s">
        <v>794</v>
      </c>
      <c r="J265" s="41" t="s">
        <v>40</v>
      </c>
      <c r="K265" s="42" t="s">
        <v>303</v>
      </c>
      <c r="L265" s="43">
        <v>3.442907036E9</v>
      </c>
      <c r="M265" s="42">
        <v>8.708999E7</v>
      </c>
      <c r="N265" s="44" t="s">
        <v>28</v>
      </c>
      <c r="O265" s="45">
        <v>0.878</v>
      </c>
      <c r="P265" s="44">
        <v>7.898233431516E12</v>
      </c>
      <c r="Q265" s="44">
        <v>1.0</v>
      </c>
    </row>
    <row r="266" ht="15.75" customHeight="1">
      <c r="A266" s="35" t="s">
        <v>795</v>
      </c>
      <c r="B266" s="36">
        <v>275.82370000000003</v>
      </c>
      <c r="C266" s="36">
        <f>'Lista de Preço 02_2022'!$B266*0.9*0.9*0.9*0.9*0.9*0.97</f>
        <v>157.9850025</v>
      </c>
      <c r="D266" s="36">
        <f>'Lista de Preço 02_2022'!$C266*1.1712</f>
        <v>185.0320349</v>
      </c>
      <c r="E266" s="37">
        <v>3.25</v>
      </c>
      <c r="F266" s="38">
        <v>0.18</v>
      </c>
      <c r="G266" s="38" t="s">
        <v>22</v>
      </c>
      <c r="H266" s="39" t="s">
        <v>55</v>
      </c>
      <c r="I266" s="40" t="s">
        <v>796</v>
      </c>
      <c r="J266" s="41" t="s">
        <v>57</v>
      </c>
      <c r="K266" s="42" t="s">
        <v>625</v>
      </c>
      <c r="L266" s="43" t="s">
        <v>714</v>
      </c>
      <c r="M266" s="44">
        <v>8.708999E7</v>
      </c>
      <c r="N266" s="44" t="s">
        <v>28</v>
      </c>
      <c r="O266" s="45">
        <v>1.558</v>
      </c>
      <c r="P266" s="44">
        <v>7.89982350346E12</v>
      </c>
      <c r="Q266" s="44">
        <v>1.0</v>
      </c>
    </row>
    <row r="267" ht="15.75" customHeight="1">
      <c r="A267" s="35" t="s">
        <v>797</v>
      </c>
      <c r="B267" s="36">
        <v>210.85859206850694</v>
      </c>
      <c r="C267" s="36">
        <f>'Lista de Preço 02_2022'!$B267*0.9*0.9*0.9*0.9*0.9*0.97</f>
        <v>120.7745933</v>
      </c>
      <c r="D267" s="36">
        <f>'Lista de Preço 02_2022'!$C267*1.1712</f>
        <v>141.4512037</v>
      </c>
      <c r="E267" s="37">
        <v>3.25</v>
      </c>
      <c r="F267" s="38">
        <v>0.18</v>
      </c>
      <c r="G267" s="38" t="s">
        <v>22</v>
      </c>
      <c r="H267" s="39" t="s">
        <v>55</v>
      </c>
      <c r="I267" s="40" t="s">
        <v>796</v>
      </c>
      <c r="J267" s="41" t="s">
        <v>57</v>
      </c>
      <c r="K267" s="42" t="s">
        <v>625</v>
      </c>
      <c r="L267" s="43" t="s">
        <v>714</v>
      </c>
      <c r="M267" s="44">
        <v>8.708999E7</v>
      </c>
      <c r="N267" s="44" t="s">
        <v>28</v>
      </c>
      <c r="O267" s="45">
        <v>1.356</v>
      </c>
      <c r="P267" s="44">
        <v>7.899823503477E12</v>
      </c>
      <c r="Q267" s="44">
        <v>1.0</v>
      </c>
    </row>
    <row r="268" ht="15.75" customHeight="1">
      <c r="A268" s="35" t="s">
        <v>798</v>
      </c>
      <c r="B268" s="36">
        <v>275.4305889857372</v>
      </c>
      <c r="C268" s="36">
        <f>'Lista de Preço 02_2022'!$B268*0.9*0.9*0.9*0.9*0.9*0.97</f>
        <v>157.7598382</v>
      </c>
      <c r="D268" s="36">
        <f>'Lista de Preço 02_2022'!$C268*1.1712</f>
        <v>184.7683225</v>
      </c>
      <c r="E268" s="37">
        <v>3.25</v>
      </c>
      <c r="F268" s="38">
        <v>0.18</v>
      </c>
      <c r="G268" s="38" t="s">
        <v>22</v>
      </c>
      <c r="H268" s="39" t="s">
        <v>55</v>
      </c>
      <c r="I268" s="40" t="s">
        <v>799</v>
      </c>
      <c r="J268" s="41" t="s">
        <v>57</v>
      </c>
      <c r="K268" s="42" t="s">
        <v>157</v>
      </c>
      <c r="L268" s="43" t="s">
        <v>800</v>
      </c>
      <c r="M268" s="44">
        <v>8.708999E7</v>
      </c>
      <c r="N268" s="44" t="s">
        <v>28</v>
      </c>
      <c r="O268" s="45">
        <v>1.448</v>
      </c>
      <c r="P268" s="44">
        <v>7.899823503484E12</v>
      </c>
      <c r="Q268" s="44">
        <v>1.0</v>
      </c>
    </row>
    <row r="269" ht="15.75" customHeight="1">
      <c r="A269" s="35" t="s">
        <v>801</v>
      </c>
      <c r="B269" s="36">
        <v>308.38298883602477</v>
      </c>
      <c r="C269" s="36">
        <f>'Lista de Preço 02_2022'!$B269*0.9*0.9*0.9*0.9*0.9*0.97</f>
        <v>176.6341589</v>
      </c>
      <c r="D269" s="36">
        <f>'Lista de Preço 02_2022'!$C269*1.1712</f>
        <v>206.873927</v>
      </c>
      <c r="E269" s="37">
        <v>3.25</v>
      </c>
      <c r="F269" s="38">
        <v>0.18</v>
      </c>
      <c r="G269" s="38" t="s">
        <v>22</v>
      </c>
      <c r="H269" s="39" t="s">
        <v>55</v>
      </c>
      <c r="I269" s="40" t="s">
        <v>802</v>
      </c>
      <c r="J269" s="41" t="s">
        <v>768</v>
      </c>
      <c r="K269" s="42" t="s">
        <v>153</v>
      </c>
      <c r="L269" s="43" t="s">
        <v>803</v>
      </c>
      <c r="M269" s="44">
        <v>8.708999E7</v>
      </c>
      <c r="N269" s="44" t="s">
        <v>28</v>
      </c>
      <c r="O269" s="45">
        <v>1.848</v>
      </c>
      <c r="P269" s="44">
        <v>7.899823503491E12</v>
      </c>
      <c r="Q269" s="44">
        <v>1.0</v>
      </c>
    </row>
    <row r="270" ht="15.75" customHeight="1">
      <c r="A270" s="35" t="s">
        <v>804</v>
      </c>
      <c r="B270" s="36">
        <v>349.72515241388555</v>
      </c>
      <c r="C270" s="36">
        <f>'Lista de Preço 02_2022'!$B270*0.9*0.9*0.9*0.9*0.9*0.97</f>
        <v>200.3139291</v>
      </c>
      <c r="D270" s="36">
        <f>'Lista de Preço 02_2022'!$C270*1.1712</f>
        <v>234.6076738</v>
      </c>
      <c r="E270" s="37">
        <v>3.25</v>
      </c>
      <c r="F270" s="38">
        <v>0.18</v>
      </c>
      <c r="G270" s="38" t="s">
        <v>22</v>
      </c>
      <c r="H270" s="39" t="s">
        <v>55</v>
      </c>
      <c r="I270" s="40" t="s">
        <v>802</v>
      </c>
      <c r="J270" s="41" t="s">
        <v>768</v>
      </c>
      <c r="K270" s="42" t="s">
        <v>153</v>
      </c>
      <c r="L270" s="43" t="s">
        <v>803</v>
      </c>
      <c r="M270" s="44">
        <v>8.708999E7</v>
      </c>
      <c r="N270" s="44" t="s">
        <v>28</v>
      </c>
      <c r="O270" s="45">
        <v>3.714</v>
      </c>
      <c r="P270" s="44">
        <v>7.899823503507E12</v>
      </c>
      <c r="Q270" s="44">
        <v>1.0</v>
      </c>
    </row>
    <row r="271" ht="15.75" customHeight="1">
      <c r="A271" s="35" t="s">
        <v>805</v>
      </c>
      <c r="B271" s="36">
        <v>317.78154639444006</v>
      </c>
      <c r="C271" s="36">
        <f>'Lista de Preço 02_2022'!$B271*0.9*0.9*0.9*0.9*0.9*0.97</f>
        <v>182.0174206</v>
      </c>
      <c r="D271" s="36">
        <f>'Lista de Preço 02_2022'!$C271*1.1712</f>
        <v>213.178803</v>
      </c>
      <c r="E271" s="37">
        <v>3.25</v>
      </c>
      <c r="F271" s="38">
        <v>0.18</v>
      </c>
      <c r="G271" s="38" t="s">
        <v>22</v>
      </c>
      <c r="H271" s="39" t="s">
        <v>55</v>
      </c>
      <c r="I271" s="40" t="s">
        <v>806</v>
      </c>
      <c r="J271" s="41" t="s">
        <v>57</v>
      </c>
      <c r="K271" s="42" t="s">
        <v>68</v>
      </c>
      <c r="L271" s="43" t="s">
        <v>777</v>
      </c>
      <c r="M271" s="44">
        <v>8.708999E7</v>
      </c>
      <c r="N271" s="44" t="s">
        <v>28</v>
      </c>
      <c r="O271" s="45">
        <v>1.79</v>
      </c>
      <c r="P271" s="44">
        <v>7.899823503514E12</v>
      </c>
      <c r="Q271" s="44">
        <v>1.0</v>
      </c>
    </row>
    <row r="272" ht="15.75" customHeight="1">
      <c r="A272" s="35" t="s">
        <v>807</v>
      </c>
      <c r="B272" s="36">
        <v>262.56759999999997</v>
      </c>
      <c r="C272" s="36">
        <f>'Lista de Preço 02_2022'!$B272*0.9*0.9*0.9*0.9*0.9*0.97</f>
        <v>150.3922359</v>
      </c>
      <c r="D272" s="36">
        <f>'Lista de Preço 02_2022'!$C272*1.1712</f>
        <v>176.1393866</v>
      </c>
      <c r="E272" s="37">
        <v>3.25</v>
      </c>
      <c r="F272" s="38">
        <v>0.18</v>
      </c>
      <c r="G272" s="38" t="s">
        <v>22</v>
      </c>
      <c r="H272" s="39" t="s">
        <v>55</v>
      </c>
      <c r="I272" s="40" t="s">
        <v>808</v>
      </c>
      <c r="J272" s="41" t="s">
        <v>57</v>
      </c>
      <c r="K272" s="42" t="s">
        <v>68</v>
      </c>
      <c r="L272" s="43" t="s">
        <v>777</v>
      </c>
      <c r="M272" s="44">
        <v>8.708999E7</v>
      </c>
      <c r="N272" s="44" t="s">
        <v>28</v>
      </c>
      <c r="O272" s="45">
        <v>1.446</v>
      </c>
      <c r="P272" s="44">
        <v>7.899823503521E12</v>
      </c>
      <c r="Q272" s="44">
        <v>1.0</v>
      </c>
    </row>
    <row r="273" ht="15.75" customHeight="1">
      <c r="A273" s="35" t="s">
        <v>809</v>
      </c>
      <c r="B273" s="36">
        <v>256.882</v>
      </c>
      <c r="C273" s="36">
        <f>'Lista de Preço 02_2022'!$B273*0.9*0.9*0.9*0.9*0.9*0.97</f>
        <v>147.1356646</v>
      </c>
      <c r="D273" s="36">
        <f>'Lista de Preço 02_2022'!$C273*1.1712</f>
        <v>172.3252904</v>
      </c>
      <c r="E273" s="37">
        <v>3.25</v>
      </c>
      <c r="F273" s="38">
        <v>0.18</v>
      </c>
      <c r="G273" s="38" t="s">
        <v>22</v>
      </c>
      <c r="H273" s="39" t="s">
        <v>55</v>
      </c>
      <c r="I273" s="40" t="s">
        <v>810</v>
      </c>
      <c r="J273" s="41" t="s">
        <v>57</v>
      </c>
      <c r="K273" s="42" t="s">
        <v>68</v>
      </c>
      <c r="L273" s="43" t="s">
        <v>811</v>
      </c>
      <c r="M273" s="44">
        <v>8.708999E7</v>
      </c>
      <c r="N273" s="44" t="s">
        <v>28</v>
      </c>
      <c r="O273" s="45">
        <v>1.232</v>
      </c>
      <c r="P273" s="44">
        <v>7.899823503538E12</v>
      </c>
      <c r="Q273" s="44">
        <v>1.0</v>
      </c>
    </row>
    <row r="274" ht="15.75" customHeight="1">
      <c r="A274" s="35" t="s">
        <v>812</v>
      </c>
      <c r="B274" s="36">
        <v>227.33479199365078</v>
      </c>
      <c r="C274" s="36">
        <f>'Lista de Preço 02_2022'!$B274*0.9*0.9*0.9*0.9*0.9*0.97</f>
        <v>130.2117537</v>
      </c>
      <c r="D274" s="36">
        <f>'Lista de Preço 02_2022'!$C274*1.1712</f>
        <v>152.5040059</v>
      </c>
      <c r="E274" s="37">
        <v>3.25</v>
      </c>
      <c r="F274" s="38">
        <v>0.18</v>
      </c>
      <c r="G274" s="38" t="s">
        <v>22</v>
      </c>
      <c r="H274" s="39" t="s">
        <v>55</v>
      </c>
      <c r="I274" s="40" t="s">
        <v>608</v>
      </c>
      <c r="J274" s="41" t="s">
        <v>57</v>
      </c>
      <c r="K274" s="42" t="s">
        <v>456</v>
      </c>
      <c r="L274" s="43" t="s">
        <v>813</v>
      </c>
      <c r="M274" s="44">
        <v>8.708999E7</v>
      </c>
      <c r="N274" s="44" t="s">
        <v>28</v>
      </c>
      <c r="O274" s="45">
        <v>1.5</v>
      </c>
      <c r="P274" s="44">
        <v>7.899823503545E12</v>
      </c>
      <c r="Q274" s="44">
        <v>1.0</v>
      </c>
    </row>
    <row r="275" ht="15.75" customHeight="1">
      <c r="A275" s="35" t="s">
        <v>814</v>
      </c>
      <c r="B275" s="36">
        <v>459.47226987900996</v>
      </c>
      <c r="C275" s="36">
        <f>'Lista de Preço 02_2022'!$B275*0.9*0.9*0.9*0.9*0.9*0.97</f>
        <v>263.1743672</v>
      </c>
      <c r="D275" s="36">
        <f>'Lista de Preço 02_2022'!$C275*1.1712</f>
        <v>308.2298189</v>
      </c>
      <c r="E275" s="37">
        <v>3.25</v>
      </c>
      <c r="F275" s="38">
        <v>0.18</v>
      </c>
      <c r="G275" s="38" t="s">
        <v>22</v>
      </c>
      <c r="H275" s="39" t="s">
        <v>55</v>
      </c>
      <c r="I275" s="40" t="s">
        <v>608</v>
      </c>
      <c r="J275" s="41" t="s">
        <v>57</v>
      </c>
      <c r="K275" s="42" t="s">
        <v>456</v>
      </c>
      <c r="L275" s="43" t="s">
        <v>813</v>
      </c>
      <c r="M275" s="44">
        <v>8.708999E7</v>
      </c>
      <c r="N275" s="44" t="s">
        <v>28</v>
      </c>
      <c r="O275" s="45">
        <v>3.21</v>
      </c>
      <c r="P275" s="44">
        <v>7.899823503552E12</v>
      </c>
      <c r="Q275" s="44">
        <v>1.0</v>
      </c>
    </row>
    <row r="276" ht="15.75" customHeight="1">
      <c r="A276" s="35" t="s">
        <v>815</v>
      </c>
      <c r="B276" s="36">
        <v>44.15232375903816</v>
      </c>
      <c r="C276" s="36">
        <f>'Lista de Preço 02_2022'!$B276*0.9*0.9*0.9*0.9*0.9*0.97</f>
        <v>25.28936049</v>
      </c>
      <c r="D276" s="36">
        <f>'Lista de Preço 02_2022'!$C276*1.1627</f>
        <v>29.40393944</v>
      </c>
      <c r="E276" s="37">
        <v>2.6</v>
      </c>
      <c r="F276" s="38">
        <v>0.18</v>
      </c>
      <c r="G276" s="38" t="s">
        <v>37</v>
      </c>
      <c r="H276" s="39" t="s">
        <v>38</v>
      </c>
      <c r="I276" s="40" t="s">
        <v>816</v>
      </c>
      <c r="J276" s="41" t="s">
        <v>40</v>
      </c>
      <c r="K276" s="42" t="s">
        <v>303</v>
      </c>
      <c r="L276" s="43">
        <v>3.082900034E9</v>
      </c>
      <c r="M276" s="42">
        <v>8.70893E7</v>
      </c>
      <c r="N276" s="44" t="s">
        <v>28</v>
      </c>
      <c r="O276" s="45">
        <v>0.164</v>
      </c>
      <c r="P276" s="44">
        <v>7.898233431523E12</v>
      </c>
      <c r="Q276" s="44">
        <v>1.0</v>
      </c>
    </row>
    <row r="277" ht="15.75" customHeight="1">
      <c r="A277" s="35" t="s">
        <v>817</v>
      </c>
      <c r="B277" s="36">
        <v>451.56737061227443</v>
      </c>
      <c r="C277" s="36">
        <f>'Lista de Preço 02_2022'!$B277*0.9*0.9*0.9*0.9*0.9*0.97</f>
        <v>258.6466362</v>
      </c>
      <c r="D277" s="36">
        <f>'Lista de Preço 02_2022'!$C277*1.1712</f>
        <v>302.9269403</v>
      </c>
      <c r="E277" s="37">
        <v>3.25</v>
      </c>
      <c r="F277" s="38">
        <v>0.18</v>
      </c>
      <c r="G277" s="38" t="s">
        <v>22</v>
      </c>
      <c r="H277" s="39" t="s">
        <v>55</v>
      </c>
      <c r="I277" s="40" t="s">
        <v>818</v>
      </c>
      <c r="J277" s="41" t="s">
        <v>57</v>
      </c>
      <c r="K277" s="42" t="s">
        <v>95</v>
      </c>
      <c r="L277" s="43" t="s">
        <v>819</v>
      </c>
      <c r="M277" s="44">
        <v>8.708999E7</v>
      </c>
      <c r="N277" s="44" t="s">
        <v>28</v>
      </c>
      <c r="O277" s="45">
        <v>4.04</v>
      </c>
      <c r="P277" s="44">
        <v>7.899823503569E12</v>
      </c>
      <c r="Q277" s="44">
        <v>1.0</v>
      </c>
    </row>
    <row r="278" ht="15.75" customHeight="1">
      <c r="A278" s="35" t="s">
        <v>820</v>
      </c>
      <c r="B278" s="36">
        <v>266.21586629399</v>
      </c>
      <c r="C278" s="36">
        <f>'Lista de Preço 02_2022'!$B278*0.9*0.9*0.9*0.9*0.9*0.97</f>
        <v>152.4818727</v>
      </c>
      <c r="D278" s="36">
        <f>'Lista de Preço 02_2022'!$C278*1.1712</f>
        <v>178.5867693</v>
      </c>
      <c r="E278" s="37">
        <v>3.25</v>
      </c>
      <c r="F278" s="38">
        <v>0.18</v>
      </c>
      <c r="G278" s="38" t="s">
        <v>22</v>
      </c>
      <c r="H278" s="39" t="s">
        <v>55</v>
      </c>
      <c r="I278" s="40" t="s">
        <v>821</v>
      </c>
      <c r="J278" s="41" t="s">
        <v>57</v>
      </c>
      <c r="K278" s="42" t="s">
        <v>26</v>
      </c>
      <c r="L278" s="43" t="s">
        <v>822</v>
      </c>
      <c r="M278" s="44">
        <v>8.708999E7</v>
      </c>
      <c r="N278" s="44" t="s">
        <v>28</v>
      </c>
      <c r="O278" s="45">
        <v>1.98</v>
      </c>
      <c r="P278" s="44">
        <v>7.899823503576E12</v>
      </c>
      <c r="Q278" s="44">
        <v>1.0</v>
      </c>
    </row>
    <row r="279" ht="15.75" customHeight="1">
      <c r="A279" s="35" t="s">
        <v>823</v>
      </c>
      <c r="B279" s="36">
        <v>214.2503</v>
      </c>
      <c r="C279" s="36">
        <f>'Lista de Preço 02_2022'!$B279*0.9*0.9*0.9*0.9*0.9*0.97</f>
        <v>122.7172799</v>
      </c>
      <c r="D279" s="36">
        <f>'Lista de Preço 02_2022'!$C279*1.1712</f>
        <v>143.7264782</v>
      </c>
      <c r="E279" s="37">
        <v>3.25</v>
      </c>
      <c r="F279" s="38">
        <v>0.18</v>
      </c>
      <c r="G279" s="38" t="s">
        <v>22</v>
      </c>
      <c r="H279" s="39" t="s">
        <v>55</v>
      </c>
      <c r="I279" s="40" t="s">
        <v>824</v>
      </c>
      <c r="J279" s="41" t="s">
        <v>581</v>
      </c>
      <c r="K279" s="42" t="s">
        <v>153</v>
      </c>
      <c r="L279" s="43" t="s">
        <v>825</v>
      </c>
      <c r="M279" s="44">
        <v>8.708999E7</v>
      </c>
      <c r="N279" s="44" t="s">
        <v>28</v>
      </c>
      <c r="O279" s="45">
        <v>1.34</v>
      </c>
      <c r="P279" s="44">
        <v>7.899823503583E12</v>
      </c>
      <c r="Q279" s="44">
        <v>1.0</v>
      </c>
    </row>
    <row r="280" ht="15.75" customHeight="1">
      <c r="A280" s="35" t="s">
        <v>826</v>
      </c>
      <c r="B280" s="36">
        <v>194.06068112669368</v>
      </c>
      <c r="C280" s="36">
        <f>'Lista de Preço 02_2022'!$B280*0.9*0.9*0.9*0.9*0.9*0.97</f>
        <v>111.1531649</v>
      </c>
      <c r="D280" s="36">
        <f>'Lista de Preço 02_2022'!$C280*1.1712</f>
        <v>130.1825867</v>
      </c>
      <c r="E280" s="37">
        <v>3.25</v>
      </c>
      <c r="F280" s="38">
        <v>0.18</v>
      </c>
      <c r="G280" s="38" t="s">
        <v>22</v>
      </c>
      <c r="H280" s="39" t="s">
        <v>55</v>
      </c>
      <c r="I280" s="40" t="s">
        <v>827</v>
      </c>
      <c r="J280" s="41" t="s">
        <v>57</v>
      </c>
      <c r="K280" s="42" t="s">
        <v>153</v>
      </c>
      <c r="L280" s="43" t="s">
        <v>598</v>
      </c>
      <c r="M280" s="44">
        <v>8.708999E7</v>
      </c>
      <c r="N280" s="44" t="s">
        <v>28</v>
      </c>
      <c r="O280" s="45">
        <v>1.64</v>
      </c>
      <c r="P280" s="44">
        <v>7.89982350359E12</v>
      </c>
      <c r="Q280" s="44">
        <v>1.0</v>
      </c>
    </row>
    <row r="281" ht="15.75" customHeight="1">
      <c r="A281" s="35" t="s">
        <v>828</v>
      </c>
      <c r="B281" s="36">
        <v>203.62009419344378</v>
      </c>
      <c r="C281" s="36">
        <f>'Lista de Preço 02_2022'!$B281*0.9*0.9*0.9*0.9*0.9*0.97</f>
        <v>116.6285605</v>
      </c>
      <c r="D281" s="36">
        <f>'Lista de Preço 02_2022'!$C281*1.1712</f>
        <v>136.5953701</v>
      </c>
      <c r="E281" s="37">
        <v>3.25</v>
      </c>
      <c r="F281" s="38">
        <v>0.18</v>
      </c>
      <c r="G281" s="38" t="s">
        <v>22</v>
      </c>
      <c r="H281" s="39" t="s">
        <v>55</v>
      </c>
      <c r="I281" s="40" t="s">
        <v>674</v>
      </c>
      <c r="J281" s="41" t="s">
        <v>57</v>
      </c>
      <c r="K281" s="42" t="s">
        <v>153</v>
      </c>
      <c r="L281" s="43" t="s">
        <v>783</v>
      </c>
      <c r="M281" s="44">
        <v>8.708999E7</v>
      </c>
      <c r="N281" s="44" t="s">
        <v>28</v>
      </c>
      <c r="O281" s="45">
        <v>1.215</v>
      </c>
      <c r="P281" s="44">
        <v>7.899823503606E12</v>
      </c>
      <c r="Q281" s="44">
        <v>1.0</v>
      </c>
    </row>
    <row r="282" ht="15.75" customHeight="1">
      <c r="A282" s="35" t="s">
        <v>829</v>
      </c>
      <c r="B282" s="36">
        <v>306.7284750360102</v>
      </c>
      <c r="C282" s="36">
        <f>'Lista de Preço 02_2022'!$B282*0.9*0.9*0.9*0.9*0.9*0.97</f>
        <v>175.6864943</v>
      </c>
      <c r="D282" s="36">
        <f>'Lista de Preço 02_2022'!$C282*1.1712</f>
        <v>205.7640221</v>
      </c>
      <c r="E282" s="37">
        <v>3.25</v>
      </c>
      <c r="F282" s="38">
        <v>0.18</v>
      </c>
      <c r="G282" s="38" t="s">
        <v>22</v>
      </c>
      <c r="H282" s="39" t="s">
        <v>55</v>
      </c>
      <c r="I282" s="40" t="s">
        <v>830</v>
      </c>
      <c r="J282" s="41" t="s">
        <v>57</v>
      </c>
      <c r="K282" s="42" t="s">
        <v>153</v>
      </c>
      <c r="L282" s="43" t="s">
        <v>831</v>
      </c>
      <c r="M282" s="44">
        <v>8.708999E7</v>
      </c>
      <c r="N282" s="44" t="s">
        <v>28</v>
      </c>
      <c r="O282" s="45">
        <v>2.545</v>
      </c>
      <c r="P282" s="44">
        <v>7.899823503613E12</v>
      </c>
      <c r="Q282" s="44">
        <v>1.0</v>
      </c>
    </row>
    <row r="283" ht="15.75" customHeight="1">
      <c r="A283" s="35" t="s">
        <v>832</v>
      </c>
      <c r="B283" s="36">
        <v>233.92986783537498</v>
      </c>
      <c r="C283" s="36">
        <f>'Lista de Preço 02_2022'!$B283*0.9*0.9*0.9*0.9*0.9*0.97</f>
        <v>133.9892502</v>
      </c>
      <c r="D283" s="36">
        <f>'Lista de Preço 02_2022'!$C283*1.1712</f>
        <v>156.9282099</v>
      </c>
      <c r="E283" s="37">
        <v>3.25</v>
      </c>
      <c r="F283" s="38">
        <v>0.18</v>
      </c>
      <c r="G283" s="38" t="s">
        <v>22</v>
      </c>
      <c r="H283" s="39" t="s">
        <v>55</v>
      </c>
      <c r="I283" s="40" t="s">
        <v>833</v>
      </c>
      <c r="J283" s="41" t="s">
        <v>57</v>
      </c>
      <c r="K283" s="42" t="s">
        <v>507</v>
      </c>
      <c r="L283" s="43" t="s">
        <v>834</v>
      </c>
      <c r="M283" s="44">
        <v>8.708999E7</v>
      </c>
      <c r="N283" s="44" t="s">
        <v>28</v>
      </c>
      <c r="O283" s="45">
        <v>1.644</v>
      </c>
      <c r="P283" s="44">
        <v>7.89982350362E12</v>
      </c>
      <c r="Q283" s="44">
        <v>1.0</v>
      </c>
    </row>
    <row r="284" ht="15.75" customHeight="1">
      <c r="A284" s="35" t="s">
        <v>835</v>
      </c>
      <c r="B284" s="36">
        <v>265.0602</v>
      </c>
      <c r="C284" s="36">
        <f>'Lista de Preço 02_2022'!$B284*0.9*0.9*0.9*0.9*0.9*0.97</f>
        <v>151.8199356</v>
      </c>
      <c r="D284" s="36">
        <f>'Lista de Preço 02_2022'!$C284*1.1712</f>
        <v>177.8115085</v>
      </c>
      <c r="E284" s="37">
        <v>3.25</v>
      </c>
      <c r="F284" s="38">
        <v>0.18</v>
      </c>
      <c r="G284" s="38" t="s">
        <v>22</v>
      </c>
      <c r="H284" s="39" t="s">
        <v>55</v>
      </c>
      <c r="I284" s="40" t="s">
        <v>833</v>
      </c>
      <c r="J284" s="41" t="s">
        <v>57</v>
      </c>
      <c r="K284" s="42" t="s">
        <v>507</v>
      </c>
      <c r="L284" s="43" t="s">
        <v>834</v>
      </c>
      <c r="M284" s="44">
        <v>8.708999E7</v>
      </c>
      <c r="N284" s="44" t="s">
        <v>28</v>
      </c>
      <c r="O284" s="45">
        <v>1.432</v>
      </c>
      <c r="P284" s="44">
        <v>7.899823503637E12</v>
      </c>
      <c r="Q284" s="44">
        <v>1.0</v>
      </c>
    </row>
    <row r="285" ht="15.75" customHeight="1">
      <c r="A285" s="35" t="s">
        <v>836</v>
      </c>
      <c r="B285" s="36">
        <v>300.7998005859586</v>
      </c>
      <c r="C285" s="36">
        <f>'Lista de Preço 02_2022'!$B285*0.9*0.9*0.9*0.9*0.9*0.97</f>
        <v>172.290696</v>
      </c>
      <c r="D285" s="36">
        <f>'Lista de Preço 02_2022'!$C285*1.1712</f>
        <v>201.7868632</v>
      </c>
      <c r="E285" s="37">
        <v>3.25</v>
      </c>
      <c r="F285" s="38">
        <v>0.18</v>
      </c>
      <c r="G285" s="38" t="s">
        <v>22</v>
      </c>
      <c r="H285" s="39" t="s">
        <v>55</v>
      </c>
      <c r="I285" s="40" t="s">
        <v>837</v>
      </c>
      <c r="J285" s="41" t="s">
        <v>768</v>
      </c>
      <c r="K285" s="42" t="s">
        <v>157</v>
      </c>
      <c r="L285" s="43" t="s">
        <v>838</v>
      </c>
      <c r="M285" s="44">
        <v>8.708999E7</v>
      </c>
      <c r="N285" s="44" t="s">
        <v>28</v>
      </c>
      <c r="O285" s="45">
        <v>2.016</v>
      </c>
      <c r="P285" s="44">
        <v>7.899823503644E12</v>
      </c>
      <c r="Q285" s="44">
        <v>1.0</v>
      </c>
    </row>
    <row r="286" ht="15.75" customHeight="1">
      <c r="A286" s="35" t="s">
        <v>839</v>
      </c>
      <c r="B286" s="36">
        <v>384.68209801401457</v>
      </c>
      <c r="C286" s="36">
        <f>'Lista de Preço 02_2022'!$B286*0.9*0.9*0.9*0.9*0.9*0.97</f>
        <v>220.3364041</v>
      </c>
      <c r="D286" s="36">
        <f>'Lista de Preço 02_2022'!$C286*1.1712</f>
        <v>258.0579965</v>
      </c>
      <c r="E286" s="37">
        <v>3.25</v>
      </c>
      <c r="F286" s="38">
        <v>0.18</v>
      </c>
      <c r="G286" s="38" t="s">
        <v>22</v>
      </c>
      <c r="H286" s="39" t="s">
        <v>55</v>
      </c>
      <c r="I286" s="40" t="s">
        <v>840</v>
      </c>
      <c r="J286" s="41" t="s">
        <v>768</v>
      </c>
      <c r="K286" s="42" t="s">
        <v>157</v>
      </c>
      <c r="L286" s="43" t="s">
        <v>838</v>
      </c>
      <c r="M286" s="44">
        <v>8.708999E7</v>
      </c>
      <c r="N286" s="44" t="s">
        <v>28</v>
      </c>
      <c r="O286" s="45">
        <v>3.584</v>
      </c>
      <c r="P286" s="44">
        <v>7.899823503651E12</v>
      </c>
      <c r="Q286" s="44">
        <v>1.0</v>
      </c>
    </row>
    <row r="287" ht="15.75" customHeight="1">
      <c r="A287" s="35" t="s">
        <v>841</v>
      </c>
      <c r="B287" s="36">
        <v>57.62626000140242</v>
      </c>
      <c r="C287" s="36">
        <f>'Lista de Preço 02_2022'!$B287*0.9*0.9*0.9*0.9*0.9*0.97</f>
        <v>33.00689836</v>
      </c>
      <c r="D287" s="36">
        <f>'Lista de Preço 02_2022'!$C287*1.1712</f>
        <v>38.65767936</v>
      </c>
      <c r="E287" s="37">
        <v>3.25</v>
      </c>
      <c r="F287" s="38">
        <v>0.18</v>
      </c>
      <c r="G287" s="38" t="s">
        <v>22</v>
      </c>
      <c r="H287" s="39" t="s">
        <v>43</v>
      </c>
      <c r="I287" s="40" t="s">
        <v>842</v>
      </c>
      <c r="J287" s="41" t="s">
        <v>45</v>
      </c>
      <c r="K287" s="42" t="s">
        <v>26</v>
      </c>
      <c r="L287" s="43">
        <v>46574.0</v>
      </c>
      <c r="M287" s="44">
        <v>8.708999E7</v>
      </c>
      <c r="N287" s="44" t="s">
        <v>28</v>
      </c>
      <c r="O287" s="45">
        <v>0.318</v>
      </c>
      <c r="P287" s="44">
        <v>7.898233430137E12</v>
      </c>
      <c r="Q287" s="44">
        <v>1.0</v>
      </c>
    </row>
    <row r="288" ht="15.75" customHeight="1">
      <c r="A288" s="35" t="s">
        <v>843</v>
      </c>
      <c r="B288" s="36">
        <v>126.14949645439474</v>
      </c>
      <c r="C288" s="36">
        <f>'Lista de Preço 02_2022'!$B288*0.9*0.9*0.9*0.9*0.9*0.97</f>
        <v>72.25531568</v>
      </c>
      <c r="D288" s="36">
        <f>'Lista de Preço 02_2022'!$C288*1.1627</f>
        <v>84.01125554</v>
      </c>
      <c r="E288" s="37">
        <v>2.6</v>
      </c>
      <c r="F288" s="38">
        <v>0.18</v>
      </c>
      <c r="G288" s="38" t="s">
        <v>37</v>
      </c>
      <c r="H288" s="39" t="s">
        <v>38</v>
      </c>
      <c r="I288" s="40" t="s">
        <v>816</v>
      </c>
      <c r="J288" s="41" t="s">
        <v>40</v>
      </c>
      <c r="K288" s="42" t="s">
        <v>303</v>
      </c>
      <c r="L288" s="43">
        <v>3.092900716E9</v>
      </c>
      <c r="M288" s="42">
        <v>8.70893E7</v>
      </c>
      <c r="N288" s="44" t="s">
        <v>28</v>
      </c>
      <c r="O288" s="45">
        <v>1.105</v>
      </c>
      <c r="P288" s="44">
        <v>7.89823343153E12</v>
      </c>
      <c r="Q288" s="44">
        <v>1.0</v>
      </c>
    </row>
    <row r="289" ht="15.75" customHeight="1">
      <c r="A289" s="35" t="s">
        <v>844</v>
      </c>
      <c r="B289" s="36">
        <v>286.6445158525017</v>
      </c>
      <c r="C289" s="36">
        <f>'Lista de Preço 02_2022'!$B289*0.9*0.9*0.9*0.9*0.9*0.97</f>
        <v>164.1828986</v>
      </c>
      <c r="D289" s="36">
        <f>'Lista de Preço 02_2022'!$C289*1.1712</f>
        <v>192.2910108</v>
      </c>
      <c r="E289" s="37">
        <v>3.25</v>
      </c>
      <c r="F289" s="38">
        <v>0.18</v>
      </c>
      <c r="G289" s="38" t="s">
        <v>22</v>
      </c>
      <c r="H289" s="39" t="s">
        <v>55</v>
      </c>
      <c r="I289" s="40" t="s">
        <v>845</v>
      </c>
      <c r="J289" s="41" t="s">
        <v>57</v>
      </c>
      <c r="K289" s="42" t="s">
        <v>95</v>
      </c>
      <c r="L289" s="43" t="s">
        <v>819</v>
      </c>
      <c r="M289" s="44">
        <v>8.708999E7</v>
      </c>
      <c r="N289" s="44" t="s">
        <v>28</v>
      </c>
      <c r="O289" s="45">
        <v>2.055</v>
      </c>
      <c r="P289" s="44">
        <v>7.899823503668E12</v>
      </c>
      <c r="Q289" s="44">
        <v>1.0</v>
      </c>
    </row>
    <row r="290" ht="15.75" customHeight="1">
      <c r="A290" s="35" t="s">
        <v>846</v>
      </c>
      <c r="B290" s="36">
        <v>401.4034313701699</v>
      </c>
      <c r="C290" s="36">
        <f>'Lista de Preço 02_2022'!$B290*0.9*0.9*0.9*0.9*0.9*0.97</f>
        <v>229.9139708</v>
      </c>
      <c r="D290" s="36">
        <f>'Lista de Preço 02_2022'!$C290*1.1712</f>
        <v>269.2752426</v>
      </c>
      <c r="E290" s="37">
        <v>3.25</v>
      </c>
      <c r="F290" s="38">
        <v>0.18</v>
      </c>
      <c r="G290" s="38" t="s">
        <v>22</v>
      </c>
      <c r="H290" s="39" t="s">
        <v>55</v>
      </c>
      <c r="I290" s="40" t="s">
        <v>847</v>
      </c>
      <c r="J290" s="41" t="s">
        <v>768</v>
      </c>
      <c r="K290" s="42" t="s">
        <v>153</v>
      </c>
      <c r="L290" s="43" t="s">
        <v>848</v>
      </c>
      <c r="M290" s="44">
        <v>8.708999E7</v>
      </c>
      <c r="N290" s="44" t="s">
        <v>28</v>
      </c>
      <c r="O290" s="45">
        <v>2.6</v>
      </c>
      <c r="P290" s="44">
        <v>7.899823503675E12</v>
      </c>
      <c r="Q290" s="44">
        <v>1.0</v>
      </c>
    </row>
    <row r="291" ht="15.75" customHeight="1">
      <c r="A291" s="35" t="s">
        <v>849</v>
      </c>
      <c r="B291" s="36">
        <v>271.8228297273724</v>
      </c>
      <c r="C291" s="36">
        <f>'Lista de Preço 02_2022'!$B291*0.9*0.9*0.9*0.9*0.9*0.97</f>
        <v>155.6934028</v>
      </c>
      <c r="D291" s="36">
        <f>'Lista de Preço 02_2022'!$C291*1.1712</f>
        <v>182.3481134</v>
      </c>
      <c r="E291" s="37">
        <v>3.25</v>
      </c>
      <c r="F291" s="38">
        <v>0.18</v>
      </c>
      <c r="G291" s="38" t="s">
        <v>22</v>
      </c>
      <c r="H291" s="39" t="s">
        <v>55</v>
      </c>
      <c r="I291" s="40" t="s">
        <v>847</v>
      </c>
      <c r="J291" s="41" t="s">
        <v>768</v>
      </c>
      <c r="K291" s="42" t="s">
        <v>153</v>
      </c>
      <c r="L291" s="43" t="s">
        <v>848</v>
      </c>
      <c r="M291" s="44">
        <v>8.708999E7</v>
      </c>
      <c r="N291" s="44" t="s">
        <v>28</v>
      </c>
      <c r="O291" s="45">
        <v>1.62</v>
      </c>
      <c r="P291" s="44">
        <v>7.899823503682E12</v>
      </c>
      <c r="Q291" s="44">
        <v>1.0</v>
      </c>
    </row>
    <row r="292" ht="15.75" customHeight="1">
      <c r="A292" s="35" t="s">
        <v>850</v>
      </c>
      <c r="B292" s="36">
        <v>254.68022841055605</v>
      </c>
      <c r="C292" s="36">
        <f>'Lista de Preço 02_2022'!$B292*0.9*0.9*0.9*0.9*0.9*0.97</f>
        <v>145.8745442</v>
      </c>
      <c r="D292" s="36">
        <f>'Lista de Preço 02_2022'!$C292*1.1712</f>
        <v>170.8482662</v>
      </c>
      <c r="E292" s="37">
        <v>3.25</v>
      </c>
      <c r="F292" s="38">
        <v>0.18</v>
      </c>
      <c r="G292" s="38" t="s">
        <v>22</v>
      </c>
      <c r="H292" s="39" t="s">
        <v>55</v>
      </c>
      <c r="I292" s="40" t="s">
        <v>851</v>
      </c>
      <c r="J292" s="41" t="s">
        <v>57</v>
      </c>
      <c r="K292" s="42" t="s">
        <v>507</v>
      </c>
      <c r="L292" s="43" t="s">
        <v>852</v>
      </c>
      <c r="M292" s="44">
        <v>8.708999E7</v>
      </c>
      <c r="N292" s="44" t="s">
        <v>28</v>
      </c>
      <c r="O292" s="45">
        <v>1.42</v>
      </c>
      <c r="P292" s="44">
        <v>7.899823503699E12</v>
      </c>
      <c r="Q292" s="44">
        <v>1.0</v>
      </c>
    </row>
    <row r="293" ht="15.75" customHeight="1">
      <c r="A293" s="35" t="s">
        <v>853</v>
      </c>
      <c r="B293" s="36">
        <v>268.19209111067397</v>
      </c>
      <c r="C293" s="36">
        <f>'Lista de Preço 02_2022'!$B293*0.9*0.9*0.9*0.9*0.9*0.97</f>
        <v>153.6138054</v>
      </c>
      <c r="D293" s="36">
        <f>'Lista de Preço 02_2022'!$C293*1.1712</f>
        <v>179.9124889</v>
      </c>
      <c r="E293" s="37">
        <v>3.25</v>
      </c>
      <c r="F293" s="38">
        <v>0.18</v>
      </c>
      <c r="G293" s="38" t="s">
        <v>22</v>
      </c>
      <c r="H293" s="39" t="s">
        <v>55</v>
      </c>
      <c r="I293" s="40" t="s">
        <v>854</v>
      </c>
      <c r="J293" s="41" t="s">
        <v>768</v>
      </c>
      <c r="K293" s="42" t="s">
        <v>507</v>
      </c>
      <c r="L293" s="43" t="s">
        <v>855</v>
      </c>
      <c r="M293" s="44">
        <v>8.708999E7</v>
      </c>
      <c r="N293" s="44" t="s">
        <v>28</v>
      </c>
      <c r="O293" s="45">
        <v>1.756</v>
      </c>
      <c r="P293" s="44">
        <v>7.899823503705E12</v>
      </c>
      <c r="Q293" s="44">
        <v>1.0</v>
      </c>
    </row>
    <row r="294" ht="15.75" customHeight="1">
      <c r="A294" s="35" t="s">
        <v>856</v>
      </c>
      <c r="B294" s="36">
        <v>268.19209111067397</v>
      </c>
      <c r="C294" s="36">
        <f>'Lista de Preço 02_2022'!$B294*0.9*0.9*0.9*0.9*0.9*0.97</f>
        <v>153.6138054</v>
      </c>
      <c r="D294" s="36">
        <f>'Lista de Preço 02_2022'!$C294*1.1712</f>
        <v>179.9124889</v>
      </c>
      <c r="E294" s="37">
        <v>3.25</v>
      </c>
      <c r="F294" s="38">
        <v>0.18</v>
      </c>
      <c r="G294" s="38" t="s">
        <v>22</v>
      </c>
      <c r="H294" s="39" t="s">
        <v>55</v>
      </c>
      <c r="I294" s="40" t="s">
        <v>857</v>
      </c>
      <c r="J294" s="41" t="s">
        <v>57</v>
      </c>
      <c r="K294" s="42" t="s">
        <v>507</v>
      </c>
      <c r="L294" s="43" t="s">
        <v>855</v>
      </c>
      <c r="M294" s="44">
        <v>8.708999E7</v>
      </c>
      <c r="N294" s="44" t="s">
        <v>28</v>
      </c>
      <c r="O294" s="45">
        <v>1.612</v>
      </c>
      <c r="P294" s="44">
        <v>7.899823503712E12</v>
      </c>
      <c r="Q294" s="44">
        <v>1.0</v>
      </c>
    </row>
    <row r="295" ht="15.75" customHeight="1">
      <c r="A295" s="35" t="s">
        <v>858</v>
      </c>
      <c r="B295" s="36">
        <v>207.57254382681154</v>
      </c>
      <c r="C295" s="36">
        <f>'Lista de Preço 02_2022'!$B295*0.9*0.9*0.9*0.9*0.9*0.97</f>
        <v>118.8924261</v>
      </c>
      <c r="D295" s="36">
        <f>'Lista de Preço 02_2022'!$C295*1.1712</f>
        <v>139.2468094</v>
      </c>
      <c r="E295" s="37">
        <v>3.25</v>
      </c>
      <c r="F295" s="38">
        <v>0.18</v>
      </c>
      <c r="G295" s="38" t="s">
        <v>22</v>
      </c>
      <c r="H295" s="39" t="s">
        <v>55</v>
      </c>
      <c r="I295" s="40" t="s">
        <v>859</v>
      </c>
      <c r="J295" s="41" t="s">
        <v>57</v>
      </c>
      <c r="K295" s="42" t="s">
        <v>507</v>
      </c>
      <c r="L295" s="43" t="s">
        <v>860</v>
      </c>
      <c r="M295" s="44">
        <v>8.708999E7</v>
      </c>
      <c r="N295" s="44" t="s">
        <v>28</v>
      </c>
      <c r="O295" s="45">
        <v>1.236</v>
      </c>
      <c r="P295" s="44">
        <v>7.899823503729E12</v>
      </c>
      <c r="Q295" s="44">
        <v>1.0</v>
      </c>
    </row>
    <row r="296" ht="15.75" customHeight="1">
      <c r="A296" s="35" t="s">
        <v>861</v>
      </c>
      <c r="B296" s="36">
        <v>319.2522253277863</v>
      </c>
      <c r="C296" s="36">
        <f>'Lista de Preço 02_2022'!$B296*0.9*0.9*0.9*0.9*0.9*0.97</f>
        <v>182.8597891</v>
      </c>
      <c r="D296" s="36">
        <f>'Lista de Preço 02_2022'!$C296*1.1712</f>
        <v>214.165385</v>
      </c>
      <c r="E296" s="37">
        <v>3.25</v>
      </c>
      <c r="F296" s="38">
        <v>0.18</v>
      </c>
      <c r="G296" s="38" t="s">
        <v>22</v>
      </c>
      <c r="H296" s="39" t="s">
        <v>55</v>
      </c>
      <c r="I296" s="40" t="s">
        <v>862</v>
      </c>
      <c r="J296" s="41" t="s">
        <v>57</v>
      </c>
      <c r="K296" s="42" t="s">
        <v>68</v>
      </c>
      <c r="L296" s="43" t="s">
        <v>863</v>
      </c>
      <c r="M296" s="44">
        <v>8.708999E7</v>
      </c>
      <c r="N296" s="44" t="s">
        <v>28</v>
      </c>
      <c r="O296" s="45">
        <v>2.32</v>
      </c>
      <c r="P296" s="44">
        <v>7.899823503736E12</v>
      </c>
      <c r="Q296" s="44">
        <v>1.0</v>
      </c>
    </row>
    <row r="297" ht="15.75" customHeight="1">
      <c r="A297" s="35" t="s">
        <v>864</v>
      </c>
      <c r="B297" s="36">
        <v>306.40676401934087</v>
      </c>
      <c r="C297" s="36">
        <f>'Lista de Preço 02_2022'!$B297*0.9*0.9*0.9*0.9*0.9*0.97</f>
        <v>175.5022262</v>
      </c>
      <c r="D297" s="36">
        <f>'Lista de Preço 02_2022'!$C297*1.1712</f>
        <v>205.5482073</v>
      </c>
      <c r="E297" s="37">
        <v>3.25</v>
      </c>
      <c r="F297" s="38">
        <v>0.18</v>
      </c>
      <c r="G297" s="38" t="s">
        <v>22</v>
      </c>
      <c r="H297" s="39" t="s">
        <v>55</v>
      </c>
      <c r="I297" s="40" t="s">
        <v>865</v>
      </c>
      <c r="J297" s="41" t="s">
        <v>57</v>
      </c>
      <c r="K297" s="42" t="s">
        <v>68</v>
      </c>
      <c r="L297" s="43" t="s">
        <v>863</v>
      </c>
      <c r="M297" s="44">
        <v>8.708999E7</v>
      </c>
      <c r="N297" s="44" t="s">
        <v>28</v>
      </c>
      <c r="O297" s="45">
        <v>2.22</v>
      </c>
      <c r="P297" s="44">
        <v>7.899823503743E12</v>
      </c>
      <c r="Q297" s="44">
        <v>1.0</v>
      </c>
    </row>
    <row r="298" ht="15.75" customHeight="1">
      <c r="A298" s="35" t="s">
        <v>866</v>
      </c>
      <c r="B298" s="36">
        <v>296.5256399359212</v>
      </c>
      <c r="C298" s="36">
        <f>'Lista de Preço 02_2022'!$B298*0.9*0.9*0.9*0.9*0.9*0.97</f>
        <v>169.8425624</v>
      </c>
      <c r="D298" s="36">
        <f>'Lista de Preço 02_2022'!$C298*1.1712</f>
        <v>198.9196091</v>
      </c>
      <c r="E298" s="37">
        <v>3.25</v>
      </c>
      <c r="F298" s="38">
        <v>0.18</v>
      </c>
      <c r="G298" s="38" t="s">
        <v>22</v>
      </c>
      <c r="H298" s="39" t="s">
        <v>55</v>
      </c>
      <c r="I298" s="40" t="s">
        <v>867</v>
      </c>
      <c r="J298" s="41" t="s">
        <v>768</v>
      </c>
      <c r="K298" s="42" t="s">
        <v>507</v>
      </c>
      <c r="L298" s="43" t="s">
        <v>855</v>
      </c>
      <c r="M298" s="44">
        <v>8.708999E7</v>
      </c>
      <c r="N298" s="44" t="s">
        <v>28</v>
      </c>
      <c r="O298" s="45">
        <v>2.235</v>
      </c>
      <c r="P298" s="44">
        <v>7.89982350375E12</v>
      </c>
      <c r="Q298" s="44">
        <v>1.0</v>
      </c>
    </row>
    <row r="299" ht="15.75" customHeight="1">
      <c r="A299" s="35" t="s">
        <v>868</v>
      </c>
      <c r="B299" s="36">
        <v>46.01589586575081</v>
      </c>
      <c r="C299" s="36">
        <f>'Lista de Preço 02_2022'!$B299*0.9*0.9*0.9*0.9*0.9*0.97</f>
        <v>26.35676856</v>
      </c>
      <c r="D299" s="36">
        <f>'Lista de Preço 02_2022'!$C299*1.065</f>
        <v>28.06995852</v>
      </c>
      <c r="E299" s="37">
        <v>6.5</v>
      </c>
      <c r="F299" s="38">
        <v>0.18</v>
      </c>
      <c r="G299" s="38" t="s">
        <v>37</v>
      </c>
      <c r="H299" s="39" t="s">
        <v>559</v>
      </c>
      <c r="I299" s="40" t="s">
        <v>765</v>
      </c>
      <c r="J299" s="41" t="s">
        <v>40</v>
      </c>
      <c r="K299" s="42" t="s">
        <v>303</v>
      </c>
      <c r="L299" s="43">
        <v>3.219901801E9</v>
      </c>
      <c r="M299" s="42">
        <v>7.31815E7</v>
      </c>
      <c r="N299" s="44" t="s">
        <v>28</v>
      </c>
      <c r="O299" s="45">
        <v>0.6</v>
      </c>
      <c r="P299" s="44">
        <v>7.898233431547E12</v>
      </c>
      <c r="Q299" s="44">
        <v>1.0</v>
      </c>
    </row>
    <row r="300" ht="15.75" customHeight="1">
      <c r="A300" s="35" t="s">
        <v>869</v>
      </c>
      <c r="B300" s="36">
        <v>273.45436416905324</v>
      </c>
      <c r="C300" s="36">
        <f>'Lista de Preço 02_2022'!$B300*0.9*0.9*0.9*0.9*0.9*0.97</f>
        <v>156.6279055</v>
      </c>
      <c r="D300" s="36">
        <f>'Lista de Preço 02_2022'!$C300*1.1712</f>
        <v>183.4426029</v>
      </c>
      <c r="E300" s="37">
        <v>3.25</v>
      </c>
      <c r="F300" s="38">
        <v>0.18</v>
      </c>
      <c r="G300" s="38" t="s">
        <v>22</v>
      </c>
      <c r="H300" s="39" t="s">
        <v>55</v>
      </c>
      <c r="I300" s="40" t="s">
        <v>870</v>
      </c>
      <c r="J300" s="41" t="s">
        <v>768</v>
      </c>
      <c r="K300" s="42" t="s">
        <v>507</v>
      </c>
      <c r="L300" s="43" t="s">
        <v>855</v>
      </c>
      <c r="M300" s="44">
        <v>8.708999E7</v>
      </c>
      <c r="N300" s="44" t="s">
        <v>28</v>
      </c>
      <c r="O300" s="45">
        <v>2.168</v>
      </c>
      <c r="P300" s="44">
        <v>7.899823503767E12</v>
      </c>
      <c r="Q300" s="44">
        <v>1.0</v>
      </c>
    </row>
    <row r="301" ht="15.75" customHeight="1">
      <c r="A301" s="35" t="s">
        <v>871</v>
      </c>
      <c r="B301" s="36">
        <v>257.0468</v>
      </c>
      <c r="C301" s="36">
        <f>'Lista de Preço 02_2022'!$B301*0.9*0.9*0.9*0.9*0.9*0.97</f>
        <v>147.230058</v>
      </c>
      <c r="D301" s="36">
        <f>'Lista de Preço 02_2022'!$C301*1.1712</f>
        <v>172.4358439</v>
      </c>
      <c r="E301" s="37">
        <v>3.25</v>
      </c>
      <c r="F301" s="38">
        <v>0.18</v>
      </c>
      <c r="G301" s="38" t="s">
        <v>22</v>
      </c>
      <c r="H301" s="39" t="s">
        <v>55</v>
      </c>
      <c r="I301" s="40" t="s">
        <v>872</v>
      </c>
      <c r="J301" s="41" t="s">
        <v>57</v>
      </c>
      <c r="K301" s="42" t="s">
        <v>625</v>
      </c>
      <c r="L301" s="43" t="s">
        <v>873</v>
      </c>
      <c r="M301" s="44">
        <v>8.708999E7</v>
      </c>
      <c r="N301" s="44" t="s">
        <v>28</v>
      </c>
      <c r="O301" s="45">
        <v>1.385</v>
      </c>
      <c r="P301" s="44">
        <v>7.899823503774E12</v>
      </c>
      <c r="Q301" s="44">
        <v>1.0</v>
      </c>
    </row>
    <row r="302" ht="15.75" customHeight="1">
      <c r="A302" s="35" t="s">
        <v>874</v>
      </c>
      <c r="B302" s="36">
        <v>253.6921160022141</v>
      </c>
      <c r="C302" s="36">
        <f>'Lista de Preço 02_2022'!$B302*0.9*0.9*0.9*0.9*0.9*0.97</f>
        <v>145.3085779</v>
      </c>
      <c r="D302" s="36">
        <f>'Lista de Preço 02_2022'!$C302*1.1712</f>
        <v>170.1854064</v>
      </c>
      <c r="E302" s="37">
        <v>3.25</v>
      </c>
      <c r="F302" s="38">
        <v>0.18</v>
      </c>
      <c r="G302" s="38" t="s">
        <v>22</v>
      </c>
      <c r="H302" s="39" t="s">
        <v>55</v>
      </c>
      <c r="I302" s="40" t="s">
        <v>875</v>
      </c>
      <c r="J302" s="41" t="s">
        <v>57</v>
      </c>
      <c r="K302" s="42" t="s">
        <v>625</v>
      </c>
      <c r="L302" s="43" t="s">
        <v>873</v>
      </c>
      <c r="M302" s="44">
        <v>8.708999E7</v>
      </c>
      <c r="N302" s="44" t="s">
        <v>28</v>
      </c>
      <c r="O302" s="45">
        <v>1.605</v>
      </c>
      <c r="P302" s="44">
        <v>7.899823503781E12</v>
      </c>
      <c r="Q302" s="44">
        <v>1.0</v>
      </c>
    </row>
    <row r="303" ht="15.75" customHeight="1">
      <c r="A303" s="35" t="s">
        <v>876</v>
      </c>
      <c r="B303" s="36">
        <v>294.6006</v>
      </c>
      <c r="C303" s="36">
        <f>'Lista de Preço 02_2022'!$B303*0.9*0.9*0.9*0.9*0.9*0.97</f>
        <v>168.739947</v>
      </c>
      <c r="D303" s="36">
        <f>'Lista de Preço 02_2022'!$C303*1.1712</f>
        <v>197.628226</v>
      </c>
      <c r="E303" s="37">
        <v>3.25</v>
      </c>
      <c r="F303" s="38">
        <v>0.18</v>
      </c>
      <c r="G303" s="38" t="s">
        <v>22</v>
      </c>
      <c r="H303" s="39" t="s">
        <v>55</v>
      </c>
      <c r="I303" s="40" t="s">
        <v>877</v>
      </c>
      <c r="J303" s="41" t="s">
        <v>57</v>
      </c>
      <c r="K303" s="42" t="s">
        <v>507</v>
      </c>
      <c r="L303" s="43" t="s">
        <v>878</v>
      </c>
      <c r="M303" s="44">
        <v>8.708999E7</v>
      </c>
      <c r="N303" s="44" t="s">
        <v>28</v>
      </c>
      <c r="O303" s="45">
        <v>2.33</v>
      </c>
      <c r="P303" s="44">
        <v>7.899823504528E12</v>
      </c>
      <c r="Q303" s="44">
        <v>1.0</v>
      </c>
    </row>
    <row r="304" ht="15.75" customHeight="1">
      <c r="A304" s="35" t="s">
        <v>879</v>
      </c>
      <c r="B304" s="36">
        <v>283.8268</v>
      </c>
      <c r="C304" s="36">
        <f>'Lista de Preço 02_2022'!$B304*0.9*0.9*0.9*0.9*0.9*0.97</f>
        <v>162.5689805</v>
      </c>
      <c r="D304" s="36">
        <f>'Lista de Preço 02_2022'!$C304*1.1712</f>
        <v>190.40079</v>
      </c>
      <c r="E304" s="37">
        <v>3.25</v>
      </c>
      <c r="F304" s="38">
        <v>0.18</v>
      </c>
      <c r="G304" s="38" t="s">
        <v>22</v>
      </c>
      <c r="H304" s="39" t="s">
        <v>55</v>
      </c>
      <c r="I304" s="40" t="s">
        <v>880</v>
      </c>
      <c r="J304" s="41" t="s">
        <v>57</v>
      </c>
      <c r="K304" s="42" t="s">
        <v>507</v>
      </c>
      <c r="L304" s="43" t="s">
        <v>878</v>
      </c>
      <c r="M304" s="44">
        <v>8.708999E7</v>
      </c>
      <c r="N304" s="44" t="s">
        <v>28</v>
      </c>
      <c r="O304" s="45">
        <v>2.42</v>
      </c>
      <c r="P304" s="44">
        <v>7.899823504535E12</v>
      </c>
      <c r="Q304" s="44">
        <v>1.0</v>
      </c>
    </row>
    <row r="305" ht="15.75" customHeight="1">
      <c r="A305" s="35" t="s">
        <v>881</v>
      </c>
      <c r="B305" s="36">
        <v>289.35790000000003</v>
      </c>
      <c r="C305" s="36">
        <f>'Lista de Preço 02_2022'!$B305*0.9*0.9*0.9*0.9*0.9*0.97</f>
        <v>165.737058</v>
      </c>
      <c r="D305" s="36">
        <f>'Lista de Preço 02_2022'!$C305*1.1712</f>
        <v>194.1112423</v>
      </c>
      <c r="E305" s="37">
        <v>3.25</v>
      </c>
      <c r="F305" s="38">
        <v>0.18</v>
      </c>
      <c r="G305" s="38" t="s">
        <v>22</v>
      </c>
      <c r="H305" s="39" t="s">
        <v>55</v>
      </c>
      <c r="I305" s="40" t="s">
        <v>882</v>
      </c>
      <c r="J305" s="41" t="s">
        <v>57</v>
      </c>
      <c r="K305" s="42" t="s">
        <v>68</v>
      </c>
      <c r="L305" s="43" t="s">
        <v>863</v>
      </c>
      <c r="M305" s="44">
        <v>8.708999E7</v>
      </c>
      <c r="N305" s="44" t="s">
        <v>28</v>
      </c>
      <c r="O305" s="45">
        <v>1.61</v>
      </c>
      <c r="P305" s="44">
        <v>7.899823504542E12</v>
      </c>
      <c r="Q305" s="44">
        <v>1.0</v>
      </c>
    </row>
    <row r="306" ht="15.75" customHeight="1">
      <c r="A306" s="35" t="s">
        <v>883</v>
      </c>
      <c r="B306" s="36">
        <v>567.655285595</v>
      </c>
      <c r="C306" s="36">
        <f>'Lista de Preço 02_2022'!$B306*0.9*0.9*0.9*0.9*0.9*0.97</f>
        <v>325.1389265</v>
      </c>
      <c r="D306" s="36">
        <f>'Lista de Preço 02_2022'!$C306*1.1712</f>
        <v>380.8027107</v>
      </c>
      <c r="E306" s="37">
        <v>3.25</v>
      </c>
      <c r="F306" s="38">
        <v>0.18</v>
      </c>
      <c r="G306" s="38" t="s">
        <v>22</v>
      </c>
      <c r="H306" s="39" t="s">
        <v>55</v>
      </c>
      <c r="I306" s="40" t="s">
        <v>884</v>
      </c>
      <c r="J306" s="41" t="s">
        <v>581</v>
      </c>
      <c r="K306" s="42" t="s">
        <v>153</v>
      </c>
      <c r="L306" s="43" t="s">
        <v>885</v>
      </c>
      <c r="M306" s="44">
        <v>8.708999E7</v>
      </c>
      <c r="N306" s="44" t="s">
        <v>28</v>
      </c>
      <c r="O306" s="45">
        <v>0.698</v>
      </c>
      <c r="P306" s="44">
        <v>7.899823505679E12</v>
      </c>
      <c r="Q306" s="44">
        <v>1.0</v>
      </c>
    </row>
    <row r="307" ht="15.75" customHeight="1">
      <c r="A307" s="35" t="s">
        <v>886</v>
      </c>
      <c r="B307" s="36">
        <v>469.1465797374279</v>
      </c>
      <c r="C307" s="36">
        <f>'Lista de Preço 02_2022'!$B307*0.9*0.9*0.9*0.9*0.9*0.97</f>
        <v>268.715573</v>
      </c>
      <c r="D307" s="36">
        <f>'Lista de Preço 02_2022'!$C307*1.1712</f>
        <v>314.719679</v>
      </c>
      <c r="E307" s="37">
        <v>3.25</v>
      </c>
      <c r="F307" s="38">
        <v>0.18</v>
      </c>
      <c r="G307" s="38" t="s">
        <v>22</v>
      </c>
      <c r="H307" s="39" t="s">
        <v>55</v>
      </c>
      <c r="I307" s="40" t="s">
        <v>887</v>
      </c>
      <c r="J307" s="41" t="s">
        <v>57</v>
      </c>
      <c r="K307" s="42" t="s">
        <v>95</v>
      </c>
      <c r="L307" s="43" t="s">
        <v>888</v>
      </c>
      <c r="M307" s="44">
        <v>8.708999E7</v>
      </c>
      <c r="N307" s="44" t="s">
        <v>28</v>
      </c>
      <c r="O307" s="45">
        <v>0.764</v>
      </c>
      <c r="P307" s="44">
        <v>7.899823505686E12</v>
      </c>
      <c r="Q307" s="44">
        <v>1.0</v>
      </c>
    </row>
    <row r="308" ht="15.75" customHeight="1">
      <c r="A308" s="35" t="s">
        <v>889</v>
      </c>
      <c r="B308" s="36">
        <v>469.1465797374279</v>
      </c>
      <c r="C308" s="36">
        <f>'Lista de Preço 02_2022'!$B308*0.9*0.9*0.9*0.9*0.9*0.97</f>
        <v>268.715573</v>
      </c>
      <c r="D308" s="36">
        <f>'Lista de Preço 02_2022'!$C308*1.1712</f>
        <v>314.719679</v>
      </c>
      <c r="E308" s="37">
        <v>3.25</v>
      </c>
      <c r="F308" s="38">
        <v>0.18</v>
      </c>
      <c r="G308" s="38" t="s">
        <v>22</v>
      </c>
      <c r="H308" s="39" t="s">
        <v>55</v>
      </c>
      <c r="I308" s="40" t="s">
        <v>890</v>
      </c>
      <c r="J308" s="41" t="s">
        <v>57</v>
      </c>
      <c r="K308" s="42" t="s">
        <v>95</v>
      </c>
      <c r="L308" s="43" t="s">
        <v>891</v>
      </c>
      <c r="M308" s="44">
        <v>8.708999E7</v>
      </c>
      <c r="N308" s="44" t="s">
        <v>28</v>
      </c>
      <c r="O308" s="45">
        <v>0.698</v>
      </c>
      <c r="P308" s="44">
        <v>7.899823505693E12</v>
      </c>
      <c r="Q308" s="44">
        <v>1.0</v>
      </c>
    </row>
    <row r="309" ht="15.75" customHeight="1">
      <c r="A309" s="35" t="s">
        <v>892</v>
      </c>
      <c r="B309" s="36">
        <v>247.0970401604899</v>
      </c>
      <c r="C309" s="36">
        <f>'Lista de Preço 02_2022'!$B309*0.9*0.9*0.9*0.9*0.9*0.97</f>
        <v>141.5310813</v>
      </c>
      <c r="D309" s="36">
        <f>'Lista de Preço 02_2022'!$C309*1.1712</f>
        <v>165.7612024</v>
      </c>
      <c r="E309" s="37">
        <v>3.25</v>
      </c>
      <c r="F309" s="38">
        <v>0.18</v>
      </c>
      <c r="G309" s="38" t="s">
        <v>22</v>
      </c>
      <c r="H309" s="39" t="s">
        <v>55</v>
      </c>
      <c r="I309" s="40" t="s">
        <v>631</v>
      </c>
      <c r="J309" s="41" t="s">
        <v>57</v>
      </c>
      <c r="K309" s="42" t="s">
        <v>625</v>
      </c>
      <c r="L309" s="43" t="s">
        <v>873</v>
      </c>
      <c r="M309" s="44">
        <v>8.708999E7</v>
      </c>
      <c r="N309" s="44" t="s">
        <v>28</v>
      </c>
      <c r="O309" s="45">
        <v>1.68</v>
      </c>
      <c r="P309" s="44">
        <v>7.899823502715E12</v>
      </c>
      <c r="Q309" s="44">
        <v>1.0</v>
      </c>
    </row>
    <row r="310" ht="15.75" customHeight="1">
      <c r="A310" s="35" t="s">
        <v>893</v>
      </c>
      <c r="B310" s="36">
        <v>157.68687056799342</v>
      </c>
      <c r="C310" s="36">
        <f>'Lista de Preço 02_2022'!$B310*0.9*0.9*0.9*0.9*0.9*0.97</f>
        <v>90.3191446</v>
      </c>
      <c r="D310" s="36">
        <f>'Lista de Preço 02_2022'!$C310*1.1627</f>
        <v>105.0140694</v>
      </c>
      <c r="E310" s="37">
        <v>2.6</v>
      </c>
      <c r="F310" s="38">
        <v>0.18</v>
      </c>
      <c r="G310" s="38" t="s">
        <v>37</v>
      </c>
      <c r="H310" s="39" t="s">
        <v>38</v>
      </c>
      <c r="I310" s="40" t="s">
        <v>894</v>
      </c>
      <c r="J310" s="41" t="s">
        <v>40</v>
      </c>
      <c r="K310" s="42" t="s">
        <v>303</v>
      </c>
      <c r="L310" s="43">
        <v>3.522900318E9</v>
      </c>
      <c r="M310" s="42">
        <v>8.70893E7</v>
      </c>
      <c r="N310" s="44" t="s">
        <v>28</v>
      </c>
      <c r="O310" s="45">
        <v>1.95</v>
      </c>
      <c r="P310" s="44">
        <v>7.898233431554E12</v>
      </c>
      <c r="Q310" s="44">
        <v>1.0</v>
      </c>
    </row>
    <row r="311" ht="15.75" customHeight="1">
      <c r="A311" s="35" t="s">
        <v>895</v>
      </c>
      <c r="B311" s="36">
        <v>281.7039538107919</v>
      </c>
      <c r="C311" s="36">
        <f>'Lista de Preço 02_2022'!$B311*0.9*0.9*0.9*0.9*0.9*0.97</f>
        <v>161.3530667</v>
      </c>
      <c r="D311" s="36">
        <f>'Lista de Preço 02_2022'!$C311*1.1712</f>
        <v>188.9767117</v>
      </c>
      <c r="E311" s="37">
        <v>3.25</v>
      </c>
      <c r="F311" s="38">
        <v>0.18</v>
      </c>
      <c r="G311" s="38" t="s">
        <v>22</v>
      </c>
      <c r="H311" s="39" t="s">
        <v>55</v>
      </c>
      <c r="I311" s="40" t="s">
        <v>896</v>
      </c>
      <c r="J311" s="41" t="s">
        <v>57</v>
      </c>
      <c r="K311" s="42" t="s">
        <v>456</v>
      </c>
      <c r="L311" s="43" t="s">
        <v>897</v>
      </c>
      <c r="M311" s="44">
        <v>8.708999E7</v>
      </c>
      <c r="N311" s="44" t="s">
        <v>28</v>
      </c>
      <c r="O311" s="45">
        <v>1.76</v>
      </c>
      <c r="P311" s="44">
        <v>7.899823502722E12</v>
      </c>
      <c r="Q311" s="44">
        <v>1.0</v>
      </c>
    </row>
    <row r="312" ht="15.75" customHeight="1">
      <c r="A312" s="35" t="s">
        <v>898</v>
      </c>
      <c r="B312" s="36">
        <v>247.0970401604899</v>
      </c>
      <c r="C312" s="36">
        <f>'Lista de Preço 02_2022'!$B312*0.9*0.9*0.9*0.9*0.9*0.97</f>
        <v>141.5310813</v>
      </c>
      <c r="D312" s="36">
        <f>'Lista de Preço 02_2022'!$C312*1.1712</f>
        <v>165.7612024</v>
      </c>
      <c r="E312" s="37">
        <v>3.25</v>
      </c>
      <c r="F312" s="38">
        <v>0.18</v>
      </c>
      <c r="G312" s="38" t="s">
        <v>22</v>
      </c>
      <c r="H312" s="39" t="s">
        <v>55</v>
      </c>
      <c r="I312" s="40" t="s">
        <v>899</v>
      </c>
      <c r="J312" s="41" t="s">
        <v>57</v>
      </c>
      <c r="K312" s="42" t="s">
        <v>157</v>
      </c>
      <c r="L312" s="43" t="s">
        <v>900</v>
      </c>
      <c r="M312" s="44">
        <v>8.708999E7</v>
      </c>
      <c r="N312" s="44" t="s">
        <v>28</v>
      </c>
      <c r="O312" s="45">
        <v>1.475</v>
      </c>
      <c r="P312" s="44">
        <v>7.899823502739E12</v>
      </c>
      <c r="Q312" s="44">
        <v>1.0</v>
      </c>
    </row>
    <row r="313" ht="15.75" customHeight="1">
      <c r="A313" s="35" t="s">
        <v>901</v>
      </c>
      <c r="B313" s="36">
        <v>447.234124495315</v>
      </c>
      <c r="C313" s="36">
        <f>'Lista de Preço 02_2022'!$B313*0.9*0.9*0.9*0.9*0.9*0.97</f>
        <v>256.1646598</v>
      </c>
      <c r="D313" s="36">
        <f>'Lista de Preço 02_2022'!$C313*1.1712</f>
        <v>300.0200496</v>
      </c>
      <c r="E313" s="37">
        <v>3.25</v>
      </c>
      <c r="F313" s="38">
        <v>0.18</v>
      </c>
      <c r="G313" s="38" t="s">
        <v>22</v>
      </c>
      <c r="H313" s="39" t="s">
        <v>55</v>
      </c>
      <c r="I313" s="40" t="s">
        <v>902</v>
      </c>
      <c r="J313" s="41" t="s">
        <v>57</v>
      </c>
      <c r="K313" s="42" t="s">
        <v>26</v>
      </c>
      <c r="L313" s="43" t="s">
        <v>903</v>
      </c>
      <c r="M313" s="44">
        <v>8.708999E7</v>
      </c>
      <c r="N313" s="44" t="s">
        <v>28</v>
      </c>
      <c r="O313" s="45">
        <v>3.78</v>
      </c>
      <c r="P313" s="44">
        <v>7.899823504559E12</v>
      </c>
      <c r="Q313" s="44">
        <v>1.0</v>
      </c>
    </row>
    <row r="314" ht="15.75" customHeight="1">
      <c r="A314" s="35" t="s">
        <v>904</v>
      </c>
      <c r="B314" s="36">
        <v>215.56936052688138</v>
      </c>
      <c r="C314" s="36">
        <f>'Lista de Preço 02_2022'!$B314*0.9*0.9*0.9*0.9*0.9*0.97</f>
        <v>123.4728051</v>
      </c>
      <c r="D314" s="36">
        <f>'Lista de Preço 02_2022'!$C314*1.1712</f>
        <v>144.6113494</v>
      </c>
      <c r="E314" s="37">
        <v>3.25</v>
      </c>
      <c r="F314" s="38">
        <v>0.18</v>
      </c>
      <c r="G314" s="38" t="s">
        <v>22</v>
      </c>
      <c r="H314" s="39" t="s">
        <v>55</v>
      </c>
      <c r="I314" s="40" t="s">
        <v>905</v>
      </c>
      <c r="J314" s="41" t="s">
        <v>57</v>
      </c>
      <c r="K314" s="42" t="s">
        <v>157</v>
      </c>
      <c r="L314" s="43" t="s">
        <v>593</v>
      </c>
      <c r="M314" s="44">
        <v>8.708999E7</v>
      </c>
      <c r="N314" s="44" t="s">
        <v>28</v>
      </c>
      <c r="O314" s="45">
        <v>1.48</v>
      </c>
      <c r="P314" s="44">
        <v>7.899823504986E12</v>
      </c>
      <c r="Q314" s="44">
        <v>1.0</v>
      </c>
    </row>
    <row r="315" ht="15.75" customHeight="1">
      <c r="A315" s="50" t="s">
        <v>906</v>
      </c>
      <c r="B315" s="36">
        <v>544.7615410000001</v>
      </c>
      <c r="C315" s="51">
        <f>'Lista de Preço 02_2022'!$B315*0.9*0.9*0.9*0.9*0.9*0.97</f>
        <v>312.0259551</v>
      </c>
      <c r="D315" s="36">
        <f>'Lista de Preço 02_2022'!$C315*1.1712</f>
        <v>365.4447986</v>
      </c>
      <c r="E315" s="52">
        <v>3.25</v>
      </c>
      <c r="F315" s="53">
        <v>0.18</v>
      </c>
      <c r="G315" s="53" t="s">
        <v>22</v>
      </c>
      <c r="H315" s="54" t="s">
        <v>55</v>
      </c>
      <c r="I315" s="55" t="s">
        <v>907</v>
      </c>
      <c r="J315" s="56" t="s">
        <v>57</v>
      </c>
      <c r="K315" s="57" t="s">
        <v>95</v>
      </c>
      <c r="L315" s="58" t="s">
        <v>903</v>
      </c>
      <c r="M315" s="59">
        <v>8.708999E7</v>
      </c>
      <c r="N315" s="59" t="s">
        <v>28</v>
      </c>
      <c r="O315" s="60">
        <v>4.47</v>
      </c>
      <c r="P315" s="59">
        <v>7.899823511403E12</v>
      </c>
      <c r="Q315" s="59">
        <v>1.0</v>
      </c>
    </row>
    <row r="316" ht="15.75" customHeight="1">
      <c r="A316" s="35" t="s">
        <v>908</v>
      </c>
      <c r="B316" s="36">
        <v>199.9302768866659</v>
      </c>
      <c r="C316" s="36">
        <f>'Lista de Preço 02_2022'!$B316*0.9*0.9*0.9*0.9*0.9*0.97</f>
        <v>114.5151243</v>
      </c>
      <c r="D316" s="36">
        <f>'Lista de Preço 02_2022'!$C316*1.1712</f>
        <v>134.1201136</v>
      </c>
      <c r="E316" s="37">
        <v>3.25</v>
      </c>
      <c r="F316" s="38">
        <v>0.18</v>
      </c>
      <c r="G316" s="38" t="s">
        <v>22</v>
      </c>
      <c r="H316" s="39" t="s">
        <v>55</v>
      </c>
      <c r="I316" s="40" t="s">
        <v>909</v>
      </c>
      <c r="J316" s="41" t="s">
        <v>57</v>
      </c>
      <c r="K316" s="42" t="s">
        <v>157</v>
      </c>
      <c r="L316" s="43" t="s">
        <v>593</v>
      </c>
      <c r="M316" s="44">
        <v>8.708999E7</v>
      </c>
      <c r="N316" s="44" t="s">
        <v>28</v>
      </c>
      <c r="O316" s="45">
        <v>1.576</v>
      </c>
      <c r="P316" s="44">
        <v>7.899823507031E12</v>
      </c>
      <c r="Q316" s="44">
        <v>1.0</v>
      </c>
    </row>
    <row r="317" ht="15.75" customHeight="1">
      <c r="A317" s="35" t="s">
        <v>910</v>
      </c>
      <c r="B317" s="36">
        <v>200.0830393916944</v>
      </c>
      <c r="C317" s="36">
        <f>'Lista de Preço 02_2022'!$B317*0.9*0.9*0.9*0.9*0.9*0.97</f>
        <v>114.6026229</v>
      </c>
      <c r="D317" s="36">
        <f>'Lista de Preço 02_2022'!$C317*1.1712</f>
        <v>134.222592</v>
      </c>
      <c r="E317" s="37">
        <v>3.25</v>
      </c>
      <c r="F317" s="38">
        <v>0.18</v>
      </c>
      <c r="G317" s="38" t="s">
        <v>22</v>
      </c>
      <c r="H317" s="39" t="s">
        <v>23</v>
      </c>
      <c r="I317" s="40" t="s">
        <v>911</v>
      </c>
      <c r="J317" s="41" t="s">
        <v>25</v>
      </c>
      <c r="K317" s="42" t="s">
        <v>157</v>
      </c>
      <c r="L317" s="43" t="s">
        <v>912</v>
      </c>
      <c r="M317" s="42">
        <v>8.708999E7</v>
      </c>
      <c r="N317" s="44" t="s">
        <v>28</v>
      </c>
      <c r="O317" s="45">
        <v>1.91</v>
      </c>
      <c r="P317" s="44">
        <v>7.899823505624E12</v>
      </c>
      <c r="Q317" s="44">
        <v>1.0</v>
      </c>
    </row>
    <row r="318" ht="15.75" customHeight="1">
      <c r="A318" s="35" t="s">
        <v>913</v>
      </c>
      <c r="B318" s="36">
        <v>358.64236068215325</v>
      </c>
      <c r="C318" s="36">
        <f>'Lista de Preço 02_2022'!$B318*0.9*0.9*0.9*0.9*0.9*0.97</f>
        <v>205.4214857</v>
      </c>
      <c r="D318" s="36">
        <f>'Lista de Preço 02_2022'!$C318*1.1627</f>
        <v>238.8435615</v>
      </c>
      <c r="E318" s="37">
        <v>2.6</v>
      </c>
      <c r="F318" s="38">
        <v>0.18</v>
      </c>
      <c r="G318" s="38" t="s">
        <v>22</v>
      </c>
      <c r="H318" s="39" t="s">
        <v>38</v>
      </c>
      <c r="I318" s="40" t="s">
        <v>914</v>
      </c>
      <c r="J318" s="41" t="s">
        <v>556</v>
      </c>
      <c r="K318" s="42" t="s">
        <v>507</v>
      </c>
      <c r="L318" s="43" t="s">
        <v>915</v>
      </c>
      <c r="M318" s="42">
        <v>8.70893E7</v>
      </c>
      <c r="N318" s="44" t="s">
        <v>28</v>
      </c>
      <c r="O318" s="45">
        <v>0.74</v>
      </c>
      <c r="P318" s="44">
        <v>7.899823507161E12</v>
      </c>
      <c r="Q318" s="44">
        <v>1.0</v>
      </c>
    </row>
    <row r="319" ht="15.75" customHeight="1">
      <c r="A319" s="35" t="s">
        <v>916</v>
      </c>
      <c r="B319" s="36">
        <v>115.76143598368527</v>
      </c>
      <c r="C319" s="36">
        <f>'Lista de Preço 02_2022'!$B319*0.9*0.9*0.9*0.9*0.9*0.97</f>
        <v>66.30529122</v>
      </c>
      <c r="D319" s="36">
        <f>'Lista de Preço 02_2022'!$C319*1.1712</f>
        <v>77.65675708</v>
      </c>
      <c r="E319" s="37">
        <v>3.25</v>
      </c>
      <c r="F319" s="38">
        <v>0.18</v>
      </c>
      <c r="G319" s="38" t="s">
        <v>37</v>
      </c>
      <c r="H319" s="39" t="s">
        <v>43</v>
      </c>
      <c r="I319" s="40" t="s">
        <v>917</v>
      </c>
      <c r="J319" s="41" t="s">
        <v>302</v>
      </c>
      <c r="K319" s="42" t="s">
        <v>303</v>
      </c>
      <c r="L319" s="43">
        <v>6.313300336E9</v>
      </c>
      <c r="M319" s="42">
        <v>8.708999E7</v>
      </c>
      <c r="N319" s="44" t="s">
        <v>28</v>
      </c>
      <c r="O319" s="45">
        <v>0.508</v>
      </c>
      <c r="P319" s="44">
        <v>7.898233433824E12</v>
      </c>
      <c r="Q319" s="44">
        <v>1.0</v>
      </c>
    </row>
    <row r="320" ht="15.75" customHeight="1">
      <c r="A320" s="35" t="s">
        <v>918</v>
      </c>
      <c r="B320" s="36">
        <v>13.147398818785947</v>
      </c>
      <c r="C320" s="36">
        <f>'Lista de Preço 02_2022'!$B320*0.9*0.9*0.9*0.9*0.9*0.97</f>
        <v>7.530505303</v>
      </c>
      <c r="D320" s="36">
        <f>'Lista de Preço 02_2022'!$C320*1.065</f>
        <v>8.019988147</v>
      </c>
      <c r="E320" s="37">
        <v>6.5</v>
      </c>
      <c r="F320" s="38">
        <v>0.18</v>
      </c>
      <c r="G320" s="38" t="s">
        <v>37</v>
      </c>
      <c r="H320" s="39" t="s">
        <v>919</v>
      </c>
      <c r="I320" s="40" t="s">
        <v>816</v>
      </c>
      <c r="J320" s="41" t="s">
        <v>40</v>
      </c>
      <c r="K320" s="42" t="s">
        <v>303</v>
      </c>
      <c r="L320" s="43">
        <v>3.104110172E9</v>
      </c>
      <c r="M320" s="42">
        <v>7.31816E7</v>
      </c>
      <c r="N320" s="44" t="s">
        <v>920</v>
      </c>
      <c r="O320" s="45">
        <v>0.126</v>
      </c>
      <c r="P320" s="44">
        <v>7.898233431561E12</v>
      </c>
      <c r="Q320" s="48">
        <v>5.0</v>
      </c>
    </row>
    <row r="321" ht="15.75" customHeight="1">
      <c r="A321" s="35" t="s">
        <v>921</v>
      </c>
      <c r="B321" s="36">
        <v>18.406358346300326</v>
      </c>
      <c r="C321" s="36">
        <f>'Lista de Preço 02_2022'!$B321*0.9*0.9*0.9*0.9*0.9*0.97</f>
        <v>10.54270742</v>
      </c>
      <c r="D321" s="36">
        <f>'Lista de Preço 02_2022'!$C321*1.065</f>
        <v>11.22798341</v>
      </c>
      <c r="E321" s="37">
        <v>6.5</v>
      </c>
      <c r="F321" s="38">
        <v>0.18</v>
      </c>
      <c r="G321" s="38" t="s">
        <v>37</v>
      </c>
      <c r="H321" s="39" t="s">
        <v>919</v>
      </c>
      <c r="I321" s="40" t="s">
        <v>922</v>
      </c>
      <c r="J321" s="41" t="s">
        <v>40</v>
      </c>
      <c r="K321" s="42" t="s">
        <v>303</v>
      </c>
      <c r="L321" s="43">
        <v>3.44990705E9</v>
      </c>
      <c r="M321" s="42">
        <v>7.31816E7</v>
      </c>
      <c r="N321" s="44" t="s">
        <v>920</v>
      </c>
      <c r="O321" s="45">
        <v>0.146</v>
      </c>
      <c r="P321" s="44">
        <v>7.898233431578E12</v>
      </c>
      <c r="Q321" s="48">
        <v>5.0</v>
      </c>
    </row>
    <row r="322" ht="15.75" customHeight="1">
      <c r="A322" s="35" t="s">
        <v>923</v>
      </c>
      <c r="B322" s="36">
        <v>123.71083738724737</v>
      </c>
      <c r="C322" s="36">
        <f>'Lista de Preço 02_2022'!$B322*0.9*0.9*0.9*0.9*0.9*0.97</f>
        <v>70.858512</v>
      </c>
      <c r="D322" s="36">
        <f>'Lista de Preço 02_2022'!$C322*1.1712</f>
        <v>82.98948925</v>
      </c>
      <c r="E322" s="37">
        <v>3.25</v>
      </c>
      <c r="F322" s="38">
        <v>0.18</v>
      </c>
      <c r="G322" s="38" t="s">
        <v>22</v>
      </c>
      <c r="H322" s="39" t="s">
        <v>23</v>
      </c>
      <c r="I322" s="40" t="s">
        <v>924</v>
      </c>
      <c r="J322" s="41" t="s">
        <v>25</v>
      </c>
      <c r="K322" s="42" t="s">
        <v>26</v>
      </c>
      <c r="L322" s="43" t="s">
        <v>925</v>
      </c>
      <c r="M322" s="44">
        <v>8.708999E7</v>
      </c>
      <c r="N322" s="44" t="s">
        <v>28</v>
      </c>
      <c r="O322" s="45">
        <v>1.796</v>
      </c>
      <c r="P322" s="44">
        <v>7.898233432834E12</v>
      </c>
      <c r="Q322" s="44">
        <v>1.0</v>
      </c>
    </row>
    <row r="323" ht="15.75" customHeight="1">
      <c r="A323" s="35" t="s">
        <v>926</v>
      </c>
      <c r="B323" s="36">
        <v>26.07567432392546</v>
      </c>
      <c r="C323" s="36">
        <f>'Lista de Preço 02_2022'!$B323*0.9*0.9*0.9*0.9*0.9*0.97</f>
        <v>14.93550218</v>
      </c>
      <c r="D323" s="36">
        <f>'Lista de Preço 02_2022'!$C323*1.1712</f>
        <v>17.49246016</v>
      </c>
      <c r="E323" s="37">
        <v>3.25</v>
      </c>
      <c r="F323" s="38">
        <v>0.18</v>
      </c>
      <c r="G323" s="38" t="s">
        <v>37</v>
      </c>
      <c r="H323" s="39" t="s">
        <v>559</v>
      </c>
      <c r="I323" s="40" t="s">
        <v>816</v>
      </c>
      <c r="J323" s="41" t="s">
        <v>40</v>
      </c>
      <c r="K323" s="42" t="s">
        <v>303</v>
      </c>
      <c r="L323" s="43">
        <v>3.140701121E9</v>
      </c>
      <c r="M323" s="42">
        <v>8.708999E7</v>
      </c>
      <c r="N323" s="44" t="s">
        <v>28</v>
      </c>
      <c r="O323" s="45">
        <v>0.1</v>
      </c>
      <c r="P323" s="44">
        <v>7.898233431585E12</v>
      </c>
      <c r="Q323" s="44">
        <v>1.0</v>
      </c>
    </row>
    <row r="324" ht="15.75" customHeight="1">
      <c r="A324" s="35" t="s">
        <v>927</v>
      </c>
      <c r="B324" s="36">
        <v>727.0216780862208</v>
      </c>
      <c r="C324" s="36">
        <f>'Lista de Preço 02_2022'!$B324*0.9*0.9*0.9*0.9*0.9*0.97</f>
        <v>416.4200598</v>
      </c>
      <c r="D324" s="36">
        <f>'Lista de Preço 02_2022'!$C324*1.1712</f>
        <v>487.711174</v>
      </c>
      <c r="E324" s="37">
        <v>3.25</v>
      </c>
      <c r="F324" s="38">
        <v>0.18</v>
      </c>
      <c r="G324" s="38" t="s">
        <v>22</v>
      </c>
      <c r="H324" s="39" t="s">
        <v>229</v>
      </c>
      <c r="I324" s="40" t="s">
        <v>928</v>
      </c>
      <c r="J324" s="41" t="s">
        <v>231</v>
      </c>
      <c r="K324" s="42" t="s">
        <v>26</v>
      </c>
      <c r="L324" s="43" t="s">
        <v>929</v>
      </c>
      <c r="M324" s="44">
        <v>8.708999E7</v>
      </c>
      <c r="N324" s="44" t="s">
        <v>28</v>
      </c>
      <c r="O324" s="45">
        <v>7.3</v>
      </c>
      <c r="P324" s="44">
        <v>7.89823343885E12</v>
      </c>
      <c r="Q324" s="44">
        <v>1.0</v>
      </c>
    </row>
    <row r="325" ht="15.75" customHeight="1">
      <c r="A325" s="35" t="s">
        <v>930</v>
      </c>
      <c r="B325" s="36">
        <v>660.6763200217026</v>
      </c>
      <c r="C325" s="36">
        <f>'Lista de Preço 02_2022'!$B325*0.9*0.9*0.9*0.9*0.9*0.97</f>
        <v>378.4190774</v>
      </c>
      <c r="D325" s="36">
        <f>'Lista de Preço 02_2022'!$C325*1.1712</f>
        <v>443.2044235</v>
      </c>
      <c r="E325" s="37">
        <v>3.25</v>
      </c>
      <c r="F325" s="38">
        <v>0.18</v>
      </c>
      <c r="G325" s="38" t="s">
        <v>22</v>
      </c>
      <c r="H325" s="39" t="s">
        <v>229</v>
      </c>
      <c r="I325" s="40" t="s">
        <v>928</v>
      </c>
      <c r="J325" s="41" t="s">
        <v>231</v>
      </c>
      <c r="K325" s="42" t="s">
        <v>26</v>
      </c>
      <c r="L325" s="43" t="s">
        <v>931</v>
      </c>
      <c r="M325" s="44">
        <v>8.708999E7</v>
      </c>
      <c r="N325" s="44" t="s">
        <v>28</v>
      </c>
      <c r="O325" s="45">
        <v>5.04</v>
      </c>
      <c r="P325" s="44">
        <v>7.898233438867E12</v>
      </c>
      <c r="Q325" s="44">
        <v>1.0</v>
      </c>
    </row>
    <row r="326" ht="15.75" customHeight="1">
      <c r="A326" s="35" t="s">
        <v>932</v>
      </c>
      <c r="B326" s="36">
        <v>842.8820396719308</v>
      </c>
      <c r="C326" s="36">
        <f>'Lista de Preço 02_2022'!$B326*0.9*0.9*0.9*0.9*0.9*0.97</f>
        <v>482.7820131</v>
      </c>
      <c r="D326" s="36">
        <f>'Lista de Preço 02_2022'!$C326*1.1712</f>
        <v>565.4342938</v>
      </c>
      <c r="E326" s="37">
        <v>3.25</v>
      </c>
      <c r="F326" s="38">
        <v>0.18</v>
      </c>
      <c r="G326" s="38" t="s">
        <v>22</v>
      </c>
      <c r="H326" s="39" t="s">
        <v>229</v>
      </c>
      <c r="I326" s="40" t="s">
        <v>933</v>
      </c>
      <c r="J326" s="41" t="s">
        <v>231</v>
      </c>
      <c r="K326" s="42" t="s">
        <v>26</v>
      </c>
      <c r="L326" s="43" t="s">
        <v>934</v>
      </c>
      <c r="M326" s="44">
        <v>8.708999E7</v>
      </c>
      <c r="N326" s="44" t="s">
        <v>28</v>
      </c>
      <c r="O326" s="45">
        <v>7.44</v>
      </c>
      <c r="P326" s="44">
        <v>7.898233438874E12</v>
      </c>
      <c r="Q326" s="44">
        <v>1.0</v>
      </c>
    </row>
    <row r="327" ht="15.75" customHeight="1">
      <c r="A327" s="35" t="s">
        <v>935</v>
      </c>
      <c r="B327" s="36">
        <v>861.6692873637128</v>
      </c>
      <c r="C327" s="36">
        <f>'Lista de Preço 02_2022'!$B327*0.9*0.9*0.9*0.9*0.9*0.97</f>
        <v>493.5428846</v>
      </c>
      <c r="D327" s="36">
        <f>'Lista de Preço 02_2022'!$C327*1.1712</f>
        <v>578.0374264</v>
      </c>
      <c r="E327" s="37">
        <v>3.25</v>
      </c>
      <c r="F327" s="38">
        <v>0.18</v>
      </c>
      <c r="G327" s="38" t="s">
        <v>22</v>
      </c>
      <c r="H327" s="39" t="s">
        <v>229</v>
      </c>
      <c r="I327" s="40" t="s">
        <v>933</v>
      </c>
      <c r="J327" s="41" t="s">
        <v>231</v>
      </c>
      <c r="K327" s="42" t="s">
        <v>26</v>
      </c>
      <c r="L327" s="43" t="s">
        <v>936</v>
      </c>
      <c r="M327" s="44">
        <v>8.708999E7</v>
      </c>
      <c r="N327" s="44" t="s">
        <v>28</v>
      </c>
      <c r="O327" s="45">
        <v>7.66</v>
      </c>
      <c r="P327" s="44">
        <v>7.898233438881E12</v>
      </c>
      <c r="Q327" s="44">
        <v>1.0</v>
      </c>
    </row>
    <row r="328" ht="15.75" customHeight="1">
      <c r="A328" s="35" t="s">
        <v>937</v>
      </c>
      <c r="B328" s="36">
        <v>906.6966847067023</v>
      </c>
      <c r="C328" s="36">
        <f>'Lista de Preço 02_2022'!$B328*0.9*0.9*0.9*0.9*0.9*0.97</f>
        <v>519.3334656</v>
      </c>
      <c r="D328" s="36">
        <f>'Lista de Preço 02_2022'!$C328*1.1712</f>
        <v>608.2433549</v>
      </c>
      <c r="E328" s="37">
        <v>3.25</v>
      </c>
      <c r="F328" s="38">
        <v>0.18</v>
      </c>
      <c r="G328" s="38" t="s">
        <v>22</v>
      </c>
      <c r="H328" s="39" t="s">
        <v>229</v>
      </c>
      <c r="I328" s="40" t="s">
        <v>938</v>
      </c>
      <c r="J328" s="41" t="s">
        <v>231</v>
      </c>
      <c r="K328" s="42" t="s">
        <v>26</v>
      </c>
      <c r="L328" s="43" t="s">
        <v>939</v>
      </c>
      <c r="M328" s="44">
        <v>8.708999E7</v>
      </c>
      <c r="N328" s="44" t="s">
        <v>28</v>
      </c>
      <c r="O328" s="45">
        <v>7.2</v>
      </c>
      <c r="P328" s="44">
        <v>7.898233438898E12</v>
      </c>
      <c r="Q328" s="44">
        <v>1.0</v>
      </c>
    </row>
    <row r="329" ht="15.75" customHeight="1">
      <c r="A329" s="35" t="s">
        <v>940</v>
      </c>
      <c r="B329" s="36">
        <v>822.2706676495749</v>
      </c>
      <c r="C329" s="36">
        <f>'Lista de Preço 02_2022'!$B329*0.9*0.9*0.9*0.9*0.9*0.97</f>
        <v>470.9763283</v>
      </c>
      <c r="D329" s="36">
        <f>'Lista de Preço 02_2022'!$C329*1.1712</f>
        <v>551.6074758</v>
      </c>
      <c r="E329" s="37">
        <v>3.25</v>
      </c>
      <c r="F329" s="38">
        <v>0.18</v>
      </c>
      <c r="G329" s="38" t="s">
        <v>22</v>
      </c>
      <c r="H329" s="39" t="s">
        <v>229</v>
      </c>
      <c r="I329" s="40" t="s">
        <v>938</v>
      </c>
      <c r="J329" s="41" t="s">
        <v>231</v>
      </c>
      <c r="K329" s="42" t="s">
        <v>26</v>
      </c>
      <c r="L329" s="43" t="s">
        <v>941</v>
      </c>
      <c r="M329" s="44">
        <v>8.708999E7</v>
      </c>
      <c r="N329" s="44" t="s">
        <v>28</v>
      </c>
      <c r="O329" s="45">
        <v>6.72</v>
      </c>
      <c r="P329" s="44">
        <v>7.898233438904E12</v>
      </c>
      <c r="Q329" s="44">
        <v>1.0</v>
      </c>
    </row>
    <row r="330" ht="15.75" customHeight="1">
      <c r="A330" s="35" t="s">
        <v>942</v>
      </c>
      <c r="B330" s="36">
        <v>762.7959230130638</v>
      </c>
      <c r="C330" s="36">
        <f>'Lista de Preço 02_2022'!$B330*0.9*0.9*0.9*0.9*0.9*0.97</f>
        <v>436.9106636</v>
      </c>
      <c r="D330" s="36">
        <f>'Lista de Preço 02_2022'!$C330*1.1712</f>
        <v>511.7097693</v>
      </c>
      <c r="E330" s="37">
        <v>3.25</v>
      </c>
      <c r="F330" s="38">
        <v>0.18</v>
      </c>
      <c r="G330" s="38" t="s">
        <v>22</v>
      </c>
      <c r="H330" s="39" t="s">
        <v>229</v>
      </c>
      <c r="I330" s="40" t="s">
        <v>943</v>
      </c>
      <c r="J330" s="41" t="s">
        <v>231</v>
      </c>
      <c r="K330" s="42" t="s">
        <v>157</v>
      </c>
      <c r="L330" s="43" t="s">
        <v>944</v>
      </c>
      <c r="M330" s="44">
        <v>8.708999E7</v>
      </c>
      <c r="N330" s="44" t="s">
        <v>28</v>
      </c>
      <c r="O330" s="45">
        <v>7.46</v>
      </c>
      <c r="P330" s="44">
        <v>7.898233439116E12</v>
      </c>
      <c r="Q330" s="44">
        <v>1.0</v>
      </c>
    </row>
    <row r="331" ht="15.75" customHeight="1">
      <c r="A331" s="35" t="s">
        <v>945</v>
      </c>
      <c r="B331" s="36">
        <v>738.2909444616001</v>
      </c>
      <c r="C331" s="36">
        <f>'Lista de Preço 02_2022'!$B331*0.9*0.9*0.9*0.9*0.9*0.97</f>
        <v>422.8748172</v>
      </c>
      <c r="D331" s="36">
        <f>'Lista de Preço 02_2022'!$C331*1.1712</f>
        <v>495.2709859</v>
      </c>
      <c r="E331" s="37">
        <v>3.25</v>
      </c>
      <c r="F331" s="38">
        <v>0.18</v>
      </c>
      <c r="G331" s="38" t="s">
        <v>22</v>
      </c>
      <c r="H331" s="39" t="s">
        <v>229</v>
      </c>
      <c r="I331" s="40" t="s">
        <v>946</v>
      </c>
      <c r="J331" s="41" t="s">
        <v>231</v>
      </c>
      <c r="K331" s="42" t="s">
        <v>157</v>
      </c>
      <c r="L331" s="43" t="s">
        <v>947</v>
      </c>
      <c r="M331" s="44">
        <v>8.708999E7</v>
      </c>
      <c r="N331" s="44" t="s">
        <v>28</v>
      </c>
      <c r="O331" s="45">
        <v>5.98</v>
      </c>
      <c r="P331" s="44">
        <v>7.898233439123E12</v>
      </c>
      <c r="Q331" s="44">
        <v>1.0</v>
      </c>
    </row>
    <row r="332" ht="15.75" customHeight="1">
      <c r="A332" s="35" t="s">
        <v>948</v>
      </c>
      <c r="B332" s="36">
        <v>841.4196076505502</v>
      </c>
      <c r="C332" s="36">
        <f>'Lista de Preço 02_2022'!$B332*0.9*0.9*0.9*0.9*0.9*0.97</f>
        <v>481.9443682</v>
      </c>
      <c r="D332" s="36">
        <f>'Lista de Preço 02_2022'!$C332*1.1712</f>
        <v>564.453244</v>
      </c>
      <c r="E332" s="37">
        <v>3.25</v>
      </c>
      <c r="F332" s="38">
        <v>0.18</v>
      </c>
      <c r="G332" s="38" t="s">
        <v>22</v>
      </c>
      <c r="H332" s="39" t="s">
        <v>229</v>
      </c>
      <c r="I332" s="40" t="s">
        <v>949</v>
      </c>
      <c r="J332" s="41" t="s">
        <v>231</v>
      </c>
      <c r="K332" s="42" t="s">
        <v>73</v>
      </c>
      <c r="L332" s="43" t="s">
        <v>950</v>
      </c>
      <c r="M332" s="44">
        <v>8.708999E7</v>
      </c>
      <c r="N332" s="44" t="s">
        <v>28</v>
      </c>
      <c r="O332" s="45">
        <v>7.2</v>
      </c>
      <c r="P332" s="44">
        <v>7.89823343913E12</v>
      </c>
      <c r="Q332" s="44">
        <v>1.0</v>
      </c>
    </row>
    <row r="333" ht="15.75" customHeight="1">
      <c r="A333" s="35" t="s">
        <v>951</v>
      </c>
      <c r="B333" s="36">
        <v>846.5919438063938</v>
      </c>
      <c r="C333" s="36">
        <f>'Lista de Preço 02_2022'!$B333*0.9*0.9*0.9*0.9*0.9*0.97</f>
        <v>484.9069546</v>
      </c>
      <c r="D333" s="36">
        <f>'Lista de Preço 02_2022'!$C333*1.1712</f>
        <v>567.9230252</v>
      </c>
      <c r="E333" s="37">
        <v>3.25</v>
      </c>
      <c r="F333" s="38">
        <v>0.18</v>
      </c>
      <c r="G333" s="38" t="s">
        <v>22</v>
      </c>
      <c r="H333" s="39" t="s">
        <v>229</v>
      </c>
      <c r="I333" s="40" t="s">
        <v>952</v>
      </c>
      <c r="J333" s="41" t="s">
        <v>231</v>
      </c>
      <c r="K333" s="42" t="s">
        <v>73</v>
      </c>
      <c r="L333" s="43" t="s">
        <v>953</v>
      </c>
      <c r="M333" s="44">
        <v>8.708999E7</v>
      </c>
      <c r="N333" s="44" t="s">
        <v>28</v>
      </c>
      <c r="O333" s="45">
        <v>9.08</v>
      </c>
      <c r="P333" s="44">
        <v>7.898233439147E12</v>
      </c>
      <c r="Q333" s="44">
        <v>1.0</v>
      </c>
    </row>
    <row r="334" ht="15.75" customHeight="1">
      <c r="A334" s="35" t="s">
        <v>954</v>
      </c>
      <c r="B334" s="36">
        <v>375.2853224818585</v>
      </c>
      <c r="C334" s="36">
        <f>'Lista de Preço 02_2022'!$B334*0.9*0.9*0.9*0.9*0.9*0.97</f>
        <v>214.9541632</v>
      </c>
      <c r="D334" s="36">
        <f>'Lista de Preço 02_2022'!$C334*1.1712</f>
        <v>251.7543159</v>
      </c>
      <c r="E334" s="37">
        <v>3.25</v>
      </c>
      <c r="F334" s="38">
        <v>0.18</v>
      </c>
      <c r="G334" s="38" t="s">
        <v>37</v>
      </c>
      <c r="H334" s="39" t="s">
        <v>793</v>
      </c>
      <c r="I334" s="40" t="s">
        <v>955</v>
      </c>
      <c r="J334" s="41" t="s">
        <v>40</v>
      </c>
      <c r="K334" s="42" t="s">
        <v>303</v>
      </c>
      <c r="L334" s="43">
        <v>3.214601111E9</v>
      </c>
      <c r="M334" s="42">
        <v>8.708999E7</v>
      </c>
      <c r="N334" s="44" t="s">
        <v>28</v>
      </c>
      <c r="O334" s="45">
        <v>2.494</v>
      </c>
      <c r="P334" s="44">
        <v>7.898233433978E12</v>
      </c>
      <c r="Q334" s="44">
        <v>1.0</v>
      </c>
    </row>
    <row r="335" ht="15.75" customHeight="1">
      <c r="A335" s="35" t="s">
        <v>956</v>
      </c>
      <c r="B335" s="36">
        <v>281.6435828820752</v>
      </c>
      <c r="C335" s="36">
        <f>'Lista de Preço 02_2022'!$B335*0.9*0.9*0.9*0.9*0.9*0.97</f>
        <v>161.3184877</v>
      </c>
      <c r="D335" s="36">
        <f>'Lista de Preço 02_2022'!$C335*1.1712</f>
        <v>188.9362128</v>
      </c>
      <c r="E335" s="37">
        <v>3.25</v>
      </c>
      <c r="F335" s="38">
        <v>0.18</v>
      </c>
      <c r="G335" s="38" t="s">
        <v>22</v>
      </c>
      <c r="H335" s="39" t="s">
        <v>70</v>
      </c>
      <c r="I335" s="40" t="s">
        <v>957</v>
      </c>
      <c r="J335" s="41" t="s">
        <v>80</v>
      </c>
      <c r="K335" s="42" t="s">
        <v>73</v>
      </c>
      <c r="L335" s="39" t="s">
        <v>958</v>
      </c>
      <c r="M335" s="44">
        <v>8.708999E7</v>
      </c>
      <c r="N335" s="44" t="s">
        <v>28</v>
      </c>
      <c r="O335" s="45">
        <v>2.44</v>
      </c>
      <c r="P335" s="44">
        <v>7.898233439109E12</v>
      </c>
      <c r="Q335" s="44">
        <v>1.0</v>
      </c>
    </row>
    <row r="336" ht="15.75" customHeight="1">
      <c r="A336" s="35" t="s">
        <v>959</v>
      </c>
      <c r="B336" s="36">
        <v>505.3363174211429</v>
      </c>
      <c r="C336" s="36">
        <f>'Lista de Preço 02_2022'!$B336*0.9*0.9*0.9*0.9*0.9*0.97</f>
        <v>289.4441608</v>
      </c>
      <c r="D336" s="36">
        <f>'Lista de Preço 02_2022'!$C336*1.1712</f>
        <v>338.9970011</v>
      </c>
      <c r="E336" s="37">
        <v>3.25</v>
      </c>
      <c r="F336" s="38">
        <v>0.18</v>
      </c>
      <c r="G336" s="38" t="s">
        <v>22</v>
      </c>
      <c r="H336" s="39" t="s">
        <v>229</v>
      </c>
      <c r="I336" s="40" t="s">
        <v>960</v>
      </c>
      <c r="J336" s="41" t="s">
        <v>276</v>
      </c>
      <c r="K336" s="42" t="s">
        <v>86</v>
      </c>
      <c r="L336" s="43" t="s">
        <v>961</v>
      </c>
      <c r="M336" s="44">
        <v>8.708999E7</v>
      </c>
      <c r="N336" s="44" t="s">
        <v>28</v>
      </c>
      <c r="O336" s="45">
        <v>7.04</v>
      </c>
      <c r="P336" s="44">
        <v>7.898233439154E12</v>
      </c>
      <c r="Q336" s="44">
        <v>1.0</v>
      </c>
    </row>
    <row r="337" ht="15.75" customHeight="1">
      <c r="A337" s="35" t="s">
        <v>962</v>
      </c>
      <c r="B337" s="36">
        <v>512.6073435710873</v>
      </c>
      <c r="C337" s="36">
        <f>'Lista de Preço 02_2022'!$B337*0.9*0.9*0.9*0.9*0.9*0.97</f>
        <v>293.608825</v>
      </c>
      <c r="D337" s="36">
        <f>'Lista de Preço 02_2022'!$C337*1.1712</f>
        <v>343.8746558</v>
      </c>
      <c r="E337" s="37">
        <v>3.25</v>
      </c>
      <c r="F337" s="38">
        <v>0.18</v>
      </c>
      <c r="G337" s="38" t="s">
        <v>22</v>
      </c>
      <c r="H337" s="39" t="s">
        <v>229</v>
      </c>
      <c r="I337" s="40" t="s">
        <v>963</v>
      </c>
      <c r="J337" s="41" t="s">
        <v>276</v>
      </c>
      <c r="K337" s="42" t="s">
        <v>86</v>
      </c>
      <c r="L337" s="43" t="s">
        <v>964</v>
      </c>
      <c r="M337" s="44">
        <v>8.708999E7</v>
      </c>
      <c r="N337" s="44" t="s">
        <v>28</v>
      </c>
      <c r="O337" s="45">
        <v>6.8</v>
      </c>
      <c r="P337" s="44">
        <v>7.898233439161E12</v>
      </c>
      <c r="Q337" s="44">
        <v>1.0</v>
      </c>
    </row>
    <row r="338" ht="15.75" customHeight="1">
      <c r="A338" s="35" t="s">
        <v>965</v>
      </c>
      <c r="B338" s="36">
        <v>576.9438696635128</v>
      </c>
      <c r="C338" s="36">
        <f>'Lista de Preço 02_2022'!$B338*0.9*0.9*0.9*0.9*0.9*0.97</f>
        <v>330.459198</v>
      </c>
      <c r="D338" s="36">
        <f>'Lista de Preço 02_2022'!$C338*1.1712</f>
        <v>387.0338127</v>
      </c>
      <c r="E338" s="37">
        <v>3.25</v>
      </c>
      <c r="F338" s="38">
        <v>0.18</v>
      </c>
      <c r="G338" s="38" t="s">
        <v>22</v>
      </c>
      <c r="H338" s="39" t="s">
        <v>229</v>
      </c>
      <c r="I338" s="40" t="s">
        <v>966</v>
      </c>
      <c r="J338" s="41" t="s">
        <v>276</v>
      </c>
      <c r="K338" s="42" t="s">
        <v>157</v>
      </c>
      <c r="L338" s="43" t="s">
        <v>967</v>
      </c>
      <c r="M338" s="44">
        <v>8.708999E7</v>
      </c>
      <c r="N338" s="44" t="s">
        <v>28</v>
      </c>
      <c r="O338" s="45">
        <v>6.06</v>
      </c>
      <c r="P338" s="44">
        <v>7.898233439178E12</v>
      </c>
      <c r="Q338" s="44">
        <v>1.0</v>
      </c>
    </row>
    <row r="339" ht="15.75" customHeight="1">
      <c r="A339" s="35" t="s">
        <v>968</v>
      </c>
      <c r="B339" s="36">
        <v>494.4200076847239</v>
      </c>
      <c r="C339" s="36">
        <f>'Lista de Preço 02_2022'!$B339*0.9*0.9*0.9*0.9*0.9*0.97</f>
        <v>283.1915682</v>
      </c>
      <c r="D339" s="36">
        <f>'Lista de Preço 02_2022'!$C339*1.1712</f>
        <v>331.6739647</v>
      </c>
      <c r="E339" s="37">
        <v>3.25</v>
      </c>
      <c r="F339" s="38">
        <v>0.18</v>
      </c>
      <c r="G339" s="38" t="s">
        <v>22</v>
      </c>
      <c r="H339" s="39" t="s">
        <v>229</v>
      </c>
      <c r="I339" s="40" t="s">
        <v>969</v>
      </c>
      <c r="J339" s="41" t="s">
        <v>276</v>
      </c>
      <c r="K339" s="42" t="s">
        <v>157</v>
      </c>
      <c r="L339" s="43" t="s">
        <v>970</v>
      </c>
      <c r="M339" s="44">
        <v>8.708999E7</v>
      </c>
      <c r="N339" s="44" t="s">
        <v>28</v>
      </c>
      <c r="O339" s="45">
        <v>5.82</v>
      </c>
      <c r="P339" s="44">
        <v>7.898233439185E12</v>
      </c>
      <c r="Q339" s="44">
        <v>1.0</v>
      </c>
    </row>
    <row r="340" ht="15.75" customHeight="1">
      <c r="A340" s="35" t="s">
        <v>971</v>
      </c>
      <c r="B340" s="36">
        <v>837.22080857028</v>
      </c>
      <c r="C340" s="36">
        <f>'Lista de Preço 02_2022'!$B340*0.9*0.9*0.9*0.9*0.9*0.97</f>
        <v>479.5393998</v>
      </c>
      <c r="D340" s="36">
        <f>'Lista de Preço 02_2022'!$C340*1.1712</f>
        <v>561.636545</v>
      </c>
      <c r="E340" s="37">
        <v>3.25</v>
      </c>
      <c r="F340" s="38">
        <v>0.18</v>
      </c>
      <c r="G340" s="38" t="s">
        <v>22</v>
      </c>
      <c r="H340" s="39" t="s">
        <v>229</v>
      </c>
      <c r="I340" s="40" t="s">
        <v>972</v>
      </c>
      <c r="J340" s="41" t="s">
        <v>270</v>
      </c>
      <c r="K340" s="42" t="s">
        <v>282</v>
      </c>
      <c r="L340" s="43" t="s">
        <v>973</v>
      </c>
      <c r="M340" s="44">
        <v>8.708999E7</v>
      </c>
      <c r="N340" s="44" t="s">
        <v>28</v>
      </c>
      <c r="O340" s="45">
        <v>6.74</v>
      </c>
      <c r="P340" s="44">
        <v>7.898233439192E12</v>
      </c>
      <c r="Q340" s="44">
        <v>1.0</v>
      </c>
    </row>
    <row r="341" ht="15.75" customHeight="1">
      <c r="A341" s="35" t="s">
        <v>974</v>
      </c>
      <c r="B341" s="36">
        <v>829.5367085972002</v>
      </c>
      <c r="C341" s="36">
        <f>'Lista de Preço 02_2022'!$B341*0.9*0.9*0.9*0.9*0.9*0.97</f>
        <v>475.1381371</v>
      </c>
      <c r="D341" s="36">
        <f>'Lista de Preço 02_2022'!$C341*1.1712</f>
        <v>556.4817862</v>
      </c>
      <c r="E341" s="37">
        <v>3.25</v>
      </c>
      <c r="F341" s="38">
        <v>0.18</v>
      </c>
      <c r="G341" s="38" t="s">
        <v>22</v>
      </c>
      <c r="H341" s="39" t="s">
        <v>229</v>
      </c>
      <c r="I341" s="40" t="s">
        <v>972</v>
      </c>
      <c r="J341" s="41" t="s">
        <v>270</v>
      </c>
      <c r="K341" s="42" t="s">
        <v>282</v>
      </c>
      <c r="L341" s="43" t="s">
        <v>975</v>
      </c>
      <c r="M341" s="44">
        <v>8.708999E7</v>
      </c>
      <c r="N341" s="44" t="s">
        <v>28</v>
      </c>
      <c r="O341" s="45">
        <v>7.66</v>
      </c>
      <c r="P341" s="44">
        <v>7.898233439208E12</v>
      </c>
      <c r="Q341" s="44">
        <v>1.0</v>
      </c>
    </row>
    <row r="342" ht="15.75" customHeight="1">
      <c r="A342" s="35" t="s">
        <v>976</v>
      </c>
      <c r="B342" s="36">
        <v>510.42603572610415</v>
      </c>
      <c r="C342" s="36">
        <f>'Lista de Preço 02_2022'!$B342*0.9*0.9*0.9*0.9*0.9*0.97</f>
        <v>292.3594257</v>
      </c>
      <c r="D342" s="36">
        <f>'Lista de Preço 02_2022'!$C342*1.1712</f>
        <v>342.4113594</v>
      </c>
      <c r="E342" s="37">
        <v>3.25</v>
      </c>
      <c r="F342" s="38">
        <v>0.18</v>
      </c>
      <c r="G342" s="38" t="s">
        <v>22</v>
      </c>
      <c r="H342" s="39" t="s">
        <v>229</v>
      </c>
      <c r="I342" s="40" t="s">
        <v>977</v>
      </c>
      <c r="J342" s="41" t="s">
        <v>276</v>
      </c>
      <c r="K342" s="42" t="s">
        <v>507</v>
      </c>
      <c r="L342" s="43" t="s">
        <v>978</v>
      </c>
      <c r="M342" s="44">
        <v>8.708999E7</v>
      </c>
      <c r="N342" s="44" t="s">
        <v>28</v>
      </c>
      <c r="O342" s="45">
        <v>7.9</v>
      </c>
      <c r="P342" s="44">
        <v>7.898233438508E12</v>
      </c>
      <c r="Q342" s="44">
        <v>1.0</v>
      </c>
    </row>
    <row r="343" ht="15.75" customHeight="1">
      <c r="A343" s="35" t="s">
        <v>979</v>
      </c>
      <c r="B343" s="36">
        <v>510.42603572610415</v>
      </c>
      <c r="C343" s="36">
        <f>'Lista de Preço 02_2022'!$B343*0.9*0.9*0.9*0.9*0.9*0.97</f>
        <v>292.3594257</v>
      </c>
      <c r="D343" s="36">
        <f>'Lista de Preço 02_2022'!$C343*1.1712</f>
        <v>342.4113594</v>
      </c>
      <c r="E343" s="37">
        <v>3.25</v>
      </c>
      <c r="F343" s="38">
        <v>0.18</v>
      </c>
      <c r="G343" s="38" t="s">
        <v>22</v>
      </c>
      <c r="H343" s="39" t="s">
        <v>229</v>
      </c>
      <c r="I343" s="40" t="s">
        <v>977</v>
      </c>
      <c r="J343" s="41" t="s">
        <v>276</v>
      </c>
      <c r="K343" s="42" t="s">
        <v>507</v>
      </c>
      <c r="L343" s="43" t="s">
        <v>980</v>
      </c>
      <c r="M343" s="44">
        <v>8.708999E7</v>
      </c>
      <c r="N343" s="44" t="s">
        <v>28</v>
      </c>
      <c r="O343" s="45">
        <v>7.94</v>
      </c>
      <c r="P343" s="44">
        <v>7.898233438515E12</v>
      </c>
      <c r="Q343" s="44">
        <v>1.0</v>
      </c>
    </row>
    <row r="344" ht="15.75" customHeight="1">
      <c r="A344" s="35" t="s">
        <v>981</v>
      </c>
      <c r="B344" s="36">
        <v>263.8887844518714</v>
      </c>
      <c r="C344" s="36">
        <f>'Lista de Preço 02_2022'!$B344*0.9*0.9*0.9*0.9*0.9*0.97</f>
        <v>151.1489777</v>
      </c>
      <c r="D344" s="36">
        <f>'Lista de Preço 02_2022'!$C344*1.1712</f>
        <v>177.0256827</v>
      </c>
      <c r="E344" s="37">
        <v>3.25</v>
      </c>
      <c r="F344" s="38">
        <v>0.18</v>
      </c>
      <c r="G344" s="38" t="s">
        <v>22</v>
      </c>
      <c r="H344" s="39" t="s">
        <v>70</v>
      </c>
      <c r="I344" s="40" t="s">
        <v>982</v>
      </c>
      <c r="J344" s="41" t="s">
        <v>72</v>
      </c>
      <c r="K344" s="42" t="s">
        <v>153</v>
      </c>
      <c r="L344" s="39" t="s">
        <v>983</v>
      </c>
      <c r="M344" s="44">
        <v>8.708999E7</v>
      </c>
      <c r="N344" s="44" t="s">
        <v>28</v>
      </c>
      <c r="O344" s="45">
        <v>3.44</v>
      </c>
      <c r="P344" s="44">
        <v>7.898233439239E12</v>
      </c>
      <c r="Q344" s="44">
        <v>1.0</v>
      </c>
    </row>
    <row r="345" ht="15.75" customHeight="1">
      <c r="A345" s="35" t="s">
        <v>984</v>
      </c>
      <c r="B345" s="36">
        <v>29.160771256216993</v>
      </c>
      <c r="C345" s="36">
        <f>'Lista de Preço 02_2022'!$B345*0.9*0.9*0.9*0.9*0.9*0.97</f>
        <v>16.7025695</v>
      </c>
      <c r="D345" s="36">
        <f>'Lista de Preço 02_2022'!$C345*1.1712</f>
        <v>19.5620494</v>
      </c>
      <c r="E345" s="37">
        <v>3.25</v>
      </c>
      <c r="F345" s="38">
        <v>0.18</v>
      </c>
      <c r="G345" s="38" t="s">
        <v>37</v>
      </c>
      <c r="H345" s="39" t="s">
        <v>793</v>
      </c>
      <c r="I345" s="40" t="s">
        <v>985</v>
      </c>
      <c r="J345" s="41" t="s">
        <v>40</v>
      </c>
      <c r="K345" s="42" t="s">
        <v>303</v>
      </c>
      <c r="L345" s="43">
        <v>3.224230042E9</v>
      </c>
      <c r="M345" s="42">
        <v>8.708309E7</v>
      </c>
      <c r="N345" s="44" t="s">
        <v>28</v>
      </c>
      <c r="O345" s="45">
        <v>0.845</v>
      </c>
      <c r="P345" s="44">
        <v>7.898233431592E12</v>
      </c>
      <c r="Q345" s="44">
        <v>1.0</v>
      </c>
    </row>
    <row r="346" ht="15.75" customHeight="1">
      <c r="A346" s="35" t="s">
        <v>986</v>
      </c>
      <c r="B346" s="36">
        <v>307.248724677483</v>
      </c>
      <c r="C346" s="36">
        <f>'Lista de Preço 02_2022'!$B346*0.9*0.9*0.9*0.9*0.9*0.97</f>
        <v>175.9844805</v>
      </c>
      <c r="D346" s="36">
        <f>'Lista de Preço 02_2022'!$C346*1.1712</f>
        <v>206.1130235</v>
      </c>
      <c r="E346" s="37">
        <v>3.25</v>
      </c>
      <c r="F346" s="38">
        <v>0.18</v>
      </c>
      <c r="G346" s="38" t="s">
        <v>22</v>
      </c>
      <c r="H346" s="39" t="s">
        <v>70</v>
      </c>
      <c r="I346" s="40" t="s">
        <v>987</v>
      </c>
      <c r="J346" s="41" t="s">
        <v>72</v>
      </c>
      <c r="K346" s="42" t="s">
        <v>153</v>
      </c>
      <c r="L346" s="39" t="s">
        <v>983</v>
      </c>
      <c r="M346" s="44">
        <v>8.708999E7</v>
      </c>
      <c r="N346" s="44" t="s">
        <v>28</v>
      </c>
      <c r="O346" s="45">
        <v>3.48</v>
      </c>
      <c r="P346" s="44">
        <v>7.898233439246E12</v>
      </c>
      <c r="Q346" s="44">
        <v>1.0</v>
      </c>
    </row>
    <row r="347" ht="15.75" customHeight="1">
      <c r="A347" s="35" t="s">
        <v>988</v>
      </c>
      <c r="B347" s="36">
        <v>213.7689725700038</v>
      </c>
      <c r="C347" s="36">
        <f>'Lista de Preço 02_2022'!$B347*0.9*0.9*0.9*0.9*0.9*0.97</f>
        <v>122.4415874</v>
      </c>
      <c r="D347" s="36">
        <f>'Lista de Preço 02_2022'!$C347*1.1712</f>
        <v>143.4035872</v>
      </c>
      <c r="E347" s="37">
        <v>3.25</v>
      </c>
      <c r="F347" s="38">
        <v>0.18</v>
      </c>
      <c r="G347" s="38" t="s">
        <v>22</v>
      </c>
      <c r="H347" s="39" t="s">
        <v>70</v>
      </c>
      <c r="I347" s="40" t="s">
        <v>989</v>
      </c>
      <c r="J347" s="41" t="s">
        <v>80</v>
      </c>
      <c r="K347" s="42" t="s">
        <v>26</v>
      </c>
      <c r="L347" s="43" t="s">
        <v>990</v>
      </c>
      <c r="M347" s="44">
        <v>8.708999E7</v>
      </c>
      <c r="N347" s="44" t="s">
        <v>28</v>
      </c>
      <c r="O347" s="45">
        <v>1.46</v>
      </c>
      <c r="P347" s="44">
        <v>7.898233438843E12</v>
      </c>
      <c r="Q347" s="44">
        <v>1.0</v>
      </c>
    </row>
    <row r="348" ht="15.75" customHeight="1">
      <c r="A348" s="35" t="s">
        <v>991</v>
      </c>
      <c r="B348" s="36">
        <v>276.2816472374896</v>
      </c>
      <c r="C348" s="36">
        <f>'Lista de Preço 02_2022'!$B348*0.9*0.9*0.9*0.9*0.9*0.97</f>
        <v>158.2473034</v>
      </c>
      <c r="D348" s="36">
        <f>'Lista de Preço 02_2022'!$C348*1.1712</f>
        <v>185.3392417</v>
      </c>
      <c r="E348" s="37">
        <v>3.25</v>
      </c>
      <c r="F348" s="38">
        <v>0.18</v>
      </c>
      <c r="G348" s="38" t="s">
        <v>22</v>
      </c>
      <c r="H348" s="39" t="s">
        <v>70</v>
      </c>
      <c r="I348" s="40" t="s">
        <v>992</v>
      </c>
      <c r="J348" s="41" t="s">
        <v>80</v>
      </c>
      <c r="K348" s="42" t="s">
        <v>26</v>
      </c>
      <c r="L348" s="39" t="s">
        <v>993</v>
      </c>
      <c r="M348" s="44">
        <v>8.708999E7</v>
      </c>
      <c r="N348" s="44" t="s">
        <v>28</v>
      </c>
      <c r="O348" s="45">
        <v>2.324</v>
      </c>
      <c r="P348" s="44">
        <v>7.898233438911E12</v>
      </c>
      <c r="Q348" s="44">
        <v>1.0</v>
      </c>
    </row>
    <row r="349" ht="15.75" customHeight="1">
      <c r="A349" s="35" t="s">
        <v>994</v>
      </c>
      <c r="B349" s="36">
        <v>202.56556930722806</v>
      </c>
      <c r="C349" s="36">
        <f>'Lista de Preço 02_2022'!$B349*0.9*0.9*0.9*0.9*0.9*0.97</f>
        <v>116.0245547</v>
      </c>
      <c r="D349" s="36">
        <f>'Lista de Preço 02_2022'!$C349*1.1712</f>
        <v>135.8879585</v>
      </c>
      <c r="E349" s="37">
        <v>3.25</v>
      </c>
      <c r="F349" s="38">
        <v>0.18</v>
      </c>
      <c r="G349" s="38" t="s">
        <v>22</v>
      </c>
      <c r="H349" s="39" t="s">
        <v>70</v>
      </c>
      <c r="I349" s="40" t="s">
        <v>995</v>
      </c>
      <c r="J349" s="41" t="s">
        <v>80</v>
      </c>
      <c r="K349" s="42" t="s">
        <v>68</v>
      </c>
      <c r="L349" s="43" t="s">
        <v>996</v>
      </c>
      <c r="M349" s="44">
        <v>8.708999E7</v>
      </c>
      <c r="N349" s="44" t="s">
        <v>28</v>
      </c>
      <c r="O349" s="45">
        <v>1.74</v>
      </c>
      <c r="P349" s="44">
        <v>7.898233439468E12</v>
      </c>
      <c r="Q349" s="44">
        <v>1.0</v>
      </c>
    </row>
    <row r="350" ht="15.75" customHeight="1">
      <c r="A350" s="35" t="s">
        <v>997</v>
      </c>
      <c r="B350" s="36">
        <v>225.00891363388098</v>
      </c>
      <c r="C350" s="36">
        <f>'Lista de Preço 02_2022'!$B350*0.9*0.9*0.9*0.9*0.9*0.97</f>
        <v>128.879548</v>
      </c>
      <c r="D350" s="36">
        <f>'Lista de Preço 02_2022'!$C350*1.1712</f>
        <v>150.9437266</v>
      </c>
      <c r="E350" s="37">
        <v>3.25</v>
      </c>
      <c r="F350" s="38">
        <v>0.18</v>
      </c>
      <c r="G350" s="38" t="s">
        <v>22</v>
      </c>
      <c r="H350" s="39" t="s">
        <v>70</v>
      </c>
      <c r="I350" s="40" t="s">
        <v>998</v>
      </c>
      <c r="J350" s="41" t="s">
        <v>80</v>
      </c>
      <c r="K350" s="42" t="s">
        <v>95</v>
      </c>
      <c r="L350" s="43" t="s">
        <v>999</v>
      </c>
      <c r="M350" s="44">
        <v>8.708999E7</v>
      </c>
      <c r="N350" s="44" t="s">
        <v>28</v>
      </c>
      <c r="O350" s="45">
        <v>1.86</v>
      </c>
      <c r="P350" s="44">
        <v>7.898233439369E12</v>
      </c>
      <c r="Q350" s="44">
        <v>1.0</v>
      </c>
    </row>
    <row r="351" ht="15.75" customHeight="1">
      <c r="A351" s="35" t="s">
        <v>1000</v>
      </c>
      <c r="B351" s="36">
        <v>194.15141034383743</v>
      </c>
      <c r="C351" s="36">
        <f>'Lista de Preço 02_2022'!$B351*0.9*0.9*0.9*0.9*0.9*0.97</f>
        <v>111.2051323</v>
      </c>
      <c r="D351" s="36">
        <f>'Lista de Preço 02_2022'!$C351*1.1712</f>
        <v>130.243451</v>
      </c>
      <c r="E351" s="37">
        <v>3.25</v>
      </c>
      <c r="F351" s="38">
        <v>0.18</v>
      </c>
      <c r="G351" s="38" t="s">
        <v>22</v>
      </c>
      <c r="H351" s="39" t="s">
        <v>70</v>
      </c>
      <c r="I351" s="40" t="s">
        <v>1001</v>
      </c>
      <c r="J351" s="41" t="s">
        <v>80</v>
      </c>
      <c r="K351" s="42" t="s">
        <v>95</v>
      </c>
      <c r="L351" s="43" t="s">
        <v>1002</v>
      </c>
      <c r="M351" s="44">
        <v>8.708999E7</v>
      </c>
      <c r="N351" s="44" t="s">
        <v>28</v>
      </c>
      <c r="O351" s="45">
        <v>1.66</v>
      </c>
      <c r="P351" s="44">
        <v>7.898233439376E12</v>
      </c>
      <c r="Q351" s="44">
        <v>1.0</v>
      </c>
    </row>
    <row r="352" ht="15.75" customHeight="1">
      <c r="A352" s="35" t="s">
        <v>1003</v>
      </c>
      <c r="B352" s="36">
        <v>215.66437100214875</v>
      </c>
      <c r="C352" s="36">
        <f>'Lista de Preço 02_2022'!$B352*0.9*0.9*0.9*0.9*0.9*0.97</f>
        <v>123.5272248</v>
      </c>
      <c r="D352" s="36">
        <f>'Lista de Preço 02_2022'!$C352*1.1712</f>
        <v>144.6750857</v>
      </c>
      <c r="E352" s="37">
        <v>3.25</v>
      </c>
      <c r="F352" s="38">
        <v>0.18</v>
      </c>
      <c r="G352" s="38" t="s">
        <v>22</v>
      </c>
      <c r="H352" s="39" t="s">
        <v>70</v>
      </c>
      <c r="I352" s="40" t="s">
        <v>1004</v>
      </c>
      <c r="J352" s="41" t="s">
        <v>80</v>
      </c>
      <c r="K352" s="42" t="s">
        <v>95</v>
      </c>
      <c r="L352" s="43" t="s">
        <v>1005</v>
      </c>
      <c r="M352" s="44">
        <v>8.708999E7</v>
      </c>
      <c r="N352" s="44" t="s">
        <v>28</v>
      </c>
      <c r="O352" s="45">
        <v>1.824</v>
      </c>
      <c r="P352" s="44">
        <v>7.898233439383E12</v>
      </c>
      <c r="Q352" s="44">
        <v>1.0</v>
      </c>
    </row>
    <row r="353" ht="15.75" customHeight="1">
      <c r="A353" s="35" t="s">
        <v>1006</v>
      </c>
      <c r="B353" s="36">
        <v>225.00891363388098</v>
      </c>
      <c r="C353" s="36">
        <f>'Lista de Preço 02_2022'!$B353*0.9*0.9*0.9*0.9*0.9*0.97</f>
        <v>128.879548</v>
      </c>
      <c r="D353" s="36">
        <f>'Lista de Preço 02_2022'!$C353*1.1712</f>
        <v>150.9437266</v>
      </c>
      <c r="E353" s="37">
        <v>3.25</v>
      </c>
      <c r="F353" s="38">
        <v>0.18</v>
      </c>
      <c r="G353" s="38" t="s">
        <v>22</v>
      </c>
      <c r="H353" s="39" t="s">
        <v>70</v>
      </c>
      <c r="I353" s="40" t="s">
        <v>1007</v>
      </c>
      <c r="J353" s="41" t="s">
        <v>80</v>
      </c>
      <c r="K353" s="42" t="s">
        <v>95</v>
      </c>
      <c r="L353" s="43" t="s">
        <v>1008</v>
      </c>
      <c r="M353" s="44">
        <v>8.708999E7</v>
      </c>
      <c r="N353" s="44" t="s">
        <v>28</v>
      </c>
      <c r="O353" s="45">
        <v>2.2</v>
      </c>
      <c r="P353" s="44">
        <v>7.89823343939E12</v>
      </c>
      <c r="Q353" s="44">
        <v>1.0</v>
      </c>
    </row>
    <row r="354" ht="15.75" customHeight="1">
      <c r="A354" s="35" t="s">
        <v>1009</v>
      </c>
      <c r="B354" s="36">
        <v>750.8236453299633</v>
      </c>
      <c r="C354" s="36">
        <f>'Lista de Preço 02_2022'!$B354*0.9*0.9*0.9*0.9*0.9*0.97</f>
        <v>430.0532387</v>
      </c>
      <c r="D354" s="36">
        <f>'Lista de Preço 02_2022'!$C354*1.1712</f>
        <v>503.6783532</v>
      </c>
      <c r="E354" s="37">
        <v>3.25</v>
      </c>
      <c r="F354" s="38">
        <v>0.18</v>
      </c>
      <c r="G354" s="38" t="s">
        <v>22</v>
      </c>
      <c r="H354" s="39" t="s">
        <v>229</v>
      </c>
      <c r="I354" s="40" t="s">
        <v>1010</v>
      </c>
      <c r="J354" s="41" t="s">
        <v>231</v>
      </c>
      <c r="K354" s="42" t="s">
        <v>26</v>
      </c>
      <c r="L354" s="43" t="s">
        <v>1011</v>
      </c>
      <c r="M354" s="44">
        <v>8.708999E7</v>
      </c>
      <c r="N354" s="44" t="s">
        <v>28</v>
      </c>
      <c r="O354" s="45">
        <v>8.9</v>
      </c>
      <c r="P354" s="44">
        <v>7.898233439413E12</v>
      </c>
      <c r="Q354" s="44">
        <v>1.0</v>
      </c>
    </row>
    <row r="355" ht="15.75" customHeight="1">
      <c r="A355" s="35" t="s">
        <v>1012</v>
      </c>
      <c r="B355" s="36">
        <v>659.4878424556409</v>
      </c>
      <c r="C355" s="36">
        <f>'Lista de Preço 02_2022'!$B355*0.9*0.9*0.9*0.9*0.9*0.97</f>
        <v>377.7383468</v>
      </c>
      <c r="D355" s="36">
        <f>'Lista de Preço 02_2022'!$C355*1.1712</f>
        <v>442.4071518</v>
      </c>
      <c r="E355" s="37">
        <v>3.25</v>
      </c>
      <c r="F355" s="38">
        <v>0.18</v>
      </c>
      <c r="G355" s="38" t="s">
        <v>22</v>
      </c>
      <c r="H355" s="39" t="s">
        <v>229</v>
      </c>
      <c r="I355" s="40" t="s">
        <v>1013</v>
      </c>
      <c r="J355" s="41" t="s">
        <v>231</v>
      </c>
      <c r="K355" s="42" t="s">
        <v>26</v>
      </c>
      <c r="L355" s="43" t="s">
        <v>1014</v>
      </c>
      <c r="M355" s="44">
        <v>8.708999E7</v>
      </c>
      <c r="N355" s="44" t="s">
        <v>28</v>
      </c>
      <c r="O355" s="45">
        <v>5.96</v>
      </c>
      <c r="P355" s="44">
        <v>7.898233433862E12</v>
      </c>
      <c r="Q355" s="44">
        <v>1.0</v>
      </c>
    </row>
    <row r="356" ht="15.75" customHeight="1">
      <c r="A356" s="35" t="s">
        <v>1015</v>
      </c>
      <c r="B356" s="36">
        <v>909.5556007944033</v>
      </c>
      <c r="C356" s="36">
        <f>'Lista de Preço 02_2022'!$B356*0.9*0.9*0.9*0.9*0.9*0.97</f>
        <v>520.9709821</v>
      </c>
      <c r="D356" s="36">
        <f>'Lista de Preço 02_2022'!$C356*1.1712</f>
        <v>610.1612142</v>
      </c>
      <c r="E356" s="37">
        <v>3.25</v>
      </c>
      <c r="F356" s="38">
        <v>0.18</v>
      </c>
      <c r="G356" s="38" t="s">
        <v>22</v>
      </c>
      <c r="H356" s="39" t="s">
        <v>229</v>
      </c>
      <c r="I356" s="40" t="s">
        <v>1016</v>
      </c>
      <c r="J356" s="41" t="s">
        <v>231</v>
      </c>
      <c r="K356" s="42" t="s">
        <v>26</v>
      </c>
      <c r="L356" s="43" t="s">
        <v>1017</v>
      </c>
      <c r="M356" s="44">
        <v>8.708999E7</v>
      </c>
      <c r="N356" s="44" t="s">
        <v>28</v>
      </c>
      <c r="O356" s="45">
        <v>7.34</v>
      </c>
      <c r="P356" s="44">
        <v>7.898233439567E12</v>
      </c>
      <c r="Q356" s="44">
        <v>1.0</v>
      </c>
    </row>
    <row r="357" ht="15.75" customHeight="1">
      <c r="A357" s="35" t="s">
        <v>1018</v>
      </c>
      <c r="B357" s="36">
        <v>783.740273189443</v>
      </c>
      <c r="C357" s="36">
        <f>'Lista de Preço 02_2022'!$B357*0.9*0.9*0.9*0.9*0.9*0.97</f>
        <v>448.9070701</v>
      </c>
      <c r="D357" s="36">
        <f>'Lista de Preço 02_2022'!$C357*1.1712</f>
        <v>525.7599605</v>
      </c>
      <c r="E357" s="37">
        <v>3.25</v>
      </c>
      <c r="F357" s="38">
        <v>0.18</v>
      </c>
      <c r="G357" s="38" t="s">
        <v>22</v>
      </c>
      <c r="H357" s="39" t="s">
        <v>229</v>
      </c>
      <c r="I357" s="40" t="s">
        <v>1016</v>
      </c>
      <c r="J357" s="41" t="s">
        <v>231</v>
      </c>
      <c r="K357" s="42" t="s">
        <v>26</v>
      </c>
      <c r="L357" s="43" t="s">
        <v>1019</v>
      </c>
      <c r="M357" s="44">
        <v>8.708999E7</v>
      </c>
      <c r="N357" s="44" t="s">
        <v>28</v>
      </c>
      <c r="O357" s="45">
        <v>6.34</v>
      </c>
      <c r="P357" s="44">
        <v>7.898233439574E12</v>
      </c>
      <c r="Q357" s="44">
        <v>1.0</v>
      </c>
    </row>
    <row r="358" ht="15.75" customHeight="1">
      <c r="A358" s="35" t="s">
        <v>1020</v>
      </c>
      <c r="B358" s="36">
        <v>813.7593105683347</v>
      </c>
      <c r="C358" s="36">
        <f>'Lista de Preço 02_2022'!$B358*0.9*0.9*0.9*0.9*0.9*0.97</f>
        <v>466.1012332</v>
      </c>
      <c r="D358" s="36">
        <f>'Lista de Preço 02_2022'!$C358*1.1712</f>
        <v>545.8977644</v>
      </c>
      <c r="E358" s="37">
        <v>3.25</v>
      </c>
      <c r="F358" s="38">
        <v>0.18</v>
      </c>
      <c r="G358" s="38" t="s">
        <v>22</v>
      </c>
      <c r="H358" s="39" t="s">
        <v>229</v>
      </c>
      <c r="I358" s="40" t="s">
        <v>1021</v>
      </c>
      <c r="J358" s="41" t="s">
        <v>231</v>
      </c>
      <c r="K358" s="42" t="s">
        <v>86</v>
      </c>
      <c r="L358" s="43" t="s">
        <v>1022</v>
      </c>
      <c r="M358" s="44">
        <v>8.708999E7</v>
      </c>
      <c r="N358" s="44" t="s">
        <v>28</v>
      </c>
      <c r="O358" s="45">
        <v>8.48</v>
      </c>
      <c r="P358" s="44">
        <v>7.898233439505E12</v>
      </c>
      <c r="Q358" s="44">
        <v>1.0</v>
      </c>
    </row>
    <row r="359" ht="15.75" customHeight="1">
      <c r="A359" s="35" t="s">
        <v>1023</v>
      </c>
      <c r="B359" s="36">
        <v>769.7534736346533</v>
      </c>
      <c r="C359" s="36">
        <f>'Lista de Preço 02_2022'!$B359*0.9*0.9*0.9*0.9*0.9*0.97</f>
        <v>440.8957768</v>
      </c>
      <c r="D359" s="36">
        <f>'Lista de Preço 02_2022'!$C359*1.1712</f>
        <v>516.3771338</v>
      </c>
      <c r="E359" s="37">
        <v>3.25</v>
      </c>
      <c r="F359" s="38">
        <v>0.18</v>
      </c>
      <c r="G359" s="38" t="s">
        <v>22</v>
      </c>
      <c r="H359" s="39" t="s">
        <v>229</v>
      </c>
      <c r="I359" s="40" t="s">
        <v>1024</v>
      </c>
      <c r="J359" s="41" t="s">
        <v>231</v>
      </c>
      <c r="K359" s="42" t="s">
        <v>86</v>
      </c>
      <c r="L359" s="43" t="s">
        <v>1025</v>
      </c>
      <c r="M359" s="44">
        <v>8.708999E7</v>
      </c>
      <c r="N359" s="44" t="s">
        <v>28</v>
      </c>
      <c r="O359" s="45">
        <v>6.44</v>
      </c>
      <c r="P359" s="44">
        <v>7.898233439512E12</v>
      </c>
      <c r="Q359" s="44">
        <v>1.0</v>
      </c>
    </row>
    <row r="360" ht="15.75" customHeight="1">
      <c r="A360" s="35" t="s">
        <v>1026</v>
      </c>
      <c r="B360" s="36">
        <v>237.40436265759618</v>
      </c>
      <c r="C360" s="36">
        <f>'Lista de Preço 02_2022'!$B360*0.9*0.9*0.9*0.9*0.9*0.97</f>
        <v>135.979355</v>
      </c>
      <c r="D360" s="36">
        <f>'Lista de Preço 02_2022'!$C360*1.1712</f>
        <v>159.2590206</v>
      </c>
      <c r="E360" s="37">
        <v>3.25</v>
      </c>
      <c r="F360" s="38">
        <v>0.18</v>
      </c>
      <c r="G360" s="38" t="s">
        <v>22</v>
      </c>
      <c r="H360" s="39" t="s">
        <v>70</v>
      </c>
      <c r="I360" s="40" t="s">
        <v>1027</v>
      </c>
      <c r="J360" s="41" t="s">
        <v>80</v>
      </c>
      <c r="K360" s="42" t="s">
        <v>86</v>
      </c>
      <c r="L360" s="39" t="s">
        <v>1028</v>
      </c>
      <c r="M360" s="44">
        <v>8.708999E7</v>
      </c>
      <c r="N360" s="44" t="s">
        <v>28</v>
      </c>
      <c r="O360" s="45">
        <v>2.12</v>
      </c>
      <c r="P360" s="44">
        <v>7.898233439635E12</v>
      </c>
      <c r="Q360" s="44">
        <v>1.0</v>
      </c>
    </row>
    <row r="361" ht="15.75" customHeight="1">
      <c r="A361" s="35" t="s">
        <v>1029</v>
      </c>
      <c r="B361" s="36">
        <v>203.71651004192813</v>
      </c>
      <c r="C361" s="36">
        <f>'Lista de Preço 02_2022'!$B361*0.9*0.9*0.9*0.9*0.9*0.97</f>
        <v>116.6837852</v>
      </c>
      <c r="D361" s="36">
        <f>'Lista de Preço 02_2022'!$C361*1.1712</f>
        <v>136.6600492</v>
      </c>
      <c r="E361" s="37">
        <v>3.25</v>
      </c>
      <c r="F361" s="38">
        <v>0.18</v>
      </c>
      <c r="G361" s="38" t="s">
        <v>22</v>
      </c>
      <c r="H361" s="39" t="s">
        <v>70</v>
      </c>
      <c r="I361" s="40" t="s">
        <v>1030</v>
      </c>
      <c r="J361" s="41" t="s">
        <v>80</v>
      </c>
      <c r="K361" s="42" t="s">
        <v>73</v>
      </c>
      <c r="L361" s="43" t="s">
        <v>1031</v>
      </c>
      <c r="M361" s="44">
        <v>8.708999E7</v>
      </c>
      <c r="N361" s="44" t="s">
        <v>28</v>
      </c>
      <c r="O361" s="45">
        <v>1.86</v>
      </c>
      <c r="P361" s="44">
        <v>7.89823343968E12</v>
      </c>
      <c r="Q361" s="44">
        <v>1.0</v>
      </c>
    </row>
    <row r="362" ht="15.75" customHeight="1">
      <c r="A362" s="35" t="s">
        <v>1032</v>
      </c>
      <c r="B362" s="36">
        <v>216.76050503519664</v>
      </c>
      <c r="C362" s="36">
        <f>'Lista de Preço 02_2022'!$B362*0.9*0.9*0.9*0.9*0.9*0.97</f>
        <v>124.1550633</v>
      </c>
      <c r="D362" s="36">
        <f>'Lista de Preço 02_2022'!$C362*1.1712</f>
        <v>145.4104101</v>
      </c>
      <c r="E362" s="37">
        <v>3.25</v>
      </c>
      <c r="F362" s="38">
        <v>0.18</v>
      </c>
      <c r="G362" s="38" t="s">
        <v>22</v>
      </c>
      <c r="H362" s="39" t="s">
        <v>70</v>
      </c>
      <c r="I362" s="40" t="s">
        <v>1033</v>
      </c>
      <c r="J362" s="41" t="s">
        <v>80</v>
      </c>
      <c r="K362" s="42" t="s">
        <v>68</v>
      </c>
      <c r="L362" s="43" t="s">
        <v>1034</v>
      </c>
      <c r="M362" s="44">
        <v>8.708999E7</v>
      </c>
      <c r="N362" s="44" t="s">
        <v>28</v>
      </c>
      <c r="O362" s="45">
        <v>2.04</v>
      </c>
      <c r="P362" s="44">
        <v>7.89823343971E12</v>
      </c>
      <c r="Q362" s="44">
        <v>1.0</v>
      </c>
    </row>
    <row r="363" ht="15.75" customHeight="1">
      <c r="A363" s="35" t="s">
        <v>1035</v>
      </c>
      <c r="B363" s="36">
        <v>214.29420346083907</v>
      </c>
      <c r="C363" s="36">
        <f>'Lista de Preço 02_2022'!$B363*0.9*0.9*0.9*0.9*0.9*0.97</f>
        <v>122.7424267</v>
      </c>
      <c r="D363" s="36">
        <f>'Lista de Preço 02_2022'!$C363*1.1712</f>
        <v>143.7559301</v>
      </c>
      <c r="E363" s="37">
        <v>3.25</v>
      </c>
      <c r="F363" s="38">
        <v>0.18</v>
      </c>
      <c r="G363" s="38" t="s">
        <v>22</v>
      </c>
      <c r="H363" s="39" t="s">
        <v>70</v>
      </c>
      <c r="I363" s="40" t="s">
        <v>1036</v>
      </c>
      <c r="J363" s="41" t="s">
        <v>80</v>
      </c>
      <c r="K363" s="42" t="s">
        <v>95</v>
      </c>
      <c r="L363" s="43" t="s">
        <v>1037</v>
      </c>
      <c r="M363" s="44">
        <v>8.708999E7</v>
      </c>
      <c r="N363" s="44" t="s">
        <v>28</v>
      </c>
      <c r="O363" s="45">
        <v>1.88</v>
      </c>
      <c r="P363" s="44">
        <v>7.898233439703E12</v>
      </c>
      <c r="Q363" s="44">
        <v>1.0</v>
      </c>
    </row>
    <row r="364" ht="15.75" customHeight="1">
      <c r="A364" s="35" t="s">
        <v>1038</v>
      </c>
      <c r="B364" s="36">
        <v>836.1194367889361</v>
      </c>
      <c r="C364" s="36">
        <f>'Lista de Preço 02_2022'!$B364*0.9*0.9*0.9*0.9*0.9*0.97</f>
        <v>478.9085612</v>
      </c>
      <c r="D364" s="36">
        <f>'Lista de Preço 02_2022'!$C364*1.1712</f>
        <v>560.8977069</v>
      </c>
      <c r="E364" s="37">
        <v>3.25</v>
      </c>
      <c r="F364" s="38">
        <v>0.18</v>
      </c>
      <c r="G364" s="38" t="s">
        <v>22</v>
      </c>
      <c r="H364" s="39" t="s">
        <v>229</v>
      </c>
      <c r="I364" s="40" t="s">
        <v>1039</v>
      </c>
      <c r="J364" s="41" t="s">
        <v>231</v>
      </c>
      <c r="K364" s="42" t="s">
        <v>153</v>
      </c>
      <c r="L364" s="43" t="s">
        <v>1040</v>
      </c>
      <c r="M364" s="44">
        <v>8.708999E7</v>
      </c>
      <c r="N364" s="44" t="s">
        <v>28</v>
      </c>
      <c r="O364" s="45">
        <v>7.465</v>
      </c>
      <c r="P364" s="44">
        <v>7.8998235025E12</v>
      </c>
      <c r="Q364" s="44">
        <v>1.0</v>
      </c>
    </row>
    <row r="365" ht="15.75" customHeight="1">
      <c r="A365" s="35" t="s">
        <v>1041</v>
      </c>
      <c r="B365" s="36">
        <v>685.7961674617685</v>
      </c>
      <c r="C365" s="36">
        <f>'Lista de Preço 02_2022'!$B365*0.9*0.9*0.9*0.9*0.9*0.97</f>
        <v>392.8071056</v>
      </c>
      <c r="D365" s="36">
        <f>'Lista de Preço 02_2022'!$C365*1.1712</f>
        <v>460.055682</v>
      </c>
      <c r="E365" s="37">
        <v>3.25</v>
      </c>
      <c r="F365" s="38">
        <v>0.18</v>
      </c>
      <c r="G365" s="38" t="s">
        <v>22</v>
      </c>
      <c r="H365" s="39" t="s">
        <v>229</v>
      </c>
      <c r="I365" s="40" t="s">
        <v>1039</v>
      </c>
      <c r="J365" s="41" t="s">
        <v>231</v>
      </c>
      <c r="K365" s="42" t="s">
        <v>153</v>
      </c>
      <c r="L365" s="43" t="s">
        <v>1042</v>
      </c>
      <c r="M365" s="44">
        <v>8.708999E7</v>
      </c>
      <c r="N365" s="44" t="s">
        <v>28</v>
      </c>
      <c r="O365" s="45">
        <v>5.58</v>
      </c>
      <c r="P365" s="44">
        <v>7.899823502517E12</v>
      </c>
      <c r="Q365" s="44">
        <v>1.0</v>
      </c>
    </row>
    <row r="366" ht="15.75" customHeight="1">
      <c r="A366" s="35" t="s">
        <v>1043</v>
      </c>
      <c r="B366" s="36">
        <v>55.51131152840674</v>
      </c>
      <c r="C366" s="36">
        <f>'Lista de Preço 02_2022'!$B366*0.9*0.9*0.9*0.9*0.9*0.97</f>
        <v>31.79550811</v>
      </c>
      <c r="D366" s="36">
        <f>'Lista de Preço 02_2022'!$C366*1.1627</f>
        <v>36.96863728</v>
      </c>
      <c r="E366" s="37">
        <v>2.6</v>
      </c>
      <c r="F366" s="38">
        <v>0.18</v>
      </c>
      <c r="G366" s="38" t="s">
        <v>37</v>
      </c>
      <c r="H366" s="39" t="s">
        <v>38</v>
      </c>
      <c r="I366" s="40" t="s">
        <v>1044</v>
      </c>
      <c r="J366" s="41" t="s">
        <v>40</v>
      </c>
      <c r="K366" s="42" t="s">
        <v>303</v>
      </c>
      <c r="L366" s="43">
        <v>3.762900034E9</v>
      </c>
      <c r="M366" s="42">
        <v>8.70893E7</v>
      </c>
      <c r="N366" s="44" t="s">
        <v>28</v>
      </c>
      <c r="O366" s="45">
        <v>0.306</v>
      </c>
      <c r="P366" s="44">
        <v>7.898233431608E12</v>
      </c>
      <c r="Q366" s="48">
        <v>5.0</v>
      </c>
    </row>
    <row r="367" ht="15.75" customHeight="1">
      <c r="A367" s="35" t="s">
        <v>1045</v>
      </c>
      <c r="B367" s="36">
        <v>832.9761306355941</v>
      </c>
      <c r="C367" s="36">
        <f>'Lista de Preço 02_2022'!$B367*0.9*0.9*0.9*0.9*0.9*0.97</f>
        <v>477.1081531</v>
      </c>
      <c r="D367" s="36">
        <f>'Lista de Preço 02_2022'!$C367*1.1712</f>
        <v>558.7890689</v>
      </c>
      <c r="E367" s="37">
        <v>3.25</v>
      </c>
      <c r="F367" s="38">
        <v>0.18</v>
      </c>
      <c r="G367" s="38" t="s">
        <v>22</v>
      </c>
      <c r="H367" s="39" t="s">
        <v>229</v>
      </c>
      <c r="I367" s="40" t="s">
        <v>1046</v>
      </c>
      <c r="J367" s="41" t="s">
        <v>231</v>
      </c>
      <c r="K367" s="42" t="s">
        <v>86</v>
      </c>
      <c r="L367" s="43" t="s">
        <v>1047</v>
      </c>
      <c r="M367" s="44">
        <v>8.708999E7</v>
      </c>
      <c r="N367" s="44" t="s">
        <v>28</v>
      </c>
      <c r="O367" s="45">
        <v>8.84</v>
      </c>
      <c r="P367" s="44">
        <v>7.899823502524E12</v>
      </c>
      <c r="Q367" s="44">
        <v>1.0</v>
      </c>
    </row>
    <row r="368" ht="15.75" customHeight="1">
      <c r="A368" s="35" t="s">
        <v>1048</v>
      </c>
      <c r="B368" s="36">
        <v>839.2415608342598</v>
      </c>
      <c r="C368" s="36">
        <f>'Lista de Preço 02_2022'!$B368*0.9*0.9*0.9*0.9*0.9*0.97</f>
        <v>480.6968368</v>
      </c>
      <c r="D368" s="36">
        <f>'Lista de Preço 02_2022'!$C368*1.1712</f>
        <v>562.9921352</v>
      </c>
      <c r="E368" s="37">
        <v>3.25</v>
      </c>
      <c r="F368" s="38">
        <v>0.18</v>
      </c>
      <c r="G368" s="38" t="s">
        <v>22</v>
      </c>
      <c r="H368" s="39" t="s">
        <v>229</v>
      </c>
      <c r="I368" s="40" t="s">
        <v>1046</v>
      </c>
      <c r="J368" s="41" t="s">
        <v>231</v>
      </c>
      <c r="K368" s="42" t="s">
        <v>86</v>
      </c>
      <c r="L368" s="43" t="s">
        <v>1049</v>
      </c>
      <c r="M368" s="44">
        <v>8.708999E7</v>
      </c>
      <c r="N368" s="44" t="s">
        <v>28</v>
      </c>
      <c r="O368" s="45">
        <v>6.84</v>
      </c>
      <c r="P368" s="44">
        <v>7.899823502531E12</v>
      </c>
      <c r="Q368" s="44">
        <v>1.0</v>
      </c>
    </row>
    <row r="369" ht="15.75" customHeight="1">
      <c r="A369" s="35" t="s">
        <v>1050</v>
      </c>
      <c r="B369" s="36">
        <v>1017.4019695440593</v>
      </c>
      <c r="C369" s="36">
        <f>'Lista de Preço 02_2022'!$B369*0.9*0.9*0.9*0.9*0.9*0.97</f>
        <v>582.7427183</v>
      </c>
      <c r="D369" s="36">
        <f>'Lista de Preço 02_2022'!$C369*1.1712</f>
        <v>682.5082717</v>
      </c>
      <c r="E369" s="37">
        <v>3.25</v>
      </c>
      <c r="F369" s="38">
        <v>0.18</v>
      </c>
      <c r="G369" s="38" t="s">
        <v>22</v>
      </c>
      <c r="H369" s="39" t="s">
        <v>229</v>
      </c>
      <c r="I369" s="40" t="s">
        <v>1051</v>
      </c>
      <c r="J369" s="41" t="s">
        <v>231</v>
      </c>
      <c r="K369" s="42" t="s">
        <v>86</v>
      </c>
      <c r="L369" s="43" t="s">
        <v>1052</v>
      </c>
      <c r="M369" s="44">
        <v>8.708999E7</v>
      </c>
      <c r="N369" s="44" t="s">
        <v>28</v>
      </c>
      <c r="O369" s="45">
        <v>11.0</v>
      </c>
      <c r="P369" s="44">
        <v>7.899823502548E12</v>
      </c>
      <c r="Q369" s="44">
        <v>1.0</v>
      </c>
    </row>
    <row r="370" ht="15.75" customHeight="1">
      <c r="A370" s="35" t="s">
        <v>1053</v>
      </c>
      <c r="B370" s="36">
        <v>900.689275541688</v>
      </c>
      <c r="C370" s="36">
        <f>'Lista de Preço 02_2022'!$B370*0.9*0.9*0.9*0.9*0.9*0.97</f>
        <v>515.89257</v>
      </c>
      <c r="D370" s="36">
        <f>'Lista de Preço 02_2022'!$C370*1.1712</f>
        <v>604.213378</v>
      </c>
      <c r="E370" s="37">
        <v>3.25</v>
      </c>
      <c r="F370" s="38">
        <v>0.18</v>
      </c>
      <c r="G370" s="38" t="s">
        <v>22</v>
      </c>
      <c r="H370" s="39" t="s">
        <v>229</v>
      </c>
      <c r="I370" s="40" t="s">
        <v>1051</v>
      </c>
      <c r="J370" s="41" t="s">
        <v>231</v>
      </c>
      <c r="K370" s="42" t="s">
        <v>86</v>
      </c>
      <c r="L370" s="43" t="s">
        <v>1054</v>
      </c>
      <c r="M370" s="44">
        <v>8.708999E7</v>
      </c>
      <c r="N370" s="44" t="s">
        <v>28</v>
      </c>
      <c r="O370" s="45">
        <v>7.24</v>
      </c>
      <c r="P370" s="44">
        <v>7.899823502555E12</v>
      </c>
      <c r="Q370" s="44">
        <v>1.0</v>
      </c>
    </row>
    <row r="371" ht="15.75" customHeight="1">
      <c r="A371" s="35" t="s">
        <v>1055</v>
      </c>
      <c r="B371" s="36">
        <v>1107.6677081953371</v>
      </c>
      <c r="C371" s="36">
        <f>'Lista de Preço 02_2022'!$B371*0.9*0.9*0.9*0.9*0.9*0.97</f>
        <v>634.4447039</v>
      </c>
      <c r="D371" s="36">
        <f>'Lista de Preço 02_2022'!$C371*1.1712</f>
        <v>743.0616372</v>
      </c>
      <c r="E371" s="37">
        <v>3.25</v>
      </c>
      <c r="F371" s="38">
        <v>0.18</v>
      </c>
      <c r="G371" s="38" t="s">
        <v>22</v>
      </c>
      <c r="H371" s="39" t="s">
        <v>229</v>
      </c>
      <c r="I371" s="40" t="s">
        <v>1056</v>
      </c>
      <c r="J371" s="41" t="s">
        <v>270</v>
      </c>
      <c r="K371" s="42" t="s">
        <v>26</v>
      </c>
      <c r="L371" s="43" t="s">
        <v>1057</v>
      </c>
      <c r="M371" s="44">
        <v>8.708999E7</v>
      </c>
      <c r="N371" s="44" t="s">
        <v>28</v>
      </c>
      <c r="O371" s="45">
        <v>8.3</v>
      </c>
      <c r="P371" s="44">
        <v>7.899823502562E12</v>
      </c>
      <c r="Q371" s="44">
        <v>1.0</v>
      </c>
    </row>
    <row r="372" ht="15.75" customHeight="1">
      <c r="A372" s="35" t="s">
        <v>1058</v>
      </c>
      <c r="B372" s="36">
        <v>923.0564234961143</v>
      </c>
      <c r="C372" s="36">
        <f>'Lista de Preço 02_2022'!$B372*0.9*0.9*0.9*0.9*0.9*0.97</f>
        <v>528.7039199</v>
      </c>
      <c r="D372" s="36">
        <f>'Lista de Preço 02_2022'!$C372*1.1712</f>
        <v>619.218031</v>
      </c>
      <c r="E372" s="37">
        <v>3.25</v>
      </c>
      <c r="F372" s="38">
        <v>0.18</v>
      </c>
      <c r="G372" s="38" t="s">
        <v>22</v>
      </c>
      <c r="H372" s="39" t="s">
        <v>229</v>
      </c>
      <c r="I372" s="40" t="s">
        <v>1059</v>
      </c>
      <c r="J372" s="41" t="s">
        <v>270</v>
      </c>
      <c r="K372" s="42" t="s">
        <v>26</v>
      </c>
      <c r="L372" s="43" t="s">
        <v>1060</v>
      </c>
      <c r="M372" s="44">
        <v>8.708999E7</v>
      </c>
      <c r="N372" s="44" t="s">
        <v>28</v>
      </c>
      <c r="O372" s="45">
        <v>8.2</v>
      </c>
      <c r="P372" s="44">
        <v>7.899823502579E12</v>
      </c>
      <c r="Q372" s="44">
        <v>1.0</v>
      </c>
    </row>
    <row r="373" ht="15.75" customHeight="1">
      <c r="A373" s="35" t="s">
        <v>1061</v>
      </c>
      <c r="B373" s="36">
        <v>856.5615043975098</v>
      </c>
      <c r="C373" s="36">
        <f>'Lista de Preço 02_2022'!$B373*0.9*0.9*0.9*0.9*0.9*0.97</f>
        <v>490.6172726</v>
      </c>
      <c r="D373" s="36">
        <f>'Lista de Preço 02_2022'!$C373*1.1712</f>
        <v>574.6109497</v>
      </c>
      <c r="E373" s="37">
        <v>3.25</v>
      </c>
      <c r="F373" s="38">
        <v>0.18</v>
      </c>
      <c r="G373" s="38" t="s">
        <v>22</v>
      </c>
      <c r="H373" s="39" t="s">
        <v>229</v>
      </c>
      <c r="I373" s="40" t="s">
        <v>1062</v>
      </c>
      <c r="J373" s="41" t="s">
        <v>270</v>
      </c>
      <c r="K373" s="42" t="s">
        <v>73</v>
      </c>
      <c r="L373" s="43" t="s">
        <v>1063</v>
      </c>
      <c r="M373" s="44">
        <v>8.708999E7</v>
      </c>
      <c r="N373" s="44" t="s">
        <v>28</v>
      </c>
      <c r="O373" s="45">
        <v>7.96</v>
      </c>
      <c r="P373" s="44">
        <v>7.899823502586E12</v>
      </c>
      <c r="Q373" s="44">
        <v>1.0</v>
      </c>
    </row>
    <row r="374" ht="15.75" customHeight="1">
      <c r="A374" s="35" t="s">
        <v>1064</v>
      </c>
      <c r="B374" s="36">
        <v>831.8053915536512</v>
      </c>
      <c r="C374" s="36">
        <f>'Lista de Preço 02_2022'!$B374*0.9*0.9*0.9*0.9*0.9*0.97</f>
        <v>476.4375827</v>
      </c>
      <c r="D374" s="36">
        <f>'Lista de Preço 02_2022'!$C374*1.1712</f>
        <v>558.0036968</v>
      </c>
      <c r="E374" s="37">
        <v>3.25</v>
      </c>
      <c r="F374" s="38">
        <v>0.18</v>
      </c>
      <c r="G374" s="38" t="s">
        <v>22</v>
      </c>
      <c r="H374" s="39" t="s">
        <v>229</v>
      </c>
      <c r="I374" s="40" t="s">
        <v>1065</v>
      </c>
      <c r="J374" s="41" t="s">
        <v>270</v>
      </c>
      <c r="K374" s="42" t="s">
        <v>282</v>
      </c>
      <c r="L374" s="43" t="s">
        <v>1066</v>
      </c>
      <c r="M374" s="44">
        <v>8.708999E7</v>
      </c>
      <c r="N374" s="44" t="s">
        <v>28</v>
      </c>
      <c r="O374" s="45">
        <v>6.32</v>
      </c>
      <c r="P374" s="44">
        <v>7.899823503798E12</v>
      </c>
      <c r="Q374" s="44">
        <v>1.0</v>
      </c>
    </row>
    <row r="375" ht="15.75" customHeight="1">
      <c r="A375" s="35" t="s">
        <v>1067</v>
      </c>
      <c r="B375" s="36">
        <v>893.6850881404218</v>
      </c>
      <c r="C375" s="36">
        <f>'Lista de Preço 02_2022'!$B375*0.9*0.9*0.9*0.9*0.9*0.97</f>
        <v>511.8807445</v>
      </c>
      <c r="D375" s="36">
        <f>'Lista de Preço 02_2022'!$C375*1.1712</f>
        <v>599.5147279</v>
      </c>
      <c r="E375" s="37">
        <v>3.25</v>
      </c>
      <c r="F375" s="38">
        <v>0.18</v>
      </c>
      <c r="G375" s="38" t="s">
        <v>22</v>
      </c>
      <c r="H375" s="39" t="s">
        <v>229</v>
      </c>
      <c r="I375" s="40" t="s">
        <v>1068</v>
      </c>
      <c r="J375" s="41" t="s">
        <v>270</v>
      </c>
      <c r="K375" s="42" t="s">
        <v>282</v>
      </c>
      <c r="L375" s="43" t="s">
        <v>1069</v>
      </c>
      <c r="M375" s="44">
        <v>8.708999E7</v>
      </c>
      <c r="N375" s="44" t="s">
        <v>28</v>
      </c>
      <c r="O375" s="45">
        <v>6.45</v>
      </c>
      <c r="P375" s="44">
        <v>7.899823503804E12</v>
      </c>
      <c r="Q375" s="44">
        <v>1.0</v>
      </c>
    </row>
    <row r="376" ht="15.75" customHeight="1">
      <c r="A376" s="35" t="s">
        <v>1070</v>
      </c>
      <c r="B376" s="36">
        <v>995.6422240710357</v>
      </c>
      <c r="C376" s="36">
        <f>'Lista de Preço 02_2022'!$B376*0.9*0.9*0.9*0.9*0.9*0.97</f>
        <v>570.2792736</v>
      </c>
      <c r="D376" s="36">
        <f>'Lista de Preço 02_2022'!$C376*1.1712</f>
        <v>667.9110852</v>
      </c>
      <c r="E376" s="37">
        <v>3.25</v>
      </c>
      <c r="F376" s="38">
        <v>0.18</v>
      </c>
      <c r="G376" s="38" t="s">
        <v>22</v>
      </c>
      <c r="H376" s="39" t="s">
        <v>229</v>
      </c>
      <c r="I376" s="40" t="s">
        <v>1071</v>
      </c>
      <c r="J376" s="41" t="s">
        <v>270</v>
      </c>
      <c r="K376" s="42" t="s">
        <v>294</v>
      </c>
      <c r="L376" s="43" t="s">
        <v>1072</v>
      </c>
      <c r="M376" s="44">
        <v>8.708999E7</v>
      </c>
      <c r="N376" s="44" t="s">
        <v>28</v>
      </c>
      <c r="O376" s="45">
        <v>7.72</v>
      </c>
      <c r="P376" s="44">
        <v>7.899823503811E12</v>
      </c>
      <c r="Q376" s="44">
        <v>1.0</v>
      </c>
    </row>
    <row r="377" ht="15.75" customHeight="1">
      <c r="A377" s="35" t="s">
        <v>1073</v>
      </c>
      <c r="B377" s="36">
        <v>39.76523246860102</v>
      </c>
      <c r="C377" s="36">
        <f>'Lista de Preço 02_2022'!$B377*0.9*0.9*0.9*0.9*0.9*0.97</f>
        <v>22.77654296</v>
      </c>
      <c r="D377" s="36">
        <f>'Lista de Preço 02_2022'!$C377*1.1712</f>
        <v>26.67588711</v>
      </c>
      <c r="E377" s="37">
        <v>3.25</v>
      </c>
      <c r="F377" s="38">
        <v>0.18</v>
      </c>
      <c r="G377" s="38" t="s">
        <v>37</v>
      </c>
      <c r="H377" s="39" t="s">
        <v>793</v>
      </c>
      <c r="I377" s="40" t="s">
        <v>1074</v>
      </c>
      <c r="J377" s="41" t="s">
        <v>40</v>
      </c>
      <c r="K377" s="42" t="s">
        <v>303</v>
      </c>
      <c r="L377" s="43">
        <v>3.024260105E9</v>
      </c>
      <c r="M377" s="42">
        <v>8.708309E7</v>
      </c>
      <c r="N377" s="44" t="s">
        <v>28</v>
      </c>
      <c r="O377" s="45">
        <v>0.862</v>
      </c>
      <c r="P377" s="44">
        <v>7.898233431615E12</v>
      </c>
      <c r="Q377" s="44">
        <v>1.0</v>
      </c>
    </row>
    <row r="378" ht="15.75" customHeight="1">
      <c r="A378" s="35" t="s">
        <v>1075</v>
      </c>
      <c r="B378" s="36">
        <v>953.8472225696644</v>
      </c>
      <c r="C378" s="36">
        <f>'Lista de Preço 02_2022'!$B378*0.9*0.9*0.9*0.9*0.9*0.97</f>
        <v>546.3401291</v>
      </c>
      <c r="D378" s="36">
        <f>'Lista de Preço 02_2022'!$C378*1.1712</f>
        <v>639.8735592</v>
      </c>
      <c r="E378" s="37">
        <v>3.25</v>
      </c>
      <c r="F378" s="38">
        <v>0.18</v>
      </c>
      <c r="G378" s="38" t="s">
        <v>22</v>
      </c>
      <c r="H378" s="39" t="s">
        <v>229</v>
      </c>
      <c r="I378" s="40" t="s">
        <v>1076</v>
      </c>
      <c r="J378" s="41" t="s">
        <v>270</v>
      </c>
      <c r="K378" s="42" t="s">
        <v>68</v>
      </c>
      <c r="L378" s="43" t="s">
        <v>1077</v>
      </c>
      <c r="M378" s="44">
        <v>8.708999E7</v>
      </c>
      <c r="N378" s="44" t="s">
        <v>28</v>
      </c>
      <c r="O378" s="45">
        <v>8.74</v>
      </c>
      <c r="P378" s="44">
        <v>7.899823502593E12</v>
      </c>
      <c r="Q378" s="44">
        <v>1.0</v>
      </c>
    </row>
    <row r="379" ht="15.75" customHeight="1">
      <c r="A379" s="35" t="s">
        <v>1078</v>
      </c>
      <c r="B379" s="36">
        <v>935.8058216107014</v>
      </c>
      <c r="C379" s="36">
        <f>'Lista de Preço 02_2022'!$B379*0.9*0.9*0.9*0.9*0.9*0.97</f>
        <v>536.0064602</v>
      </c>
      <c r="D379" s="36">
        <f>'Lista de Preço 02_2022'!$C379*1.1712</f>
        <v>627.7707662</v>
      </c>
      <c r="E379" s="37">
        <v>3.25</v>
      </c>
      <c r="F379" s="38">
        <v>0.18</v>
      </c>
      <c r="G379" s="38" t="s">
        <v>22</v>
      </c>
      <c r="H379" s="39" t="s">
        <v>229</v>
      </c>
      <c r="I379" s="40" t="s">
        <v>1079</v>
      </c>
      <c r="J379" s="41" t="s">
        <v>276</v>
      </c>
      <c r="K379" s="42" t="s">
        <v>157</v>
      </c>
      <c r="L379" s="43" t="s">
        <v>1080</v>
      </c>
      <c r="M379" s="44">
        <v>8.708999E7</v>
      </c>
      <c r="N379" s="44" t="s">
        <v>28</v>
      </c>
      <c r="O379" s="45">
        <v>7.62</v>
      </c>
      <c r="P379" s="44">
        <v>7.899823503828E12</v>
      </c>
      <c r="Q379" s="44">
        <v>1.0</v>
      </c>
    </row>
    <row r="380" ht="15.75" customHeight="1">
      <c r="A380" s="35" t="s">
        <v>1081</v>
      </c>
      <c r="B380" s="36">
        <v>846.6490308698732</v>
      </c>
      <c r="C380" s="36">
        <f>'Lista de Preço 02_2022'!$B380*0.9*0.9*0.9*0.9*0.9*0.97</f>
        <v>484.9396527</v>
      </c>
      <c r="D380" s="36">
        <f>'Lista de Preço 02_2022'!$C380*1.1712</f>
        <v>567.9613212</v>
      </c>
      <c r="E380" s="37">
        <v>3.25</v>
      </c>
      <c r="F380" s="38">
        <v>0.18</v>
      </c>
      <c r="G380" s="38" t="s">
        <v>22</v>
      </c>
      <c r="H380" s="39" t="s">
        <v>229</v>
      </c>
      <c r="I380" s="40" t="s">
        <v>1079</v>
      </c>
      <c r="J380" s="41" t="s">
        <v>276</v>
      </c>
      <c r="K380" s="42" t="s">
        <v>157</v>
      </c>
      <c r="L380" s="43" t="s">
        <v>1082</v>
      </c>
      <c r="M380" s="44">
        <v>8.708999E7</v>
      </c>
      <c r="N380" s="44" t="s">
        <v>28</v>
      </c>
      <c r="O380" s="45">
        <v>7.92</v>
      </c>
      <c r="P380" s="44">
        <v>7.899823503835E12</v>
      </c>
      <c r="Q380" s="44">
        <v>1.0</v>
      </c>
    </row>
    <row r="381" ht="15.75" customHeight="1">
      <c r="A381" s="35" t="s">
        <v>1083</v>
      </c>
      <c r="B381" s="36">
        <v>254.0701671850601</v>
      </c>
      <c r="C381" s="36">
        <f>'Lista de Preço 02_2022'!$B381*0.9*0.9*0.9*0.9*0.9*0.97</f>
        <v>145.5251162</v>
      </c>
      <c r="D381" s="36">
        <f>'Lista de Preço 02_2022'!$C381*1.1712</f>
        <v>170.4390161</v>
      </c>
      <c r="E381" s="37">
        <v>3.25</v>
      </c>
      <c r="F381" s="38">
        <v>0.18</v>
      </c>
      <c r="G381" s="38" t="s">
        <v>22</v>
      </c>
      <c r="H381" s="39" t="s">
        <v>70</v>
      </c>
      <c r="I381" s="40" t="s">
        <v>1084</v>
      </c>
      <c r="J381" s="41" t="s">
        <v>1085</v>
      </c>
      <c r="K381" s="42" t="s">
        <v>157</v>
      </c>
      <c r="L381" s="39" t="s">
        <v>1086</v>
      </c>
      <c r="M381" s="44">
        <v>8.708999E7</v>
      </c>
      <c r="N381" s="44" t="s">
        <v>28</v>
      </c>
      <c r="O381" s="45">
        <v>2.91</v>
      </c>
      <c r="P381" s="44">
        <v>7.899823503842E12</v>
      </c>
      <c r="Q381" s="44">
        <v>1.0</v>
      </c>
    </row>
    <row r="382" ht="15.75" customHeight="1">
      <c r="A382" s="35" t="s">
        <v>1087</v>
      </c>
      <c r="B382" s="36">
        <v>211.77309518482926</v>
      </c>
      <c r="C382" s="36">
        <f>'Lista de Preço 02_2022'!$B382*0.9*0.9*0.9*0.9*0.9*0.97</f>
        <v>121.2983981</v>
      </c>
      <c r="D382" s="36">
        <f>'Lista de Preço 02_2022'!$C382*1.1712</f>
        <v>142.0646839</v>
      </c>
      <c r="E382" s="37">
        <v>3.25</v>
      </c>
      <c r="F382" s="38">
        <v>0.18</v>
      </c>
      <c r="G382" s="38" t="s">
        <v>22</v>
      </c>
      <c r="H382" s="39" t="s">
        <v>70</v>
      </c>
      <c r="I382" s="40" t="s">
        <v>1088</v>
      </c>
      <c r="J382" s="41" t="s">
        <v>80</v>
      </c>
      <c r="K382" s="42" t="s">
        <v>625</v>
      </c>
      <c r="L382" s="39" t="s">
        <v>1089</v>
      </c>
      <c r="M382" s="44">
        <v>8.708999E7</v>
      </c>
      <c r="N382" s="44" t="s">
        <v>28</v>
      </c>
      <c r="O382" s="45">
        <v>1.985</v>
      </c>
      <c r="P382" s="44">
        <v>7.898233439727E12</v>
      </c>
      <c r="Q382" s="44">
        <v>1.0</v>
      </c>
    </row>
    <row r="383" ht="15.75" customHeight="1">
      <c r="A383" s="35" t="s">
        <v>1090</v>
      </c>
      <c r="B383" s="36">
        <v>920.9273977915423</v>
      </c>
      <c r="C383" s="36">
        <f>'Lista de Preço 02_2022'!$B383*0.9*0.9*0.9*0.9*0.9*0.97</f>
        <v>527.4844665</v>
      </c>
      <c r="D383" s="36">
        <f>'Lista de Preço 02_2022'!$C383*1.1712</f>
        <v>617.7898072</v>
      </c>
      <c r="E383" s="37">
        <v>3.25</v>
      </c>
      <c r="F383" s="38">
        <v>0.18</v>
      </c>
      <c r="G383" s="38" t="s">
        <v>22</v>
      </c>
      <c r="H383" s="39" t="s">
        <v>229</v>
      </c>
      <c r="I383" s="40" t="s">
        <v>1091</v>
      </c>
      <c r="J383" s="41" t="s">
        <v>276</v>
      </c>
      <c r="K383" s="42" t="s">
        <v>86</v>
      </c>
      <c r="L383" s="43" t="s">
        <v>1092</v>
      </c>
      <c r="M383" s="44">
        <v>8.708999E7</v>
      </c>
      <c r="N383" s="44" t="s">
        <v>28</v>
      </c>
      <c r="O383" s="45">
        <v>8.34</v>
      </c>
      <c r="P383" s="44">
        <v>7.899823503866E12</v>
      </c>
      <c r="Q383" s="44">
        <v>1.0</v>
      </c>
    </row>
    <row r="384" ht="15.75" customHeight="1">
      <c r="A384" s="35" t="s">
        <v>1093</v>
      </c>
      <c r="B384" s="36">
        <v>856.5615043975098</v>
      </c>
      <c r="C384" s="36">
        <f>'Lista de Preço 02_2022'!$B384*0.9*0.9*0.9*0.9*0.9*0.97</f>
        <v>490.6172726</v>
      </c>
      <c r="D384" s="36">
        <f>'Lista de Preço 02_2022'!$C384*1.1712</f>
        <v>574.6109497</v>
      </c>
      <c r="E384" s="37">
        <v>3.25</v>
      </c>
      <c r="F384" s="38">
        <v>0.18</v>
      </c>
      <c r="G384" s="38" t="s">
        <v>22</v>
      </c>
      <c r="H384" s="39" t="s">
        <v>229</v>
      </c>
      <c r="I384" s="40" t="s">
        <v>1091</v>
      </c>
      <c r="J384" s="41" t="s">
        <v>276</v>
      </c>
      <c r="K384" s="42" t="s">
        <v>86</v>
      </c>
      <c r="L384" s="43" t="s">
        <v>1094</v>
      </c>
      <c r="M384" s="44">
        <v>8.708999E7</v>
      </c>
      <c r="N384" s="44" t="s">
        <v>28</v>
      </c>
      <c r="O384" s="45">
        <v>7.085</v>
      </c>
      <c r="P384" s="44">
        <v>7.899823503873E12</v>
      </c>
      <c r="Q384" s="44">
        <v>1.0</v>
      </c>
    </row>
    <row r="385" ht="15.75" customHeight="1">
      <c r="A385" s="35" t="s">
        <v>1095</v>
      </c>
      <c r="B385" s="36">
        <v>184.93271028434597</v>
      </c>
      <c r="C385" s="36">
        <f>'Lista de Preço 02_2022'!$B385*0.9*0.9*0.9*0.9*0.9*0.97</f>
        <v>105.9248886</v>
      </c>
      <c r="D385" s="36">
        <f>'Lista de Preço 02_2022'!$C385*1.1712</f>
        <v>124.0592295</v>
      </c>
      <c r="E385" s="37">
        <v>3.25</v>
      </c>
      <c r="F385" s="38">
        <v>0.18</v>
      </c>
      <c r="G385" s="38" t="s">
        <v>22</v>
      </c>
      <c r="H385" s="39" t="s">
        <v>70</v>
      </c>
      <c r="I385" s="40" t="s">
        <v>1096</v>
      </c>
      <c r="J385" s="41" t="s">
        <v>80</v>
      </c>
      <c r="K385" s="42" t="s">
        <v>68</v>
      </c>
      <c r="L385" s="43" t="s">
        <v>1097</v>
      </c>
      <c r="M385" s="44">
        <v>8.708999E7</v>
      </c>
      <c r="N385" s="44" t="s">
        <v>28</v>
      </c>
      <c r="O385" s="45">
        <v>1.66</v>
      </c>
      <c r="P385" s="44">
        <v>7.89982350388E12</v>
      </c>
      <c r="Q385" s="44">
        <v>1.0</v>
      </c>
    </row>
    <row r="386" ht="15.75" customHeight="1">
      <c r="A386" s="35" t="s">
        <v>1098</v>
      </c>
      <c r="B386" s="36">
        <v>207.99143277081444</v>
      </c>
      <c r="C386" s="36">
        <f>'Lista de Preço 02_2022'!$B386*0.9*0.9*0.9*0.9*0.9*0.97</f>
        <v>119.1323553</v>
      </c>
      <c r="D386" s="36">
        <f>'Lista de Preço 02_2022'!$C386*1.1712</f>
        <v>139.5278145</v>
      </c>
      <c r="E386" s="37">
        <v>3.25</v>
      </c>
      <c r="F386" s="38">
        <v>0.18</v>
      </c>
      <c r="G386" s="38" t="s">
        <v>22</v>
      </c>
      <c r="H386" s="39" t="s">
        <v>70</v>
      </c>
      <c r="I386" s="40" t="s">
        <v>1099</v>
      </c>
      <c r="J386" s="41" t="s">
        <v>80</v>
      </c>
      <c r="K386" s="42" t="s">
        <v>68</v>
      </c>
      <c r="L386" s="43" t="s">
        <v>1100</v>
      </c>
      <c r="M386" s="44">
        <v>8.708999E7</v>
      </c>
      <c r="N386" s="44" t="s">
        <v>28</v>
      </c>
      <c r="O386" s="45">
        <v>1.7</v>
      </c>
      <c r="P386" s="44">
        <v>7.899823503897E12</v>
      </c>
      <c r="Q386" s="44">
        <v>1.0</v>
      </c>
    </row>
    <row r="387" ht="15.75" customHeight="1">
      <c r="A387" s="35" t="s">
        <v>1101</v>
      </c>
      <c r="B387" s="36">
        <v>212.030101368306</v>
      </c>
      <c r="C387" s="36">
        <f>'Lista de Preço 02_2022'!$B387*0.9*0.9*0.9*0.9*0.9*0.97</f>
        <v>121.4456049</v>
      </c>
      <c r="D387" s="36">
        <f>'Lista de Preço 02_2022'!$C387*1.1712</f>
        <v>142.2370925</v>
      </c>
      <c r="E387" s="37">
        <v>3.25</v>
      </c>
      <c r="F387" s="38">
        <v>0.18</v>
      </c>
      <c r="G387" s="38" t="s">
        <v>22</v>
      </c>
      <c r="H387" s="39" t="s">
        <v>70</v>
      </c>
      <c r="I387" s="40" t="s">
        <v>1102</v>
      </c>
      <c r="J387" s="41" t="s">
        <v>80</v>
      </c>
      <c r="K387" s="42" t="s">
        <v>68</v>
      </c>
      <c r="L387" s="43" t="s">
        <v>1103</v>
      </c>
      <c r="M387" s="44">
        <v>8.708999E7</v>
      </c>
      <c r="N387" s="44" t="s">
        <v>28</v>
      </c>
      <c r="O387" s="45">
        <v>1.93</v>
      </c>
      <c r="P387" s="44">
        <v>7.899823503903E12</v>
      </c>
      <c r="Q387" s="44">
        <v>1.0</v>
      </c>
    </row>
    <row r="388" ht="15.75" customHeight="1">
      <c r="A388" s="35" t="s">
        <v>1104</v>
      </c>
      <c r="B388" s="36">
        <v>354.3223981662812</v>
      </c>
      <c r="C388" s="36">
        <f>'Lista de Preço 02_2022'!$B388*0.9*0.9*0.9*0.9*0.9*0.97</f>
        <v>202.9471179</v>
      </c>
      <c r="D388" s="36">
        <f>'Lista de Preço 02_2022'!$C388*1.1712</f>
        <v>237.6916645</v>
      </c>
      <c r="E388" s="37">
        <v>3.25</v>
      </c>
      <c r="F388" s="38">
        <v>0.18</v>
      </c>
      <c r="G388" s="38" t="s">
        <v>37</v>
      </c>
      <c r="H388" s="39" t="s">
        <v>48</v>
      </c>
      <c r="I388" s="40" t="s">
        <v>1105</v>
      </c>
      <c r="J388" s="41" t="s">
        <v>40</v>
      </c>
      <c r="K388" s="42" t="s">
        <v>303</v>
      </c>
      <c r="L388" s="43">
        <v>3.454630701E9</v>
      </c>
      <c r="M388" s="42">
        <v>8.7089482E7</v>
      </c>
      <c r="N388" s="44" t="s">
        <v>28</v>
      </c>
      <c r="O388" s="45">
        <v>4.26</v>
      </c>
      <c r="P388" s="44">
        <v>7.898233431622E12</v>
      </c>
      <c r="Q388" s="44">
        <v>1.0</v>
      </c>
    </row>
    <row r="389" ht="15.75" customHeight="1">
      <c r="A389" s="35" t="s">
        <v>1106</v>
      </c>
      <c r="B389" s="36">
        <v>854.0858931131239</v>
      </c>
      <c r="C389" s="36">
        <f>'Lista de Preço 02_2022'!$B389*0.9*0.9*0.9*0.9*0.9*0.97</f>
        <v>489.1993037</v>
      </c>
      <c r="D389" s="36">
        <f>'Lista de Preço 02_2022'!$C389*1.1712</f>
        <v>572.9502244</v>
      </c>
      <c r="E389" s="37">
        <v>3.25</v>
      </c>
      <c r="F389" s="38">
        <v>0.18</v>
      </c>
      <c r="G389" s="38" t="s">
        <v>22</v>
      </c>
      <c r="H389" s="39" t="s">
        <v>229</v>
      </c>
      <c r="I389" s="40" t="s">
        <v>1107</v>
      </c>
      <c r="J389" s="41" t="s">
        <v>231</v>
      </c>
      <c r="K389" s="42" t="s">
        <v>68</v>
      </c>
      <c r="L389" s="43" t="s">
        <v>1108</v>
      </c>
      <c r="M389" s="44">
        <v>8.708999E7</v>
      </c>
      <c r="N389" s="44" t="s">
        <v>28</v>
      </c>
      <c r="O389" s="45">
        <v>6.74</v>
      </c>
      <c r="P389" s="44">
        <v>7.89982350391E12</v>
      </c>
      <c r="Q389" s="44">
        <v>1.0</v>
      </c>
    </row>
    <row r="390" ht="15.75" customHeight="1">
      <c r="A390" s="35" t="s">
        <v>1109</v>
      </c>
      <c r="B390" s="36">
        <v>805.9877570717802</v>
      </c>
      <c r="C390" s="36">
        <f>'Lista de Preço 02_2022'!$B390*0.9*0.9*0.9*0.9*0.9*0.97</f>
        <v>461.6498794</v>
      </c>
      <c r="D390" s="36">
        <f>'Lista de Preço 02_2022'!$C390*1.1712</f>
        <v>540.6843387</v>
      </c>
      <c r="E390" s="37">
        <v>3.25</v>
      </c>
      <c r="F390" s="38">
        <v>0.18</v>
      </c>
      <c r="G390" s="38" t="s">
        <v>22</v>
      </c>
      <c r="H390" s="39" t="s">
        <v>229</v>
      </c>
      <c r="I390" s="40" t="s">
        <v>1110</v>
      </c>
      <c r="J390" s="41" t="s">
        <v>231</v>
      </c>
      <c r="K390" s="42" t="s">
        <v>68</v>
      </c>
      <c r="L390" s="43" t="s">
        <v>1111</v>
      </c>
      <c r="M390" s="44">
        <v>8.708999E7</v>
      </c>
      <c r="N390" s="44" t="s">
        <v>28</v>
      </c>
      <c r="O390" s="45">
        <v>5.145</v>
      </c>
      <c r="P390" s="44">
        <v>7.899823503927E12</v>
      </c>
      <c r="Q390" s="44">
        <v>1.0</v>
      </c>
    </row>
    <row r="391" ht="15.75" customHeight="1">
      <c r="A391" s="35" t="s">
        <v>1112</v>
      </c>
      <c r="B391" s="36">
        <v>900.1180758640503</v>
      </c>
      <c r="C391" s="36">
        <f>'Lista de Preço 02_2022'!$B391*0.9*0.9*0.9*0.9*0.9*0.97</f>
        <v>515.5654009</v>
      </c>
      <c r="D391" s="36">
        <f>'Lista de Preço 02_2022'!$C391*1.1712</f>
        <v>603.8301976</v>
      </c>
      <c r="E391" s="37">
        <v>3.25</v>
      </c>
      <c r="F391" s="38">
        <v>0.18</v>
      </c>
      <c r="G391" s="38" t="s">
        <v>22</v>
      </c>
      <c r="H391" s="39" t="s">
        <v>229</v>
      </c>
      <c r="I391" s="40" t="s">
        <v>1113</v>
      </c>
      <c r="J391" s="41" t="s">
        <v>231</v>
      </c>
      <c r="K391" s="42" t="s">
        <v>68</v>
      </c>
      <c r="L391" s="43" t="s">
        <v>1114</v>
      </c>
      <c r="M391" s="44">
        <v>8.708999E7</v>
      </c>
      <c r="N391" s="44" t="s">
        <v>28</v>
      </c>
      <c r="O391" s="45">
        <v>7.67</v>
      </c>
      <c r="P391" s="44">
        <v>7.899823503934E12</v>
      </c>
      <c r="Q391" s="44">
        <v>1.0</v>
      </c>
    </row>
    <row r="392" ht="15.75" customHeight="1">
      <c r="A392" s="35" t="s">
        <v>1115</v>
      </c>
      <c r="B392" s="36">
        <v>839.2322254068088</v>
      </c>
      <c r="C392" s="36">
        <f>'Lista de Preço 02_2022'!$B392*0.9*0.9*0.9*0.9*0.9*0.97</f>
        <v>480.6914897</v>
      </c>
      <c r="D392" s="36">
        <f>'Lista de Preço 02_2022'!$C392*1.1712</f>
        <v>562.9858727</v>
      </c>
      <c r="E392" s="37">
        <v>3.25</v>
      </c>
      <c r="F392" s="38">
        <v>0.18</v>
      </c>
      <c r="G392" s="38" t="s">
        <v>22</v>
      </c>
      <c r="H392" s="39" t="s">
        <v>229</v>
      </c>
      <c r="I392" s="40" t="s">
        <v>1116</v>
      </c>
      <c r="J392" s="41" t="s">
        <v>231</v>
      </c>
      <c r="K392" s="42" t="s">
        <v>68</v>
      </c>
      <c r="L392" s="43" t="s">
        <v>1117</v>
      </c>
      <c r="M392" s="44">
        <v>8.708999E7</v>
      </c>
      <c r="N392" s="44" t="s">
        <v>28</v>
      </c>
      <c r="O392" s="45">
        <v>5.68</v>
      </c>
      <c r="P392" s="44">
        <v>7.899823503941E12</v>
      </c>
      <c r="Q392" s="44">
        <v>1.0</v>
      </c>
    </row>
    <row r="393" ht="15.75" customHeight="1">
      <c r="A393" s="35" t="s">
        <v>1118</v>
      </c>
      <c r="B393" s="36">
        <v>841.0257709653496</v>
      </c>
      <c r="C393" s="36">
        <f>'Lista de Preço 02_2022'!$B393*0.9*0.9*0.9*0.9*0.9*0.97</f>
        <v>481.7187883</v>
      </c>
      <c r="D393" s="36">
        <f>'Lista de Preço 02_2022'!$C393*1.1712</f>
        <v>564.1890448</v>
      </c>
      <c r="E393" s="37">
        <v>3.25</v>
      </c>
      <c r="F393" s="38">
        <v>0.18</v>
      </c>
      <c r="G393" s="38" t="s">
        <v>22</v>
      </c>
      <c r="H393" s="39" t="s">
        <v>229</v>
      </c>
      <c r="I393" s="40" t="s">
        <v>1119</v>
      </c>
      <c r="J393" s="41" t="s">
        <v>231</v>
      </c>
      <c r="K393" s="42" t="s">
        <v>153</v>
      </c>
      <c r="L393" s="43" t="s">
        <v>1120</v>
      </c>
      <c r="M393" s="44">
        <v>8.708999E7</v>
      </c>
      <c r="N393" s="44" t="s">
        <v>28</v>
      </c>
      <c r="O393" s="45">
        <v>6.26</v>
      </c>
      <c r="P393" s="44">
        <v>7.899823502609E12</v>
      </c>
      <c r="Q393" s="44">
        <v>1.0</v>
      </c>
    </row>
    <row r="394" ht="15.75" customHeight="1">
      <c r="A394" s="35" t="s">
        <v>1121</v>
      </c>
      <c r="B394" s="36">
        <v>821.8953435379997</v>
      </c>
      <c r="C394" s="36">
        <f>'Lista de Preço 02_2022'!$B394*0.9*0.9*0.9*0.9*0.9*0.97</f>
        <v>470.761352</v>
      </c>
      <c r="D394" s="36">
        <f>'Lista de Preço 02_2022'!$C394*1.1712</f>
        <v>551.3556954</v>
      </c>
      <c r="E394" s="37">
        <v>3.25</v>
      </c>
      <c r="F394" s="38">
        <v>0.18</v>
      </c>
      <c r="G394" s="38" t="s">
        <v>22</v>
      </c>
      <c r="H394" s="39" t="s">
        <v>229</v>
      </c>
      <c r="I394" s="40" t="s">
        <v>1119</v>
      </c>
      <c r="J394" s="41" t="s">
        <v>231</v>
      </c>
      <c r="K394" s="42" t="s">
        <v>153</v>
      </c>
      <c r="L394" s="43" t="s">
        <v>1122</v>
      </c>
      <c r="M394" s="44">
        <v>8.708999E7</v>
      </c>
      <c r="N394" s="44" t="s">
        <v>28</v>
      </c>
      <c r="O394" s="45">
        <v>5.74</v>
      </c>
      <c r="P394" s="44">
        <v>7.899823502661E12</v>
      </c>
      <c r="Q394" s="44">
        <v>1.0</v>
      </c>
    </row>
    <row r="395" ht="15.75" customHeight="1">
      <c r="A395" s="35" t="s">
        <v>1123</v>
      </c>
      <c r="B395" s="36">
        <v>649.0440411450212</v>
      </c>
      <c r="C395" s="36">
        <f>'Lista de Preço 02_2022'!$B395*0.9*0.9*0.9*0.9*0.9*0.97</f>
        <v>371.7563954</v>
      </c>
      <c r="D395" s="36">
        <f>'Lista de Preço 02_2022'!$C395*1.1712</f>
        <v>435.4010903</v>
      </c>
      <c r="E395" s="37">
        <v>3.25</v>
      </c>
      <c r="F395" s="38">
        <v>0.18</v>
      </c>
      <c r="G395" s="38" t="s">
        <v>22</v>
      </c>
      <c r="H395" s="39" t="s">
        <v>229</v>
      </c>
      <c r="I395" s="40" t="s">
        <v>1124</v>
      </c>
      <c r="J395" s="41" t="s">
        <v>231</v>
      </c>
      <c r="K395" s="42" t="s">
        <v>73</v>
      </c>
      <c r="L395" s="43" t="s">
        <v>1125</v>
      </c>
      <c r="M395" s="44">
        <v>8.708999E7</v>
      </c>
      <c r="N395" s="44" t="s">
        <v>28</v>
      </c>
      <c r="O395" s="45">
        <v>5.94</v>
      </c>
      <c r="P395" s="44">
        <v>7.899823503958E12</v>
      </c>
      <c r="Q395" s="44">
        <v>1.0</v>
      </c>
    </row>
    <row r="396" ht="15.75" customHeight="1">
      <c r="A396" s="35" t="s">
        <v>1126</v>
      </c>
      <c r="B396" s="36">
        <v>681.2038809823501</v>
      </c>
      <c r="C396" s="36">
        <f>'Lista de Preço 02_2022'!$B396*0.9*0.9*0.9*0.9*0.9*0.97</f>
        <v>390.1767573</v>
      </c>
      <c r="D396" s="36">
        <f>'Lista de Preço 02_2022'!$C396*1.1712</f>
        <v>456.9750181</v>
      </c>
      <c r="E396" s="37">
        <v>3.25</v>
      </c>
      <c r="F396" s="38">
        <v>0.18</v>
      </c>
      <c r="G396" s="38" t="s">
        <v>22</v>
      </c>
      <c r="H396" s="39" t="s">
        <v>229</v>
      </c>
      <c r="I396" s="40" t="s">
        <v>1124</v>
      </c>
      <c r="J396" s="41" t="s">
        <v>231</v>
      </c>
      <c r="K396" s="42" t="s">
        <v>73</v>
      </c>
      <c r="L396" s="43" t="s">
        <v>1127</v>
      </c>
      <c r="M396" s="44">
        <v>8.708999E7</v>
      </c>
      <c r="N396" s="44" t="s">
        <v>28</v>
      </c>
      <c r="O396" s="45">
        <v>5.02</v>
      </c>
      <c r="P396" s="44">
        <v>7.899823503965E12</v>
      </c>
      <c r="Q396" s="44">
        <v>1.0</v>
      </c>
    </row>
    <row r="397" ht="15.75" customHeight="1">
      <c r="A397" s="35" t="s">
        <v>1128</v>
      </c>
      <c r="B397" s="36">
        <v>782.3002473803056</v>
      </c>
      <c r="C397" s="36">
        <f>'Lista de Preço 02_2022'!$B397*0.9*0.9*0.9*0.9*0.9*0.97</f>
        <v>448.0822589</v>
      </c>
      <c r="D397" s="36">
        <f>'Lista de Preço 02_2022'!$C397*1.1712</f>
        <v>524.7939416</v>
      </c>
      <c r="E397" s="37">
        <v>3.25</v>
      </c>
      <c r="F397" s="38">
        <v>0.18</v>
      </c>
      <c r="G397" s="38" t="s">
        <v>22</v>
      </c>
      <c r="H397" s="39" t="s">
        <v>229</v>
      </c>
      <c r="I397" s="40" t="s">
        <v>1129</v>
      </c>
      <c r="J397" s="41" t="s">
        <v>231</v>
      </c>
      <c r="K397" s="42" t="s">
        <v>157</v>
      </c>
      <c r="L397" s="43" t="s">
        <v>1130</v>
      </c>
      <c r="M397" s="44">
        <v>8.708999E7</v>
      </c>
      <c r="N397" s="44" t="s">
        <v>28</v>
      </c>
      <c r="O397" s="45">
        <v>7.515</v>
      </c>
      <c r="P397" s="44">
        <v>7.899823502616E12</v>
      </c>
      <c r="Q397" s="44">
        <v>1.0</v>
      </c>
    </row>
    <row r="398" ht="15.75" customHeight="1">
      <c r="A398" s="35" t="s">
        <v>1131</v>
      </c>
      <c r="B398" s="36">
        <v>788.461660280015</v>
      </c>
      <c r="C398" s="36">
        <f>'Lista de Preço 02_2022'!$B398*0.9*0.9*0.9*0.9*0.9*0.97</f>
        <v>451.611364</v>
      </c>
      <c r="D398" s="36">
        <f>'Lista de Preço 02_2022'!$C398*1.1712</f>
        <v>528.9272295</v>
      </c>
      <c r="E398" s="37">
        <v>3.25</v>
      </c>
      <c r="F398" s="38">
        <v>0.18</v>
      </c>
      <c r="G398" s="38" t="s">
        <v>22</v>
      </c>
      <c r="H398" s="39" t="s">
        <v>229</v>
      </c>
      <c r="I398" s="40" t="s">
        <v>1129</v>
      </c>
      <c r="J398" s="41" t="s">
        <v>231</v>
      </c>
      <c r="K398" s="42" t="s">
        <v>157</v>
      </c>
      <c r="L398" s="43" t="s">
        <v>1132</v>
      </c>
      <c r="M398" s="44">
        <v>8.708999E7</v>
      </c>
      <c r="N398" s="44" t="s">
        <v>28</v>
      </c>
      <c r="O398" s="45">
        <v>6.4</v>
      </c>
      <c r="P398" s="44">
        <v>7.899823502623E12</v>
      </c>
      <c r="Q398" s="44">
        <v>1.0</v>
      </c>
    </row>
    <row r="399" ht="15.75" customHeight="1">
      <c r="A399" s="35" t="s">
        <v>1133</v>
      </c>
      <c r="B399" s="36">
        <v>241.1065587048124</v>
      </c>
      <c r="C399" s="36">
        <f>'Lista de Preço 02_2022'!$B399*0.9*0.9*0.9*0.9*0.9*0.97</f>
        <v>138.0998815</v>
      </c>
      <c r="D399" s="36">
        <f>'Lista de Preço 02_2022'!$C399*1.1712</f>
        <v>161.7425812</v>
      </c>
      <c r="E399" s="37">
        <v>3.25</v>
      </c>
      <c r="F399" s="38">
        <v>0.18</v>
      </c>
      <c r="G399" s="38" t="s">
        <v>37</v>
      </c>
      <c r="H399" s="39" t="s">
        <v>48</v>
      </c>
      <c r="I399" s="40" t="s">
        <v>1134</v>
      </c>
      <c r="J399" s="41" t="s">
        <v>40</v>
      </c>
      <c r="K399" s="42" t="s">
        <v>303</v>
      </c>
      <c r="L399" s="43">
        <v>3.414630001E9</v>
      </c>
      <c r="M399" s="42">
        <v>8.7089482E7</v>
      </c>
      <c r="N399" s="44" t="s">
        <v>28</v>
      </c>
      <c r="O399" s="45">
        <v>2.64</v>
      </c>
      <c r="P399" s="44">
        <v>7.898233431639E12</v>
      </c>
      <c r="Q399" s="44">
        <v>1.0</v>
      </c>
    </row>
    <row r="400" ht="16.5" customHeight="1">
      <c r="A400" s="35" t="s">
        <v>1135</v>
      </c>
      <c r="B400" s="36">
        <v>207.99143277081444</v>
      </c>
      <c r="C400" s="36">
        <f>'Lista de Preço 02_2022'!$B400*0.9*0.9*0.9*0.9*0.9*0.97</f>
        <v>119.1323553</v>
      </c>
      <c r="D400" s="36">
        <f>'Lista de Preço 02_2022'!$C400*1.1712</f>
        <v>139.5278145</v>
      </c>
      <c r="E400" s="37">
        <v>3.25</v>
      </c>
      <c r="F400" s="38">
        <v>0.18</v>
      </c>
      <c r="G400" s="38" t="s">
        <v>22</v>
      </c>
      <c r="H400" s="39" t="s">
        <v>70</v>
      </c>
      <c r="I400" s="40" t="s">
        <v>1136</v>
      </c>
      <c r="J400" s="41" t="s">
        <v>80</v>
      </c>
      <c r="K400" s="42" t="s">
        <v>68</v>
      </c>
      <c r="L400" s="39" t="s">
        <v>1137</v>
      </c>
      <c r="M400" s="44">
        <v>8.708999E7</v>
      </c>
      <c r="N400" s="44" t="s">
        <v>28</v>
      </c>
      <c r="O400" s="45">
        <v>1.76</v>
      </c>
      <c r="P400" s="44">
        <v>7.899823503972E12</v>
      </c>
      <c r="Q400" s="44">
        <v>1.0</v>
      </c>
    </row>
    <row r="401" ht="15.75" customHeight="1">
      <c r="A401" s="35" t="s">
        <v>1138</v>
      </c>
      <c r="B401" s="36">
        <v>890.6034101135282</v>
      </c>
      <c r="C401" s="36">
        <f>'Lista de Preço 02_2022'!$B401*0.9*0.9*0.9*0.9*0.9*0.97</f>
        <v>510.1156354</v>
      </c>
      <c r="D401" s="36">
        <f>'Lista de Preço 02_2022'!$C401*1.1712</f>
        <v>597.4474322</v>
      </c>
      <c r="E401" s="37">
        <v>3.25</v>
      </c>
      <c r="F401" s="38">
        <v>0.18</v>
      </c>
      <c r="G401" s="38" t="s">
        <v>22</v>
      </c>
      <c r="H401" s="39" t="s">
        <v>229</v>
      </c>
      <c r="I401" s="40" t="s">
        <v>1139</v>
      </c>
      <c r="J401" s="41" t="s">
        <v>231</v>
      </c>
      <c r="K401" s="42" t="s">
        <v>68</v>
      </c>
      <c r="L401" s="43" t="s">
        <v>1140</v>
      </c>
      <c r="M401" s="44">
        <v>8.708999E7</v>
      </c>
      <c r="N401" s="44" t="s">
        <v>28</v>
      </c>
      <c r="O401" s="45">
        <v>6.94</v>
      </c>
      <c r="P401" s="44">
        <v>7.899823503989E12</v>
      </c>
      <c r="Q401" s="44">
        <v>1.0</v>
      </c>
    </row>
    <row r="402" ht="15.75" customHeight="1">
      <c r="A402" s="35" t="s">
        <v>1141</v>
      </c>
      <c r="B402" s="36">
        <v>857.0341210972563</v>
      </c>
      <c r="C402" s="36">
        <f>'Lista de Preço 02_2022'!$B402*0.9*0.9*0.9*0.9*0.9*0.97</f>
        <v>490.8879758</v>
      </c>
      <c r="D402" s="36">
        <f>'Lista de Preço 02_2022'!$C402*1.1712</f>
        <v>574.9279973</v>
      </c>
      <c r="E402" s="37">
        <v>3.25</v>
      </c>
      <c r="F402" s="38">
        <v>0.18</v>
      </c>
      <c r="G402" s="38" t="s">
        <v>22</v>
      </c>
      <c r="H402" s="39" t="s">
        <v>229</v>
      </c>
      <c r="I402" s="40" t="s">
        <v>1142</v>
      </c>
      <c r="J402" s="41" t="s">
        <v>231</v>
      </c>
      <c r="K402" s="42" t="s">
        <v>68</v>
      </c>
      <c r="L402" s="43" t="s">
        <v>1143</v>
      </c>
      <c r="M402" s="44">
        <v>8.708999E7</v>
      </c>
      <c r="N402" s="44" t="s">
        <v>28</v>
      </c>
      <c r="O402" s="45">
        <v>5.48</v>
      </c>
      <c r="P402" s="44">
        <v>7.899823503996E12</v>
      </c>
      <c r="Q402" s="44">
        <v>1.0</v>
      </c>
    </row>
    <row r="403" ht="15.75" customHeight="1">
      <c r="A403" s="35" t="s">
        <v>1144</v>
      </c>
      <c r="B403" s="36">
        <v>1143.788128824174</v>
      </c>
      <c r="C403" s="36">
        <f>'Lista de Preço 02_2022'!$B403*0.9*0.9*0.9*0.9*0.9*0.97</f>
        <v>655.1335886</v>
      </c>
      <c r="D403" s="36">
        <f>'Lista de Preço 02_2022'!$C403*1.1712</f>
        <v>767.292459</v>
      </c>
      <c r="E403" s="37">
        <v>3.25</v>
      </c>
      <c r="F403" s="38">
        <v>0.18</v>
      </c>
      <c r="G403" s="38" t="s">
        <v>22</v>
      </c>
      <c r="H403" s="39" t="s">
        <v>229</v>
      </c>
      <c r="I403" s="40" t="s">
        <v>1145</v>
      </c>
      <c r="J403" s="41" t="s">
        <v>276</v>
      </c>
      <c r="K403" s="42" t="s">
        <v>153</v>
      </c>
      <c r="L403" s="43" t="s">
        <v>1146</v>
      </c>
      <c r="M403" s="44">
        <v>8.708999E7</v>
      </c>
      <c r="N403" s="44" t="s">
        <v>28</v>
      </c>
      <c r="O403" s="45">
        <v>9.24</v>
      </c>
      <c r="P403" s="44">
        <v>7.899823504009E12</v>
      </c>
      <c r="Q403" s="44">
        <v>1.0</v>
      </c>
    </row>
    <row r="404" ht="15.75" customHeight="1">
      <c r="A404" s="35" t="s">
        <v>1147</v>
      </c>
      <c r="B404" s="36">
        <v>923.6938934018435</v>
      </c>
      <c r="C404" s="36">
        <f>'Lista de Preço 02_2022'!$B404*0.9*0.9*0.9*0.9*0.9*0.97</f>
        <v>529.0690469</v>
      </c>
      <c r="D404" s="36">
        <f>'Lista de Preço 02_2022'!$C404*1.1712</f>
        <v>619.6456677</v>
      </c>
      <c r="E404" s="37">
        <v>3.25</v>
      </c>
      <c r="F404" s="38">
        <v>0.18</v>
      </c>
      <c r="G404" s="38" t="s">
        <v>22</v>
      </c>
      <c r="H404" s="39" t="s">
        <v>229</v>
      </c>
      <c r="I404" s="40" t="s">
        <v>1145</v>
      </c>
      <c r="J404" s="41" t="s">
        <v>276</v>
      </c>
      <c r="K404" s="42" t="s">
        <v>153</v>
      </c>
      <c r="L404" s="43" t="s">
        <v>1148</v>
      </c>
      <c r="M404" s="44">
        <v>8.708999E7</v>
      </c>
      <c r="N404" s="44" t="s">
        <v>28</v>
      </c>
      <c r="O404" s="45">
        <v>7.5</v>
      </c>
      <c r="P404" s="44">
        <v>7.899823504016E12</v>
      </c>
      <c r="Q404" s="44">
        <v>1.0</v>
      </c>
    </row>
    <row r="405" ht="15.75" customHeight="1">
      <c r="A405" s="35" t="s">
        <v>1149</v>
      </c>
      <c r="B405" s="36">
        <v>213.1912185900848</v>
      </c>
      <c r="C405" s="36">
        <f>'Lista de Preço 02_2022'!$B405*0.9*0.9*0.9*0.9*0.9*0.97</f>
        <v>122.1106642</v>
      </c>
      <c r="D405" s="36">
        <f>'Lista de Preço 02_2022'!$C405*1.1712</f>
        <v>143.0160099</v>
      </c>
      <c r="E405" s="37">
        <v>3.25</v>
      </c>
      <c r="F405" s="38">
        <v>0.18</v>
      </c>
      <c r="G405" s="38" t="s">
        <v>22</v>
      </c>
      <c r="H405" s="39" t="s">
        <v>70</v>
      </c>
      <c r="I405" s="40" t="s">
        <v>1142</v>
      </c>
      <c r="J405" s="41" t="s">
        <v>80</v>
      </c>
      <c r="K405" s="42" t="s">
        <v>68</v>
      </c>
      <c r="L405" s="43" t="s">
        <v>1150</v>
      </c>
      <c r="M405" s="44">
        <v>8.708999E7</v>
      </c>
      <c r="N405" s="44" t="s">
        <v>28</v>
      </c>
      <c r="O405" s="45">
        <v>1.9</v>
      </c>
      <c r="P405" s="44">
        <v>7.899823504023E12</v>
      </c>
      <c r="Q405" s="44">
        <v>1.0</v>
      </c>
    </row>
    <row r="406" ht="15.75" customHeight="1">
      <c r="A406" s="35" t="s">
        <v>1151</v>
      </c>
      <c r="B406" s="36">
        <v>841.7078366911944</v>
      </c>
      <c r="C406" s="36">
        <f>'Lista de Preço 02_2022'!$B406*0.9*0.9*0.9*0.9*0.9*0.97</f>
        <v>482.1094587</v>
      </c>
      <c r="D406" s="36">
        <f>'Lista de Preço 02_2022'!$C406*1.1712</f>
        <v>564.646598</v>
      </c>
      <c r="E406" s="37">
        <v>3.25</v>
      </c>
      <c r="F406" s="38">
        <v>0.18</v>
      </c>
      <c r="G406" s="38" t="s">
        <v>22</v>
      </c>
      <c r="H406" s="39" t="s">
        <v>229</v>
      </c>
      <c r="I406" s="40" t="s">
        <v>1152</v>
      </c>
      <c r="J406" s="41" t="s">
        <v>231</v>
      </c>
      <c r="K406" s="42" t="s">
        <v>668</v>
      </c>
      <c r="L406" s="43" t="s">
        <v>1153</v>
      </c>
      <c r="M406" s="44">
        <v>8.708999E7</v>
      </c>
      <c r="N406" s="44" t="s">
        <v>28</v>
      </c>
      <c r="O406" s="45">
        <v>5.74</v>
      </c>
      <c r="P406" s="44">
        <v>7.89982350403E12</v>
      </c>
      <c r="Q406" s="44">
        <v>1.0</v>
      </c>
    </row>
    <row r="407" ht="15.75" customHeight="1">
      <c r="A407" s="35" t="s">
        <v>1154</v>
      </c>
      <c r="B407" s="36">
        <v>881.3285011744293</v>
      </c>
      <c r="C407" s="36">
        <f>'Lista de Preço 02_2022'!$B407*0.9*0.9*0.9*0.9*0.9*0.97</f>
        <v>504.8031967</v>
      </c>
      <c r="D407" s="36">
        <f>'Lista de Preço 02_2022'!$C407*1.1712</f>
        <v>591.2255039</v>
      </c>
      <c r="E407" s="37">
        <v>3.25</v>
      </c>
      <c r="F407" s="38">
        <v>0.18</v>
      </c>
      <c r="G407" s="38" t="s">
        <v>22</v>
      </c>
      <c r="H407" s="39" t="s">
        <v>229</v>
      </c>
      <c r="I407" s="40" t="s">
        <v>1152</v>
      </c>
      <c r="J407" s="41" t="s">
        <v>231</v>
      </c>
      <c r="K407" s="42" t="s">
        <v>668</v>
      </c>
      <c r="L407" s="43" t="s">
        <v>1155</v>
      </c>
      <c r="M407" s="44">
        <v>8.708999E7</v>
      </c>
      <c r="N407" s="44" t="s">
        <v>28</v>
      </c>
      <c r="O407" s="45">
        <v>7.125</v>
      </c>
      <c r="P407" s="44">
        <v>7.899823504047E12</v>
      </c>
      <c r="Q407" s="44">
        <v>1.0</v>
      </c>
    </row>
    <row r="408" ht="15.75" customHeight="1">
      <c r="A408" s="35" t="s">
        <v>1156</v>
      </c>
      <c r="B408" s="36">
        <v>286.8324175631801</v>
      </c>
      <c r="C408" s="36">
        <f>'Lista de Preço 02_2022'!$B408*0.9*0.9*0.9*0.9*0.9*0.97</f>
        <v>164.290524</v>
      </c>
      <c r="D408" s="36">
        <f>'Lista de Preço 02_2022'!$C408*1.1712</f>
        <v>192.4170617</v>
      </c>
      <c r="E408" s="37">
        <v>3.25</v>
      </c>
      <c r="F408" s="38">
        <v>0.18</v>
      </c>
      <c r="G408" s="38" t="s">
        <v>37</v>
      </c>
      <c r="H408" s="39" t="s">
        <v>48</v>
      </c>
      <c r="I408" s="40" t="s">
        <v>1157</v>
      </c>
      <c r="J408" s="41" t="s">
        <v>40</v>
      </c>
      <c r="K408" s="42" t="s">
        <v>303</v>
      </c>
      <c r="L408" s="43">
        <v>3.454630301E9</v>
      </c>
      <c r="M408" s="42">
        <v>8.7089482E7</v>
      </c>
      <c r="N408" s="44" t="s">
        <v>28</v>
      </c>
      <c r="O408" s="45">
        <v>3.466</v>
      </c>
      <c r="P408" s="44">
        <v>7.898233431646E12</v>
      </c>
      <c r="Q408" s="44">
        <v>1.0</v>
      </c>
    </row>
    <row r="409" ht="15.75" customHeight="1">
      <c r="A409" s="35" t="s">
        <v>1158</v>
      </c>
      <c r="B409" s="36">
        <v>759.853663127416</v>
      </c>
      <c r="C409" s="36">
        <f>'Lista de Preço 02_2022'!$B409*0.9*0.9*0.9*0.9*0.9*0.97</f>
        <v>435.2254099</v>
      </c>
      <c r="D409" s="36">
        <f>'Lista de Preço 02_2022'!$C409*1.1712</f>
        <v>509.736</v>
      </c>
      <c r="E409" s="37">
        <v>3.25</v>
      </c>
      <c r="F409" s="38">
        <v>0.18</v>
      </c>
      <c r="G409" s="38" t="s">
        <v>22</v>
      </c>
      <c r="H409" s="39" t="s">
        <v>229</v>
      </c>
      <c r="I409" s="40" t="s">
        <v>1159</v>
      </c>
      <c r="J409" s="41" t="s">
        <v>231</v>
      </c>
      <c r="K409" s="42" t="s">
        <v>68</v>
      </c>
      <c r="L409" s="43" t="s">
        <v>1160</v>
      </c>
      <c r="M409" s="44">
        <v>8.708999E7</v>
      </c>
      <c r="N409" s="44" t="s">
        <v>28</v>
      </c>
      <c r="O409" s="45">
        <v>4.54</v>
      </c>
      <c r="P409" s="44">
        <v>7.899823504054E12</v>
      </c>
      <c r="Q409" s="44">
        <v>1.0</v>
      </c>
    </row>
    <row r="410" ht="15.75" customHeight="1">
      <c r="A410" s="35" t="s">
        <v>1161</v>
      </c>
      <c r="B410" s="36">
        <v>875.2929793679976</v>
      </c>
      <c r="C410" s="36">
        <f>'Lista de Preço 02_2022'!$B410*0.9*0.9*0.9*0.9*0.9*0.97</f>
        <v>501.3461988</v>
      </c>
      <c r="D410" s="36">
        <f>'Lista de Preço 02_2022'!$C410*1.1712</f>
        <v>587.1766681</v>
      </c>
      <c r="E410" s="37">
        <v>3.25</v>
      </c>
      <c r="F410" s="38">
        <v>0.18</v>
      </c>
      <c r="G410" s="38" t="s">
        <v>22</v>
      </c>
      <c r="H410" s="39" t="s">
        <v>229</v>
      </c>
      <c r="I410" s="40" t="s">
        <v>1162</v>
      </c>
      <c r="J410" s="41" t="s">
        <v>231</v>
      </c>
      <c r="K410" s="42" t="s">
        <v>68</v>
      </c>
      <c r="L410" s="43" t="s">
        <v>1163</v>
      </c>
      <c r="M410" s="44">
        <v>8.708999E7</v>
      </c>
      <c r="N410" s="44" t="s">
        <v>28</v>
      </c>
      <c r="O410" s="45">
        <v>5.8</v>
      </c>
      <c r="P410" s="44">
        <v>7.899823504061E12</v>
      </c>
      <c r="Q410" s="44">
        <v>1.0</v>
      </c>
    </row>
    <row r="411" ht="15.75" customHeight="1">
      <c r="A411" s="35" t="s">
        <v>1164</v>
      </c>
      <c r="B411" s="36">
        <v>841.7078366911944</v>
      </c>
      <c r="C411" s="36">
        <f>'Lista de Preço 02_2022'!$B411*0.9*0.9*0.9*0.9*0.9*0.97</f>
        <v>482.1094587</v>
      </c>
      <c r="D411" s="36">
        <f>'Lista de Preço 02_2022'!$C411*1.1712</f>
        <v>564.646598</v>
      </c>
      <c r="E411" s="37">
        <v>3.25</v>
      </c>
      <c r="F411" s="38">
        <v>0.18</v>
      </c>
      <c r="G411" s="38" t="s">
        <v>22</v>
      </c>
      <c r="H411" s="39" t="s">
        <v>229</v>
      </c>
      <c r="I411" s="40" t="s">
        <v>1165</v>
      </c>
      <c r="J411" s="41" t="s">
        <v>231</v>
      </c>
      <c r="K411" s="42" t="s">
        <v>507</v>
      </c>
      <c r="L411" s="43" t="s">
        <v>1166</v>
      </c>
      <c r="M411" s="44">
        <v>8.708999E7</v>
      </c>
      <c r="N411" s="44" t="s">
        <v>28</v>
      </c>
      <c r="O411" s="45">
        <v>7.46</v>
      </c>
      <c r="P411" s="44">
        <v>7.899823504078E12</v>
      </c>
      <c r="Q411" s="44">
        <v>1.0</v>
      </c>
    </row>
    <row r="412" ht="15.75" customHeight="1">
      <c r="A412" s="35" t="s">
        <v>1167</v>
      </c>
      <c r="B412" s="36">
        <v>841.4602755627558</v>
      </c>
      <c r="C412" s="36">
        <f>'Lista de Preço 02_2022'!$B412*0.9*0.9*0.9*0.9*0.9*0.97</f>
        <v>481.9676618</v>
      </c>
      <c r="D412" s="36">
        <f>'Lista de Preço 02_2022'!$C412*1.1712</f>
        <v>564.4805255</v>
      </c>
      <c r="E412" s="37">
        <v>3.25</v>
      </c>
      <c r="F412" s="38">
        <v>0.18</v>
      </c>
      <c r="G412" s="38" t="s">
        <v>22</v>
      </c>
      <c r="H412" s="39" t="s">
        <v>229</v>
      </c>
      <c r="I412" s="40" t="s">
        <v>1168</v>
      </c>
      <c r="J412" s="41" t="s">
        <v>231</v>
      </c>
      <c r="K412" s="42" t="s">
        <v>507</v>
      </c>
      <c r="L412" s="43" t="s">
        <v>1169</v>
      </c>
      <c r="M412" s="44">
        <v>8.708999E7</v>
      </c>
      <c r="N412" s="44" t="s">
        <v>28</v>
      </c>
      <c r="O412" s="45">
        <v>6.14</v>
      </c>
      <c r="P412" s="44">
        <v>7.899823504085E12</v>
      </c>
      <c r="Q412" s="44">
        <v>1.0</v>
      </c>
    </row>
    <row r="413" ht="15.75" customHeight="1">
      <c r="A413" s="35" t="s">
        <v>1170</v>
      </c>
      <c r="B413" s="36">
        <v>289.80585386907</v>
      </c>
      <c r="C413" s="36">
        <f>'Lista de Preço 02_2022'!$B413*0.9*0.9*0.9*0.9*0.9*0.97</f>
        <v>165.9936349</v>
      </c>
      <c r="D413" s="36">
        <f>'Lista de Preço 02_2022'!$C413*1.1712</f>
        <v>194.4117452</v>
      </c>
      <c r="E413" s="37">
        <v>3.25</v>
      </c>
      <c r="F413" s="38">
        <v>0.18</v>
      </c>
      <c r="G413" s="38" t="s">
        <v>22</v>
      </c>
      <c r="H413" s="39" t="s">
        <v>70</v>
      </c>
      <c r="I413" s="41" t="s">
        <v>1171</v>
      </c>
      <c r="J413" s="41"/>
      <c r="K413" s="42" t="s">
        <v>507</v>
      </c>
      <c r="L413" s="43"/>
      <c r="M413" s="44">
        <v>8.708999E7</v>
      </c>
      <c r="N413" s="44" t="s">
        <v>28</v>
      </c>
      <c r="O413" s="45">
        <v>1.96</v>
      </c>
      <c r="P413" s="44">
        <v>7.899823504092E12</v>
      </c>
      <c r="Q413" s="44">
        <v>1.0</v>
      </c>
    </row>
    <row r="414" ht="15.75" customHeight="1">
      <c r="A414" s="35" t="s">
        <v>1172</v>
      </c>
      <c r="B414" s="36">
        <v>294.8901727411998</v>
      </c>
      <c r="C414" s="36">
        <f>'Lista de Preço 02_2022'!$B414*0.9*0.9*0.9*0.9*0.9*0.97</f>
        <v>168.9058072</v>
      </c>
      <c r="D414" s="36">
        <f>'Lista de Preço 02_2022'!$C414*1.1712</f>
        <v>197.8224813</v>
      </c>
      <c r="E414" s="37">
        <v>3.25</v>
      </c>
      <c r="F414" s="38">
        <v>0.18</v>
      </c>
      <c r="G414" s="38" t="s">
        <v>22</v>
      </c>
      <c r="H414" s="39" t="s">
        <v>70</v>
      </c>
      <c r="I414" s="40" t="s">
        <v>1173</v>
      </c>
      <c r="J414" s="41" t="s">
        <v>1085</v>
      </c>
      <c r="K414" s="42" t="s">
        <v>153</v>
      </c>
      <c r="L414" s="39" t="s">
        <v>803</v>
      </c>
      <c r="M414" s="44">
        <v>8.708999E7</v>
      </c>
      <c r="N414" s="44" t="s">
        <v>28</v>
      </c>
      <c r="O414" s="45">
        <v>2.3</v>
      </c>
      <c r="P414" s="44">
        <v>7.899823504108E12</v>
      </c>
      <c r="Q414" s="44">
        <v>1.0</v>
      </c>
    </row>
    <row r="415" ht="15.75" customHeight="1">
      <c r="A415" s="35" t="s">
        <v>1174</v>
      </c>
      <c r="B415" s="36">
        <v>280.41535893585996</v>
      </c>
      <c r="C415" s="36">
        <f>'Lista de Preço 02_2022'!$B415*0.9*0.9*0.9*0.9*0.9*0.97</f>
        <v>160.6149913</v>
      </c>
      <c r="D415" s="36">
        <f>'Lista de Preço 02_2022'!$C415*1.1712</f>
        <v>188.1122779</v>
      </c>
      <c r="E415" s="37">
        <v>3.25</v>
      </c>
      <c r="F415" s="38">
        <v>0.18</v>
      </c>
      <c r="G415" s="38" t="s">
        <v>22</v>
      </c>
      <c r="H415" s="39" t="s">
        <v>70</v>
      </c>
      <c r="I415" s="40" t="s">
        <v>1175</v>
      </c>
      <c r="J415" s="41" t="s">
        <v>1085</v>
      </c>
      <c r="K415" s="42" t="s">
        <v>86</v>
      </c>
      <c r="L415" s="39" t="s">
        <v>838</v>
      </c>
      <c r="M415" s="44">
        <v>8.708999E7</v>
      </c>
      <c r="N415" s="44" t="s">
        <v>28</v>
      </c>
      <c r="O415" s="45">
        <v>2.44</v>
      </c>
      <c r="P415" s="44">
        <v>7.899823504115E12</v>
      </c>
      <c r="Q415" s="44">
        <v>1.0</v>
      </c>
    </row>
    <row r="416" ht="15.75" customHeight="1">
      <c r="A416" s="35" t="s">
        <v>1176</v>
      </c>
      <c r="B416" s="36">
        <v>917.9640934702684</v>
      </c>
      <c r="C416" s="36">
        <f>'Lista de Preço 02_2022'!$B416*0.9*0.9*0.9*0.9*0.9*0.97</f>
        <v>525.787159</v>
      </c>
      <c r="D416" s="36">
        <f>'Lista de Preço 02_2022'!$C416*1.1712</f>
        <v>615.8019207</v>
      </c>
      <c r="E416" s="37">
        <v>3.25</v>
      </c>
      <c r="F416" s="38">
        <v>0.18</v>
      </c>
      <c r="G416" s="38" t="s">
        <v>22</v>
      </c>
      <c r="H416" s="39" t="s">
        <v>229</v>
      </c>
      <c r="I416" s="40" t="s">
        <v>1177</v>
      </c>
      <c r="J416" s="41" t="s">
        <v>231</v>
      </c>
      <c r="K416" s="42" t="s">
        <v>68</v>
      </c>
      <c r="L416" s="43" t="s">
        <v>1178</v>
      </c>
      <c r="M416" s="44">
        <v>8.708999E7</v>
      </c>
      <c r="N416" s="44" t="s">
        <v>28</v>
      </c>
      <c r="O416" s="45">
        <v>6.435</v>
      </c>
      <c r="P416" s="44">
        <v>7.899823504122E12</v>
      </c>
      <c r="Q416" s="44">
        <v>1.0</v>
      </c>
    </row>
    <row r="417" ht="15.75" customHeight="1">
      <c r="A417" s="35" t="s">
        <v>1179</v>
      </c>
      <c r="B417" s="36">
        <v>935.7810654978575</v>
      </c>
      <c r="C417" s="36">
        <f>'Lista de Preço 02_2022'!$B417*0.9*0.9*0.9*0.9*0.9*0.97</f>
        <v>535.9922805</v>
      </c>
      <c r="D417" s="36">
        <f>'Lista de Preço 02_2022'!$C417*1.1712</f>
        <v>627.754159</v>
      </c>
      <c r="E417" s="37">
        <v>3.25</v>
      </c>
      <c r="F417" s="38">
        <v>0.18</v>
      </c>
      <c r="G417" s="38" t="s">
        <v>22</v>
      </c>
      <c r="H417" s="39" t="s">
        <v>229</v>
      </c>
      <c r="I417" s="40" t="s">
        <v>1180</v>
      </c>
      <c r="J417" s="41" t="s">
        <v>231</v>
      </c>
      <c r="K417" s="42" t="s">
        <v>68</v>
      </c>
      <c r="L417" s="43" t="s">
        <v>1181</v>
      </c>
      <c r="M417" s="44">
        <v>8.708999E7</v>
      </c>
      <c r="N417" s="44" t="s">
        <v>28</v>
      </c>
      <c r="O417" s="45">
        <v>8.07</v>
      </c>
      <c r="P417" s="44">
        <v>7.899823504139E12</v>
      </c>
      <c r="Q417" s="44">
        <v>1.0</v>
      </c>
    </row>
    <row r="418" ht="15.75" customHeight="1">
      <c r="A418" s="35" t="s">
        <v>1182</v>
      </c>
      <c r="B418" s="36">
        <v>1188.285027662964</v>
      </c>
      <c r="C418" s="36">
        <f>'Lista de Preço 02_2022'!$B418*0.9*0.9*0.9*0.9*0.9*0.97</f>
        <v>680.6203132</v>
      </c>
      <c r="D418" s="36">
        <f>'Lista de Preço 02_2022'!$C418*1.1712</f>
        <v>797.1425108</v>
      </c>
      <c r="E418" s="37">
        <v>3.25</v>
      </c>
      <c r="F418" s="38">
        <v>0.18</v>
      </c>
      <c r="G418" s="38" t="s">
        <v>22</v>
      </c>
      <c r="H418" s="39" t="s">
        <v>229</v>
      </c>
      <c r="I418" s="40" t="s">
        <v>1183</v>
      </c>
      <c r="J418" s="41" t="s">
        <v>231</v>
      </c>
      <c r="K418" s="42" t="s">
        <v>68</v>
      </c>
      <c r="L418" s="43" t="s">
        <v>1184</v>
      </c>
      <c r="M418" s="44">
        <v>8.708999E7</v>
      </c>
      <c r="N418" s="44" t="s">
        <v>28</v>
      </c>
      <c r="O418" s="45">
        <v>5.655</v>
      </c>
      <c r="P418" s="44">
        <v>7.899823504146E12</v>
      </c>
      <c r="Q418" s="44">
        <v>1.0</v>
      </c>
    </row>
    <row r="419" ht="15.75" customHeight="1">
      <c r="A419" s="35" t="s">
        <v>1185</v>
      </c>
      <c r="B419" s="36">
        <v>382.2712013769537</v>
      </c>
      <c r="C419" s="36">
        <f>'Lista de Preço 02_2022'!$B419*0.9*0.9*0.9*0.9*0.9*0.97</f>
        <v>218.9555021</v>
      </c>
      <c r="D419" s="36">
        <f>'Lista de Preço 02_2022'!$C419*1.1712</f>
        <v>256.440684</v>
      </c>
      <c r="E419" s="37">
        <v>3.25</v>
      </c>
      <c r="F419" s="38">
        <v>0.18</v>
      </c>
      <c r="G419" s="38" t="s">
        <v>37</v>
      </c>
      <c r="H419" s="39" t="s">
        <v>48</v>
      </c>
      <c r="I419" s="40" t="s">
        <v>1186</v>
      </c>
      <c r="J419" s="41" t="s">
        <v>40</v>
      </c>
      <c r="K419" s="42" t="s">
        <v>303</v>
      </c>
      <c r="L419" s="43">
        <v>3.603230869E9</v>
      </c>
      <c r="M419" s="42">
        <v>8.708999E7</v>
      </c>
      <c r="N419" s="44" t="s">
        <v>28</v>
      </c>
      <c r="O419" s="45">
        <v>5.8</v>
      </c>
      <c r="P419" s="44">
        <v>7.898233431653E12</v>
      </c>
      <c r="Q419" s="44">
        <v>1.0</v>
      </c>
    </row>
    <row r="420" ht="15.75" customHeight="1">
      <c r="A420" s="35" t="s">
        <v>1187</v>
      </c>
      <c r="B420" s="36">
        <v>1163.54484479772</v>
      </c>
      <c r="C420" s="36">
        <f>'Lista de Preço 02_2022'!$B420*0.9*0.9*0.9*0.9*0.9*0.97</f>
        <v>666.4497475</v>
      </c>
      <c r="D420" s="36">
        <f>'Lista de Preço 02_2022'!$C420*1.1712</f>
        <v>780.5459443</v>
      </c>
      <c r="E420" s="37">
        <v>3.25</v>
      </c>
      <c r="F420" s="38">
        <v>0.18</v>
      </c>
      <c r="G420" s="38" t="s">
        <v>22</v>
      </c>
      <c r="H420" s="39" t="s">
        <v>229</v>
      </c>
      <c r="I420" s="40" t="s">
        <v>1188</v>
      </c>
      <c r="J420" s="41" t="s">
        <v>231</v>
      </c>
      <c r="K420" s="42" t="s">
        <v>68</v>
      </c>
      <c r="L420" s="43" t="s">
        <v>1189</v>
      </c>
      <c r="M420" s="44">
        <v>8.708999E7</v>
      </c>
      <c r="N420" s="44" t="s">
        <v>28</v>
      </c>
      <c r="O420" s="45">
        <v>8.275</v>
      </c>
      <c r="P420" s="44">
        <v>7.899823504153E12</v>
      </c>
      <c r="Q420" s="44">
        <v>1.0</v>
      </c>
    </row>
    <row r="421" ht="15.75" customHeight="1">
      <c r="A421" s="35" t="s">
        <v>1190</v>
      </c>
      <c r="B421" s="36">
        <v>282.48640096204866</v>
      </c>
      <c r="C421" s="36">
        <f>'Lista de Preço 02_2022'!$B421*0.9*0.9*0.9*0.9*0.9*0.97</f>
        <v>161.8012331</v>
      </c>
      <c r="D421" s="36">
        <f>'Lista de Preço 02_2022'!$C421*1.1712</f>
        <v>189.5016042</v>
      </c>
      <c r="E421" s="37">
        <v>3.25</v>
      </c>
      <c r="F421" s="38">
        <v>0.18</v>
      </c>
      <c r="G421" s="38" t="s">
        <v>22</v>
      </c>
      <c r="H421" s="39" t="s">
        <v>70</v>
      </c>
      <c r="I421" s="40" t="s">
        <v>1177</v>
      </c>
      <c r="J421" s="41" t="s">
        <v>80</v>
      </c>
      <c r="K421" s="42" t="s">
        <v>68</v>
      </c>
      <c r="L421" s="39" t="s">
        <v>863</v>
      </c>
      <c r="M421" s="44">
        <v>8.708999E7</v>
      </c>
      <c r="N421" s="44" t="s">
        <v>28</v>
      </c>
      <c r="O421" s="45">
        <v>2.22</v>
      </c>
      <c r="P421" s="44">
        <v>7.89982350416E12</v>
      </c>
      <c r="Q421" s="44">
        <v>1.0</v>
      </c>
    </row>
    <row r="422" ht="15.75" customHeight="1">
      <c r="A422" s="35" t="s">
        <v>1191</v>
      </c>
      <c r="B422" s="36">
        <v>1093.2299431847985</v>
      </c>
      <c r="C422" s="36">
        <f>'Lista de Preço 02_2022'!$B422*0.9*0.9*0.9*0.9*0.9*0.97</f>
        <v>626.1751087</v>
      </c>
      <c r="D422" s="36">
        <f>'Lista de Preço 02_2022'!$C422*1.1712</f>
        <v>733.3762873</v>
      </c>
      <c r="E422" s="37">
        <v>3.25</v>
      </c>
      <c r="F422" s="38">
        <v>0.18</v>
      </c>
      <c r="G422" s="38" t="s">
        <v>22</v>
      </c>
      <c r="H422" s="39" t="s">
        <v>229</v>
      </c>
      <c r="I422" s="40" t="s">
        <v>1192</v>
      </c>
      <c r="J422" s="41" t="s">
        <v>276</v>
      </c>
      <c r="K422" s="42" t="s">
        <v>153</v>
      </c>
      <c r="L422" s="43" t="s">
        <v>848</v>
      </c>
      <c r="M422" s="44">
        <v>8.708999E7</v>
      </c>
      <c r="N422" s="44" t="s">
        <v>28</v>
      </c>
      <c r="O422" s="45">
        <v>8.295</v>
      </c>
      <c r="P422" s="44">
        <v>7.899823504177E12</v>
      </c>
      <c r="Q422" s="44">
        <v>1.0</v>
      </c>
    </row>
    <row r="423" ht="15.75" customHeight="1">
      <c r="A423" s="35" t="s">
        <v>1193</v>
      </c>
      <c r="B423" s="36">
        <v>1016.4283791425818</v>
      </c>
      <c r="C423" s="36">
        <f>'Lista de Preço 02_2022'!$B423*0.9*0.9*0.9*0.9*0.9*0.97</f>
        <v>582.1850698</v>
      </c>
      <c r="D423" s="36">
        <f>'Lista de Preço 02_2022'!$C423*1.1712</f>
        <v>681.8551537</v>
      </c>
      <c r="E423" s="37">
        <v>3.25</v>
      </c>
      <c r="F423" s="38">
        <v>0.18</v>
      </c>
      <c r="G423" s="38" t="s">
        <v>22</v>
      </c>
      <c r="H423" s="39" t="s">
        <v>229</v>
      </c>
      <c r="I423" s="40" t="s">
        <v>1194</v>
      </c>
      <c r="J423" s="41" t="s">
        <v>276</v>
      </c>
      <c r="K423" s="42" t="s">
        <v>153</v>
      </c>
      <c r="L423" s="43" t="s">
        <v>848</v>
      </c>
      <c r="M423" s="44">
        <v>8.708999E7</v>
      </c>
      <c r="N423" s="44" t="s">
        <v>28</v>
      </c>
      <c r="O423" s="45">
        <v>7.45</v>
      </c>
      <c r="P423" s="44">
        <v>7.899823504184E12</v>
      </c>
      <c r="Q423" s="44">
        <v>1.0</v>
      </c>
    </row>
    <row r="424" ht="15.75" customHeight="1">
      <c r="A424" s="35" t="s">
        <v>1195</v>
      </c>
      <c r="B424" s="36">
        <v>784.5364642862722</v>
      </c>
      <c r="C424" s="36">
        <f>'Lista de Preço 02_2022'!$B424*0.9*0.9*0.9*0.9*0.9*0.97</f>
        <v>449.3631087</v>
      </c>
      <c r="D424" s="36">
        <f>'Lista de Preço 02_2022'!$C424*1.1712</f>
        <v>526.2940729</v>
      </c>
      <c r="E424" s="37">
        <v>3.25</v>
      </c>
      <c r="F424" s="38">
        <v>0.18</v>
      </c>
      <c r="G424" s="38" t="s">
        <v>22</v>
      </c>
      <c r="H424" s="39" t="s">
        <v>229</v>
      </c>
      <c r="I424" s="40" t="s">
        <v>1196</v>
      </c>
      <c r="J424" s="41" t="s">
        <v>231</v>
      </c>
      <c r="K424" s="42" t="s">
        <v>507</v>
      </c>
      <c r="L424" s="43" t="s">
        <v>1197</v>
      </c>
      <c r="M424" s="44">
        <v>8.708999E7</v>
      </c>
      <c r="N424" s="44" t="s">
        <v>28</v>
      </c>
      <c r="O424" s="45">
        <v>5.64</v>
      </c>
      <c r="P424" s="44">
        <v>7.899823504207E12</v>
      </c>
      <c r="Q424" s="44">
        <v>1.0</v>
      </c>
    </row>
    <row r="425" ht="15.75" customHeight="1">
      <c r="A425" s="35" t="s">
        <v>1198</v>
      </c>
      <c r="B425" s="36">
        <v>798.7290448744847</v>
      </c>
      <c r="C425" s="36">
        <f>'Lista de Preço 02_2022'!$B425*0.9*0.9*0.9*0.9*0.9*0.97</f>
        <v>457.4922683</v>
      </c>
      <c r="D425" s="36">
        <f>'Lista de Preço 02_2022'!$C425*1.1712</f>
        <v>535.8149446</v>
      </c>
      <c r="E425" s="37">
        <v>3.25</v>
      </c>
      <c r="F425" s="38">
        <v>0.18</v>
      </c>
      <c r="G425" s="38" t="s">
        <v>22</v>
      </c>
      <c r="H425" s="39" t="s">
        <v>229</v>
      </c>
      <c r="I425" s="40" t="s">
        <v>1196</v>
      </c>
      <c r="J425" s="41" t="s">
        <v>231</v>
      </c>
      <c r="K425" s="42" t="s">
        <v>507</v>
      </c>
      <c r="L425" s="43" t="s">
        <v>1199</v>
      </c>
      <c r="M425" s="44">
        <v>8.708999E7</v>
      </c>
      <c r="N425" s="44" t="s">
        <v>28</v>
      </c>
      <c r="O425" s="45">
        <v>7.115</v>
      </c>
      <c r="P425" s="44">
        <v>7.899823504214E12</v>
      </c>
      <c r="Q425" s="44">
        <v>1.0</v>
      </c>
    </row>
    <row r="426" ht="15.75" customHeight="1">
      <c r="A426" s="35" t="s">
        <v>1200</v>
      </c>
      <c r="B426" s="36">
        <v>243.2073394949448</v>
      </c>
      <c r="C426" s="36">
        <f>'Lista de Preço 02_2022'!$B426*0.9*0.9*0.9*0.9*0.9*0.97</f>
        <v>139.3031568</v>
      </c>
      <c r="D426" s="36">
        <f>'Lista de Preço 02_2022'!$C426*1.1712</f>
        <v>163.1518573</v>
      </c>
      <c r="E426" s="37">
        <v>3.25</v>
      </c>
      <c r="F426" s="38">
        <v>0.18</v>
      </c>
      <c r="G426" s="38" t="s">
        <v>22</v>
      </c>
      <c r="H426" s="39" t="s">
        <v>70</v>
      </c>
      <c r="I426" s="40" t="s">
        <v>1201</v>
      </c>
      <c r="J426" s="41" t="s">
        <v>80</v>
      </c>
      <c r="K426" s="42" t="s">
        <v>507</v>
      </c>
      <c r="L426" s="39" t="s">
        <v>1202</v>
      </c>
      <c r="M426" s="44">
        <v>8.708999E7</v>
      </c>
      <c r="N426" s="44" t="s">
        <v>28</v>
      </c>
      <c r="O426" s="45">
        <v>2.005</v>
      </c>
      <c r="P426" s="44">
        <v>7.899823504221E12</v>
      </c>
      <c r="Q426" s="44">
        <v>1.0</v>
      </c>
    </row>
    <row r="427" ht="15.75" customHeight="1">
      <c r="A427" s="35" t="s">
        <v>1203</v>
      </c>
      <c r="B427" s="36">
        <v>900.6723963738395</v>
      </c>
      <c r="C427" s="36">
        <f>'Lista de Preço 02_2022'!$B427*0.9*0.9*0.9*0.9*0.9*0.97</f>
        <v>515.882902</v>
      </c>
      <c r="D427" s="36">
        <f>'Lista de Preço 02_2022'!$C427*1.1712</f>
        <v>604.2020549</v>
      </c>
      <c r="E427" s="37">
        <v>3.25</v>
      </c>
      <c r="F427" s="38">
        <v>0.18</v>
      </c>
      <c r="G427" s="38" t="s">
        <v>22</v>
      </c>
      <c r="H427" s="39" t="s">
        <v>229</v>
      </c>
      <c r="I427" s="40" t="s">
        <v>1204</v>
      </c>
      <c r="J427" s="41" t="s">
        <v>276</v>
      </c>
      <c r="K427" s="42" t="s">
        <v>507</v>
      </c>
      <c r="L427" s="43" t="s">
        <v>855</v>
      </c>
      <c r="M427" s="44">
        <v>8.708999E7</v>
      </c>
      <c r="N427" s="44" t="s">
        <v>28</v>
      </c>
      <c r="O427" s="45">
        <v>6.9</v>
      </c>
      <c r="P427" s="44">
        <v>7.899823504238E12</v>
      </c>
      <c r="Q427" s="44">
        <v>1.0</v>
      </c>
    </row>
    <row r="428" ht="15.75" customHeight="1">
      <c r="A428" s="35" t="s">
        <v>1205</v>
      </c>
      <c r="B428" s="36">
        <v>946.0435995494931</v>
      </c>
      <c r="C428" s="36">
        <f>'Lista de Preço 02_2022'!$B428*0.9*0.9*0.9*0.9*0.9*0.97</f>
        <v>541.8704065</v>
      </c>
      <c r="D428" s="36">
        <f>'Lista de Preço 02_2022'!$C428*1.1712</f>
        <v>634.6386201</v>
      </c>
      <c r="E428" s="37">
        <v>3.25</v>
      </c>
      <c r="F428" s="38">
        <v>0.18</v>
      </c>
      <c r="G428" s="38" t="s">
        <v>22</v>
      </c>
      <c r="H428" s="39" t="s">
        <v>229</v>
      </c>
      <c r="I428" s="40" t="s">
        <v>1206</v>
      </c>
      <c r="J428" s="41" t="s">
        <v>276</v>
      </c>
      <c r="K428" s="42" t="s">
        <v>507</v>
      </c>
      <c r="L428" s="43" t="s">
        <v>855</v>
      </c>
      <c r="M428" s="44">
        <v>8.708999E7</v>
      </c>
      <c r="N428" s="44" t="s">
        <v>28</v>
      </c>
      <c r="O428" s="45">
        <v>9.655</v>
      </c>
      <c r="P428" s="44">
        <v>7.899823504245E12</v>
      </c>
      <c r="Q428" s="44">
        <v>1.0</v>
      </c>
    </row>
    <row r="429" ht="15.75" customHeight="1">
      <c r="A429" s="35" t="s">
        <v>1207</v>
      </c>
      <c r="B429" s="36">
        <v>83.1353274370425</v>
      </c>
      <c r="C429" s="36">
        <f>'Lista de Preço 02_2022'!$B429*0.9*0.9*0.9*0.9*0.9*0.97</f>
        <v>47.61786211</v>
      </c>
      <c r="D429" s="36">
        <f>'Lista de Preço 02_2022'!$C429*1.1712</f>
        <v>55.77004011</v>
      </c>
      <c r="E429" s="37">
        <v>3.25</v>
      </c>
      <c r="F429" s="38">
        <v>0.18</v>
      </c>
      <c r="G429" s="38" t="s">
        <v>22</v>
      </c>
      <c r="H429" s="39" t="s">
        <v>65</v>
      </c>
      <c r="I429" s="40" t="s">
        <v>1208</v>
      </c>
      <c r="J429" s="41" t="s">
        <v>67</v>
      </c>
      <c r="K429" s="42" t="s">
        <v>26</v>
      </c>
      <c r="L429" s="43" t="s">
        <v>1209</v>
      </c>
      <c r="M429" s="44">
        <v>8.708999E7</v>
      </c>
      <c r="N429" s="44" t="s">
        <v>28</v>
      </c>
      <c r="O429" s="45">
        <v>0.816</v>
      </c>
      <c r="P429" s="44">
        <v>7.898233430144E12</v>
      </c>
      <c r="Q429" s="44">
        <v>1.0</v>
      </c>
    </row>
    <row r="430" ht="15.75" customHeight="1">
      <c r="A430" s="35" t="s">
        <v>1210</v>
      </c>
      <c r="B430" s="36">
        <v>371.137088715489</v>
      </c>
      <c r="C430" s="36">
        <f>'Lista de Preço 02_2022'!$B430*0.9*0.9*0.9*0.9*0.9*0.97</f>
        <v>212.5781573</v>
      </c>
      <c r="D430" s="36">
        <f>'Lista de Preço 02_2022'!$C430*1.1712</f>
        <v>248.9715379</v>
      </c>
      <c r="E430" s="37">
        <v>3.25</v>
      </c>
      <c r="F430" s="38">
        <v>0.18</v>
      </c>
      <c r="G430" s="38" t="s">
        <v>37</v>
      </c>
      <c r="H430" s="39" t="s">
        <v>48</v>
      </c>
      <c r="I430" s="40" t="s">
        <v>1211</v>
      </c>
      <c r="J430" s="41" t="s">
        <v>40</v>
      </c>
      <c r="K430" s="42" t="s">
        <v>303</v>
      </c>
      <c r="L430" s="43">
        <v>3.453260269E9</v>
      </c>
      <c r="M430" s="42">
        <v>8.708999E7</v>
      </c>
      <c r="N430" s="44" t="s">
        <v>28</v>
      </c>
      <c r="O430" s="45">
        <v>5.52</v>
      </c>
      <c r="P430" s="44">
        <v>7.89823343166E12</v>
      </c>
      <c r="Q430" s="44">
        <v>1.0</v>
      </c>
    </row>
    <row r="431" ht="15.75" customHeight="1">
      <c r="A431" s="35" t="s">
        <v>1212</v>
      </c>
      <c r="B431" s="36">
        <v>310.7412400137279</v>
      </c>
      <c r="C431" s="36">
        <f>'Lista de Preço 02_2022'!$B431*0.9*0.9*0.9*0.9*0.9*0.97</f>
        <v>177.984907</v>
      </c>
      <c r="D431" s="36">
        <f>'Lista de Preço 02_2022'!$C431*1.1712</f>
        <v>208.455923</v>
      </c>
      <c r="E431" s="37">
        <v>3.25</v>
      </c>
      <c r="F431" s="38">
        <v>0.18</v>
      </c>
      <c r="G431" s="38" t="s">
        <v>22</v>
      </c>
      <c r="H431" s="39" t="s">
        <v>70</v>
      </c>
      <c r="I431" s="40" t="s">
        <v>1213</v>
      </c>
      <c r="J431" s="41" t="s">
        <v>80</v>
      </c>
      <c r="K431" s="42" t="s">
        <v>507</v>
      </c>
      <c r="L431" s="39" t="s">
        <v>855</v>
      </c>
      <c r="M431" s="44">
        <v>8.708999E7</v>
      </c>
      <c r="N431" s="44" t="s">
        <v>28</v>
      </c>
      <c r="O431" s="45">
        <v>2.375</v>
      </c>
      <c r="P431" s="44">
        <v>7.899823504252E12</v>
      </c>
      <c r="Q431" s="44">
        <v>1.0</v>
      </c>
    </row>
    <row r="432" ht="15.75" customHeight="1">
      <c r="A432" s="35" t="s">
        <v>1214</v>
      </c>
      <c r="B432" s="36">
        <v>758.3247475216524</v>
      </c>
      <c r="C432" s="36">
        <f>'Lista de Preço 02_2022'!$B432*0.9*0.9*0.9*0.9*0.9*0.97</f>
        <v>434.3496848</v>
      </c>
      <c r="D432" s="36">
        <f>'Lista de Preço 02_2022'!$C432*1.1712</f>
        <v>508.7103508</v>
      </c>
      <c r="E432" s="37">
        <v>3.25</v>
      </c>
      <c r="F432" s="38">
        <v>0.18</v>
      </c>
      <c r="G432" s="38" t="s">
        <v>22</v>
      </c>
      <c r="H432" s="39" t="s">
        <v>229</v>
      </c>
      <c r="I432" s="40" t="s">
        <v>1215</v>
      </c>
      <c r="J432" s="41" t="s">
        <v>231</v>
      </c>
      <c r="K432" s="42" t="s">
        <v>507</v>
      </c>
      <c r="L432" s="43" t="s">
        <v>860</v>
      </c>
      <c r="M432" s="44">
        <v>8.708999E7</v>
      </c>
      <c r="N432" s="44" t="s">
        <v>28</v>
      </c>
      <c r="O432" s="45">
        <v>4.925</v>
      </c>
      <c r="P432" s="44">
        <v>7.899823504269E12</v>
      </c>
      <c r="Q432" s="44">
        <v>1.0</v>
      </c>
    </row>
    <row r="433" ht="15.75" customHeight="1">
      <c r="A433" s="35" t="s">
        <v>1216</v>
      </c>
      <c r="B433" s="36">
        <v>823.0282242726463</v>
      </c>
      <c r="C433" s="36">
        <f>'Lista de Preço 02_2022'!$B433*0.9*0.9*0.9*0.9*0.9*0.97</f>
        <v>471.4102381</v>
      </c>
      <c r="D433" s="36">
        <f>'Lista de Preço 02_2022'!$C433*1.1712</f>
        <v>552.1156708</v>
      </c>
      <c r="E433" s="37">
        <v>3.25</v>
      </c>
      <c r="F433" s="38">
        <v>0.18</v>
      </c>
      <c r="G433" s="38" t="s">
        <v>22</v>
      </c>
      <c r="H433" s="39" t="s">
        <v>229</v>
      </c>
      <c r="I433" s="40" t="s">
        <v>1217</v>
      </c>
      <c r="J433" s="41" t="s">
        <v>231</v>
      </c>
      <c r="K433" s="42" t="s">
        <v>507</v>
      </c>
      <c r="L433" s="43" t="s">
        <v>860</v>
      </c>
      <c r="M433" s="44">
        <v>8.708999E7</v>
      </c>
      <c r="N433" s="44" t="s">
        <v>28</v>
      </c>
      <c r="O433" s="45">
        <v>5.89</v>
      </c>
      <c r="P433" s="44">
        <v>7.899823504276E12</v>
      </c>
      <c r="Q433" s="44">
        <v>1.0</v>
      </c>
    </row>
    <row r="434" ht="15.75" customHeight="1">
      <c r="A434" s="35" t="s">
        <v>1218</v>
      </c>
      <c r="B434" s="36">
        <v>254.24959523538564</v>
      </c>
      <c r="C434" s="36">
        <f>'Lista de Preço 02_2022'!$B434*0.9*0.9*0.9*0.9*0.9*0.97</f>
        <v>145.6278882</v>
      </c>
      <c r="D434" s="36">
        <f>'Lista de Preço 02_2022'!$C434*1.1712</f>
        <v>170.5593826</v>
      </c>
      <c r="E434" s="37">
        <v>3.25</v>
      </c>
      <c r="F434" s="38">
        <v>0.18</v>
      </c>
      <c r="G434" s="38" t="s">
        <v>22</v>
      </c>
      <c r="H434" s="39" t="s">
        <v>70</v>
      </c>
      <c r="I434" s="40" t="s">
        <v>1219</v>
      </c>
      <c r="J434" s="41" t="s">
        <v>80</v>
      </c>
      <c r="K434" s="42" t="s">
        <v>507</v>
      </c>
      <c r="L434" s="39" t="s">
        <v>860</v>
      </c>
      <c r="M434" s="44">
        <v>8.708999E7</v>
      </c>
      <c r="N434" s="44" t="s">
        <v>28</v>
      </c>
      <c r="O434" s="45">
        <v>1.765</v>
      </c>
      <c r="P434" s="44">
        <v>7.899823504283E12</v>
      </c>
      <c r="Q434" s="44">
        <v>1.0</v>
      </c>
    </row>
    <row r="435" ht="15.75" customHeight="1">
      <c r="A435" s="35" t="s">
        <v>1220</v>
      </c>
      <c r="B435" s="36">
        <v>1034.805516873292</v>
      </c>
      <c r="C435" s="36">
        <f>'Lista de Preço 02_2022'!$B435*0.9*0.9*0.9*0.9*0.9*0.97</f>
        <v>592.7110404</v>
      </c>
      <c r="D435" s="36">
        <f>'Lista de Preço 02_2022'!$C435*1.1712</f>
        <v>694.1831705</v>
      </c>
      <c r="E435" s="37">
        <v>3.25</v>
      </c>
      <c r="F435" s="38">
        <v>0.18</v>
      </c>
      <c r="G435" s="38" t="s">
        <v>22</v>
      </c>
      <c r="H435" s="39" t="s">
        <v>229</v>
      </c>
      <c r="I435" s="40" t="s">
        <v>1221</v>
      </c>
      <c r="J435" s="41" t="s">
        <v>276</v>
      </c>
      <c r="K435" s="42" t="s">
        <v>507</v>
      </c>
      <c r="L435" s="43" t="s">
        <v>1222</v>
      </c>
      <c r="M435" s="44">
        <v>8.708999E7</v>
      </c>
      <c r="N435" s="44" t="s">
        <v>28</v>
      </c>
      <c r="O435" s="45">
        <v>7.26</v>
      </c>
      <c r="P435" s="44">
        <v>7.89982350429E12</v>
      </c>
      <c r="Q435" s="44">
        <v>1.0</v>
      </c>
    </row>
    <row r="436" ht="15.75" customHeight="1">
      <c r="A436" s="35" t="s">
        <v>1223</v>
      </c>
      <c r="B436" s="36">
        <v>1010.0494040294338</v>
      </c>
      <c r="C436" s="36">
        <f>'Lista de Preço 02_2022'!$B436*0.9*0.9*0.9*0.9*0.9*0.97</f>
        <v>578.5313504</v>
      </c>
      <c r="D436" s="36">
        <f>'Lista de Preço 02_2022'!$C436*1.1712</f>
        <v>677.5759176</v>
      </c>
      <c r="E436" s="37">
        <v>3.25</v>
      </c>
      <c r="F436" s="38">
        <v>0.18</v>
      </c>
      <c r="G436" s="38" t="s">
        <v>22</v>
      </c>
      <c r="H436" s="39" t="s">
        <v>229</v>
      </c>
      <c r="I436" s="40" t="s">
        <v>1224</v>
      </c>
      <c r="J436" s="41" t="s">
        <v>276</v>
      </c>
      <c r="K436" s="42" t="s">
        <v>507</v>
      </c>
      <c r="L436" s="43" t="s">
        <v>1222</v>
      </c>
      <c r="M436" s="44">
        <v>8.708999E7</v>
      </c>
      <c r="N436" s="44" t="s">
        <v>28</v>
      </c>
      <c r="O436" s="45">
        <v>7.31</v>
      </c>
      <c r="P436" s="44">
        <v>7.899823504306E12</v>
      </c>
      <c r="Q436" s="44">
        <v>1.0</v>
      </c>
    </row>
    <row r="437" ht="15.75" customHeight="1">
      <c r="A437" s="35" t="s">
        <v>1225</v>
      </c>
      <c r="B437" s="36">
        <v>1158.575201078064</v>
      </c>
      <c r="C437" s="36">
        <f>'Lista de Preço 02_2022'!$B437*0.9*0.9*0.9*0.9*0.9*0.97</f>
        <v>663.6032584</v>
      </c>
      <c r="D437" s="36">
        <f>'Lista de Preço 02_2022'!$C437*1.1712</f>
        <v>777.2121362</v>
      </c>
      <c r="E437" s="37">
        <v>3.25</v>
      </c>
      <c r="F437" s="38">
        <v>0.18</v>
      </c>
      <c r="G437" s="38" t="s">
        <v>22</v>
      </c>
      <c r="H437" s="39" t="s">
        <v>229</v>
      </c>
      <c r="I437" s="40" t="s">
        <v>1226</v>
      </c>
      <c r="J437" s="41" t="s">
        <v>231</v>
      </c>
      <c r="K437" s="42" t="s">
        <v>507</v>
      </c>
      <c r="L437" s="43" t="s">
        <v>1227</v>
      </c>
      <c r="M437" s="44">
        <v>8.708999E7</v>
      </c>
      <c r="N437" s="44" t="s">
        <v>28</v>
      </c>
      <c r="O437" s="45">
        <v>8.4</v>
      </c>
      <c r="P437" s="44">
        <v>7.899823504313E12</v>
      </c>
      <c r="Q437" s="44">
        <v>1.0</v>
      </c>
    </row>
    <row r="438" ht="15.75" customHeight="1">
      <c r="A438" s="35" t="s">
        <v>1228</v>
      </c>
      <c r="B438" s="36">
        <v>1172.9548921898222</v>
      </c>
      <c r="C438" s="36">
        <f>'Lista de Preço 02_2022'!$B438*0.9*0.9*0.9*0.9*0.9*0.97</f>
        <v>671.8395903</v>
      </c>
      <c r="D438" s="36">
        <f>'Lista de Preço 02_2022'!$C438*1.1712</f>
        <v>786.8585281</v>
      </c>
      <c r="E438" s="37">
        <v>3.25</v>
      </c>
      <c r="F438" s="38">
        <v>0.18</v>
      </c>
      <c r="G438" s="38" t="s">
        <v>22</v>
      </c>
      <c r="H438" s="39" t="s">
        <v>229</v>
      </c>
      <c r="I438" s="40" t="s">
        <v>1229</v>
      </c>
      <c r="J438" s="41" t="s">
        <v>231</v>
      </c>
      <c r="K438" s="42" t="s">
        <v>507</v>
      </c>
      <c r="L438" s="43" t="s">
        <v>1227</v>
      </c>
      <c r="M438" s="44">
        <v>8.708999E7</v>
      </c>
      <c r="N438" s="44" t="s">
        <v>28</v>
      </c>
      <c r="O438" s="45">
        <v>8.48</v>
      </c>
      <c r="P438" s="44">
        <v>7.89982350432E12</v>
      </c>
      <c r="Q438" s="44">
        <v>1.0</v>
      </c>
    </row>
    <row r="439" ht="15.75" customHeight="1">
      <c r="A439" s="35" t="s">
        <v>1230</v>
      </c>
      <c r="B439" s="36">
        <v>54.61017162527911</v>
      </c>
      <c r="C439" s="36">
        <f>'Lista de Preço 02_2022'!$B439*0.9*0.9*0.9*0.9*0.9*0.97</f>
        <v>31.27935744</v>
      </c>
      <c r="D439" s="36">
        <f>'Lista de Preço 02_2022'!$C439*1.1712</f>
        <v>36.63438343</v>
      </c>
      <c r="E439" s="37">
        <v>3.25</v>
      </c>
      <c r="F439" s="38">
        <v>0.18</v>
      </c>
      <c r="G439" s="38" t="s">
        <v>37</v>
      </c>
      <c r="H439" s="39" t="s">
        <v>48</v>
      </c>
      <c r="I439" s="40" t="s">
        <v>1231</v>
      </c>
      <c r="J439" s="41" t="s">
        <v>40</v>
      </c>
      <c r="K439" s="42" t="s">
        <v>303</v>
      </c>
      <c r="L439" s="43">
        <v>3.09323054E9</v>
      </c>
      <c r="M439" s="42">
        <v>8.708999E7</v>
      </c>
      <c r="N439" s="44" t="s">
        <v>28</v>
      </c>
      <c r="O439" s="45">
        <v>0.482</v>
      </c>
      <c r="P439" s="44">
        <v>7.898233431677E12</v>
      </c>
      <c r="Q439" s="44">
        <v>1.0</v>
      </c>
    </row>
    <row r="440" ht="15.75" customHeight="1">
      <c r="A440" s="35" t="s">
        <v>1232</v>
      </c>
      <c r="B440" s="36">
        <v>297.94682133141697</v>
      </c>
      <c r="C440" s="36">
        <f>'Lista de Preço 02_2022'!$B440*0.9*0.9*0.9*0.9*0.9*0.97</f>
        <v>170.65658</v>
      </c>
      <c r="D440" s="36">
        <f>'Lista de Preço 02_2022'!$C440*1.1712</f>
        <v>199.8729865</v>
      </c>
      <c r="E440" s="37">
        <v>3.25</v>
      </c>
      <c r="F440" s="38">
        <v>0.18</v>
      </c>
      <c r="G440" s="38" t="s">
        <v>22</v>
      </c>
      <c r="H440" s="39" t="s">
        <v>70</v>
      </c>
      <c r="I440" s="40" t="s">
        <v>1233</v>
      </c>
      <c r="J440" s="41" t="s">
        <v>1085</v>
      </c>
      <c r="K440" s="42" t="s">
        <v>507</v>
      </c>
      <c r="L440" s="39" t="s">
        <v>1222</v>
      </c>
      <c r="M440" s="44">
        <v>8.708999E7</v>
      </c>
      <c r="N440" s="44" t="s">
        <v>28</v>
      </c>
      <c r="O440" s="45">
        <v>2.385</v>
      </c>
      <c r="P440" s="44">
        <v>7.899823504337E12</v>
      </c>
      <c r="Q440" s="44">
        <v>1.0</v>
      </c>
    </row>
    <row r="441" ht="15.75" customHeight="1">
      <c r="A441" s="35" t="s">
        <v>1234</v>
      </c>
      <c r="B441" s="36">
        <v>234.08833786746357</v>
      </c>
      <c r="C441" s="36">
        <f>'Lista de Preço 02_2022'!$B441*0.9*0.9*0.9*0.9*0.9*0.97</f>
        <v>134.0800179</v>
      </c>
      <c r="D441" s="36">
        <f>'Lista de Preço 02_2022'!$C441*1.1712</f>
        <v>157.034517</v>
      </c>
      <c r="E441" s="37">
        <v>3.25</v>
      </c>
      <c r="F441" s="38">
        <v>0.18</v>
      </c>
      <c r="G441" s="38" t="s">
        <v>22</v>
      </c>
      <c r="H441" s="39" t="s">
        <v>70</v>
      </c>
      <c r="I441" s="40" t="s">
        <v>1235</v>
      </c>
      <c r="J441" s="41" t="s">
        <v>80</v>
      </c>
      <c r="K441" s="42" t="s">
        <v>625</v>
      </c>
      <c r="L441" s="39" t="s">
        <v>714</v>
      </c>
      <c r="M441" s="44">
        <v>8.708999E7</v>
      </c>
      <c r="N441" s="44" t="s">
        <v>28</v>
      </c>
      <c r="O441" s="45">
        <v>1.96</v>
      </c>
      <c r="P441" s="44">
        <v>7.899823504344E12</v>
      </c>
      <c r="Q441" s="44">
        <v>1.0</v>
      </c>
    </row>
    <row r="442" ht="15.75" customHeight="1">
      <c r="A442" s="35" t="s">
        <v>1236</v>
      </c>
      <c r="B442" s="36">
        <v>938.3557012336187</v>
      </c>
      <c r="C442" s="36">
        <f>'Lista de Preço 02_2022'!$B442*0.9*0.9*0.9*0.9*0.9*0.97</f>
        <v>537.4669683</v>
      </c>
      <c r="D442" s="36">
        <f>'Lista de Preço 02_2022'!$C442*1.1712</f>
        <v>629.4813133</v>
      </c>
      <c r="E442" s="37">
        <v>3.25</v>
      </c>
      <c r="F442" s="38">
        <v>0.18</v>
      </c>
      <c r="G442" s="38" t="s">
        <v>22</v>
      </c>
      <c r="H442" s="39" t="s">
        <v>229</v>
      </c>
      <c r="I442" s="40" t="s">
        <v>1237</v>
      </c>
      <c r="J442" s="41" t="s">
        <v>231</v>
      </c>
      <c r="K442" s="42" t="s">
        <v>625</v>
      </c>
      <c r="L442" s="43" t="s">
        <v>1238</v>
      </c>
      <c r="M442" s="44">
        <v>8.708999E7</v>
      </c>
      <c r="N442" s="44" t="s">
        <v>28</v>
      </c>
      <c r="O442" s="45">
        <v>5.585</v>
      </c>
      <c r="P442" s="44">
        <v>7.899823504351E12</v>
      </c>
      <c r="Q442" s="44">
        <v>1.0</v>
      </c>
    </row>
    <row r="443" ht="15.75" customHeight="1">
      <c r="A443" s="35" t="s">
        <v>1239</v>
      </c>
      <c r="B443" s="36">
        <v>930.8223713715468</v>
      </c>
      <c r="C443" s="36">
        <f>'Lista de Preço 02_2022'!$B443*0.9*0.9*0.9*0.9*0.9*0.97</f>
        <v>533.152063</v>
      </c>
      <c r="D443" s="36">
        <f>'Lista de Preço 02_2022'!$C443*1.1712</f>
        <v>624.4276962</v>
      </c>
      <c r="E443" s="37">
        <v>3.25</v>
      </c>
      <c r="F443" s="38">
        <v>0.18</v>
      </c>
      <c r="G443" s="38" t="s">
        <v>22</v>
      </c>
      <c r="H443" s="39" t="s">
        <v>229</v>
      </c>
      <c r="I443" s="40" t="s">
        <v>1240</v>
      </c>
      <c r="J443" s="41" t="s">
        <v>231</v>
      </c>
      <c r="K443" s="42" t="s">
        <v>625</v>
      </c>
      <c r="L443" s="43" t="s">
        <v>1238</v>
      </c>
      <c r="M443" s="44">
        <v>8.708999E7</v>
      </c>
      <c r="N443" s="44" t="s">
        <v>28</v>
      </c>
      <c r="O443" s="45">
        <v>6.05</v>
      </c>
      <c r="P443" s="44">
        <v>7.899823504368E12</v>
      </c>
      <c r="Q443" s="44">
        <v>1.0</v>
      </c>
    </row>
    <row r="444" ht="15.75" customHeight="1">
      <c r="A444" s="35" t="s">
        <v>1241</v>
      </c>
      <c r="B444" s="36">
        <v>355.1257612094327</v>
      </c>
      <c r="C444" s="36">
        <f>'Lista de Preço 02_2022'!$B444*0.9*0.9*0.9*0.9*0.9*0.97</f>
        <v>203.4072644</v>
      </c>
      <c r="D444" s="36">
        <f>'Lista de Preço 02_2022'!$C444*1.1712</f>
        <v>238.2305881</v>
      </c>
      <c r="E444" s="37">
        <v>3.25</v>
      </c>
      <c r="F444" s="38">
        <v>0.18</v>
      </c>
      <c r="G444" s="38" t="s">
        <v>22</v>
      </c>
      <c r="H444" s="39" t="s">
        <v>70</v>
      </c>
      <c r="I444" s="40" t="s">
        <v>1242</v>
      </c>
      <c r="J444" s="41" t="s">
        <v>80</v>
      </c>
      <c r="K444" s="42" t="s">
        <v>507</v>
      </c>
      <c r="L444" s="39" t="s">
        <v>878</v>
      </c>
      <c r="M444" s="44">
        <v>8.708999E7</v>
      </c>
      <c r="N444" s="44" t="s">
        <v>28</v>
      </c>
      <c r="O444" s="45">
        <v>3.1</v>
      </c>
      <c r="P444" s="44">
        <v>7.899823504375E12</v>
      </c>
      <c r="Q444" s="44">
        <v>1.0</v>
      </c>
    </row>
    <row r="445" ht="15.75" customHeight="1">
      <c r="A445" s="35" t="s">
        <v>1243</v>
      </c>
      <c r="B445" s="36">
        <v>245.62741171209612</v>
      </c>
      <c r="C445" s="36">
        <f>'Lista de Preço 02_2022'!$B445*0.9*0.9*0.9*0.9*0.9*0.97</f>
        <v>140.6893144</v>
      </c>
      <c r="D445" s="36">
        <f>'Lista de Preço 02_2022'!$C445*1.1712</f>
        <v>164.7753251</v>
      </c>
      <c r="E445" s="37">
        <v>3.25</v>
      </c>
      <c r="F445" s="38">
        <v>0.18</v>
      </c>
      <c r="G445" s="38" t="s">
        <v>22</v>
      </c>
      <c r="H445" s="39" t="s">
        <v>70</v>
      </c>
      <c r="I445" s="40" t="s">
        <v>1244</v>
      </c>
      <c r="J445" s="41" t="s">
        <v>80</v>
      </c>
      <c r="K445" s="42" t="s">
        <v>157</v>
      </c>
      <c r="L445" s="43" t="s">
        <v>1245</v>
      </c>
      <c r="M445" s="44">
        <v>8.708999E7</v>
      </c>
      <c r="N445" s="44" t="s">
        <v>28</v>
      </c>
      <c r="O445" s="45">
        <v>1.88</v>
      </c>
      <c r="P445" s="44">
        <v>7.899823504504E12</v>
      </c>
      <c r="Q445" s="44">
        <v>1.0</v>
      </c>
    </row>
    <row r="446" ht="15.75" customHeight="1">
      <c r="A446" s="35" t="s">
        <v>1246</v>
      </c>
      <c r="B446" s="36">
        <v>254.24959523538564</v>
      </c>
      <c r="C446" s="36">
        <f>'Lista de Preço 02_2022'!$B446*0.9*0.9*0.9*0.9*0.9*0.97</f>
        <v>145.6278882</v>
      </c>
      <c r="D446" s="36">
        <f>'Lista de Preço 02_2022'!$C446*1.1712</f>
        <v>170.5593826</v>
      </c>
      <c r="E446" s="37">
        <v>3.25</v>
      </c>
      <c r="F446" s="38">
        <v>0.18</v>
      </c>
      <c r="G446" s="38" t="s">
        <v>22</v>
      </c>
      <c r="H446" s="39" t="s">
        <v>70</v>
      </c>
      <c r="I446" s="40" t="s">
        <v>1247</v>
      </c>
      <c r="J446" s="41" t="s">
        <v>80</v>
      </c>
      <c r="K446" s="42" t="s">
        <v>68</v>
      </c>
      <c r="L446" s="43" t="s">
        <v>1248</v>
      </c>
      <c r="M446" s="44">
        <v>8.708999E7</v>
      </c>
      <c r="N446" s="44" t="s">
        <v>28</v>
      </c>
      <c r="O446" s="45">
        <v>1.76</v>
      </c>
      <c r="P446" s="44">
        <v>7.899823504511E12</v>
      </c>
      <c r="Q446" s="44">
        <v>1.0</v>
      </c>
    </row>
    <row r="447" ht="15.75" customHeight="1">
      <c r="A447" s="35" t="s">
        <v>1249</v>
      </c>
      <c r="B447" s="36">
        <v>252.32634112242596</v>
      </c>
      <c r="C447" s="36">
        <f>'Lista de Preço 02_2022'!$B447*0.9*0.9*0.9*0.9*0.9*0.97</f>
        <v>144.5262957</v>
      </c>
      <c r="D447" s="36">
        <f>'Lista de Preço 02_2022'!$C447*1.1712</f>
        <v>169.2691976</v>
      </c>
      <c r="E447" s="37">
        <v>3.25</v>
      </c>
      <c r="F447" s="38">
        <v>0.18</v>
      </c>
      <c r="G447" s="38" t="s">
        <v>22</v>
      </c>
      <c r="H447" s="39" t="s">
        <v>70</v>
      </c>
      <c r="I447" s="40" t="s">
        <v>882</v>
      </c>
      <c r="J447" s="41" t="s">
        <v>80</v>
      </c>
      <c r="K447" s="42" t="s">
        <v>68</v>
      </c>
      <c r="L447" s="39" t="s">
        <v>1250</v>
      </c>
      <c r="M447" s="44">
        <v>8.708999E7</v>
      </c>
      <c r="N447" s="44" t="s">
        <v>28</v>
      </c>
      <c r="O447" s="45">
        <v>2.04</v>
      </c>
      <c r="P447" s="44">
        <v>7.89982350445E12</v>
      </c>
      <c r="Q447" s="44">
        <v>1.0</v>
      </c>
    </row>
    <row r="448" ht="15.75" customHeight="1">
      <c r="A448" s="35" t="s">
        <v>1251</v>
      </c>
      <c r="B448" s="36">
        <v>267.695358960225</v>
      </c>
      <c r="C448" s="36">
        <f>'Lista de Preço 02_2022'!$B448*0.9*0.9*0.9*0.9*0.9*0.97</f>
        <v>153.3292895</v>
      </c>
      <c r="D448" s="36">
        <f>'Lista de Preço 02_2022'!$C448*1.1712</f>
        <v>179.5792639</v>
      </c>
      <c r="E448" s="37">
        <v>3.25</v>
      </c>
      <c r="F448" s="38">
        <v>0.18</v>
      </c>
      <c r="G448" s="38" t="s">
        <v>22</v>
      </c>
      <c r="H448" s="39" t="s">
        <v>70</v>
      </c>
      <c r="I448" s="40" t="s">
        <v>1252</v>
      </c>
      <c r="J448" s="41" t="s">
        <v>80</v>
      </c>
      <c r="K448" s="42" t="s">
        <v>157</v>
      </c>
      <c r="L448" s="43" t="s">
        <v>1253</v>
      </c>
      <c r="M448" s="44">
        <v>8.708999E7</v>
      </c>
      <c r="N448" s="44" t="s">
        <v>28</v>
      </c>
      <c r="O448" s="45">
        <v>2.2</v>
      </c>
      <c r="P448" s="44">
        <v>7.899823505044E12</v>
      </c>
      <c r="Q448" s="44">
        <v>1.0</v>
      </c>
    </row>
    <row r="449" ht="15.75" customHeight="1">
      <c r="A449" s="35" t="s">
        <v>1254</v>
      </c>
      <c r="B449" s="36">
        <v>862.4654621863438</v>
      </c>
      <c r="C449" s="36">
        <f>'Lista de Preço 02_2022'!$B449*0.9*0.9*0.9*0.9*0.9*0.97</f>
        <v>493.9989138</v>
      </c>
      <c r="D449" s="36">
        <f>'Lista de Preço 02_2022'!$C449*1.1712</f>
        <v>578.5715279</v>
      </c>
      <c r="E449" s="37">
        <v>3.25</v>
      </c>
      <c r="F449" s="38">
        <v>0.18</v>
      </c>
      <c r="G449" s="38" t="s">
        <v>22</v>
      </c>
      <c r="H449" s="39" t="s">
        <v>229</v>
      </c>
      <c r="I449" s="40" t="s">
        <v>1255</v>
      </c>
      <c r="J449" s="41" t="s">
        <v>231</v>
      </c>
      <c r="K449" s="42" t="s">
        <v>157</v>
      </c>
      <c r="L449" s="39" t="s">
        <v>593</v>
      </c>
      <c r="M449" s="44">
        <v>8.708999E7</v>
      </c>
      <c r="N449" s="44" t="s">
        <v>28</v>
      </c>
      <c r="O449" s="45">
        <v>7.24</v>
      </c>
      <c r="P449" s="44">
        <v>7.899823505051E12</v>
      </c>
      <c r="Q449" s="44">
        <v>1.0</v>
      </c>
    </row>
    <row r="450" ht="15.75" customHeight="1">
      <c r="A450" s="35" t="s">
        <v>1256</v>
      </c>
      <c r="B450" s="36">
        <v>871.6976005073896</v>
      </c>
      <c r="C450" s="36">
        <f>'Lista de Preço 02_2022'!$B450*0.9*0.9*0.9*0.9*0.9*0.97</f>
        <v>499.2868546</v>
      </c>
      <c r="D450" s="36">
        <f>'Lista de Preço 02_2022'!$C450*1.1712</f>
        <v>584.7647642</v>
      </c>
      <c r="E450" s="37">
        <v>3.25</v>
      </c>
      <c r="F450" s="38">
        <v>0.18</v>
      </c>
      <c r="G450" s="38" t="s">
        <v>22</v>
      </c>
      <c r="H450" s="39" t="s">
        <v>229</v>
      </c>
      <c r="I450" s="40" t="s">
        <v>1257</v>
      </c>
      <c r="J450" s="41" t="s">
        <v>231</v>
      </c>
      <c r="K450" s="42" t="s">
        <v>157</v>
      </c>
      <c r="L450" s="43" t="s">
        <v>593</v>
      </c>
      <c r="M450" s="44">
        <v>8.708999E7</v>
      </c>
      <c r="N450" s="44" t="s">
        <v>28</v>
      </c>
      <c r="O450" s="45">
        <v>5.92</v>
      </c>
      <c r="P450" s="44">
        <v>7.899823505068E12</v>
      </c>
      <c r="Q450" s="44">
        <v>1.0</v>
      </c>
    </row>
    <row r="451" ht="15.75" customHeight="1">
      <c r="A451" s="35" t="s">
        <v>1258</v>
      </c>
      <c r="B451" s="36">
        <v>347.7366062841142</v>
      </c>
      <c r="C451" s="36">
        <f>'Lista de Preço 02_2022'!$B451*0.9*0.9*0.9*0.9*0.9*0.97</f>
        <v>199.174939</v>
      </c>
      <c r="D451" s="36">
        <f>'Lista de Preço 02_2022'!$C451*1.1712</f>
        <v>233.2736885</v>
      </c>
      <c r="E451" s="37">
        <v>3.25</v>
      </c>
      <c r="F451" s="38">
        <v>0.18</v>
      </c>
      <c r="G451" s="38" t="s">
        <v>22</v>
      </c>
      <c r="H451" s="39" t="s">
        <v>70</v>
      </c>
      <c r="I451" s="40" t="s">
        <v>1259</v>
      </c>
      <c r="J451" s="41" t="s">
        <v>72</v>
      </c>
      <c r="K451" s="42" t="s">
        <v>95</v>
      </c>
      <c r="L451" s="43">
        <v>4.630873E7</v>
      </c>
      <c r="M451" s="44">
        <v>8.708999E7</v>
      </c>
      <c r="N451" s="44" t="s">
        <v>28</v>
      </c>
      <c r="O451" s="45">
        <v>3.4</v>
      </c>
      <c r="P451" s="44">
        <v>7.899823505464E12</v>
      </c>
      <c r="Q451" s="44">
        <v>1.0</v>
      </c>
    </row>
    <row r="452" ht="15.75" customHeight="1">
      <c r="A452" s="35" t="s">
        <v>1260</v>
      </c>
      <c r="B452" s="36">
        <v>887.2216062876165</v>
      </c>
      <c r="C452" s="36">
        <f>'Lista de Preço 02_2022'!$B452*0.9*0.9*0.9*0.9*0.9*0.97</f>
        <v>508.1786217</v>
      </c>
      <c r="D452" s="36">
        <f>'Lista de Preço 02_2022'!$C452*1.1712</f>
        <v>595.1788017</v>
      </c>
      <c r="E452" s="37">
        <v>3.25</v>
      </c>
      <c r="F452" s="38">
        <v>0.18</v>
      </c>
      <c r="G452" s="38" t="s">
        <v>22</v>
      </c>
      <c r="H452" s="39" t="s">
        <v>229</v>
      </c>
      <c r="I452" s="40" t="s">
        <v>1261</v>
      </c>
      <c r="J452" s="41" t="s">
        <v>231</v>
      </c>
      <c r="K452" s="42" t="s">
        <v>26</v>
      </c>
      <c r="L452" s="43" t="s">
        <v>1262</v>
      </c>
      <c r="M452" s="44">
        <v>8.708999E7</v>
      </c>
      <c r="N452" s="44" t="s">
        <v>28</v>
      </c>
      <c r="O452" s="45">
        <v>7.4</v>
      </c>
      <c r="P452" s="44">
        <v>7.899823505075E12</v>
      </c>
      <c r="Q452" s="44">
        <v>1.0</v>
      </c>
    </row>
    <row r="453" ht="15.75" customHeight="1">
      <c r="A453" s="35" t="s">
        <v>1263</v>
      </c>
      <c r="B453" s="36">
        <v>683.3698386891015</v>
      </c>
      <c r="C453" s="36">
        <f>'Lista de Preço 02_2022'!$B453*0.9*0.9*0.9*0.9*0.9*0.97</f>
        <v>391.4173644</v>
      </c>
      <c r="D453" s="36">
        <f>'Lista de Preço 02_2022'!$C453*1.1712</f>
        <v>458.4280171</v>
      </c>
      <c r="E453" s="37">
        <v>3.25</v>
      </c>
      <c r="F453" s="38">
        <v>0.18</v>
      </c>
      <c r="G453" s="38" t="s">
        <v>22</v>
      </c>
      <c r="H453" s="39" t="s">
        <v>229</v>
      </c>
      <c r="I453" s="40" t="s">
        <v>1264</v>
      </c>
      <c r="J453" s="41" t="s">
        <v>231</v>
      </c>
      <c r="K453" s="42" t="s">
        <v>26</v>
      </c>
      <c r="L453" s="43" t="s">
        <v>1262</v>
      </c>
      <c r="M453" s="44">
        <v>8.708999E7</v>
      </c>
      <c r="N453" s="44" t="s">
        <v>28</v>
      </c>
      <c r="O453" s="45">
        <v>4.88</v>
      </c>
      <c r="P453" s="44">
        <v>7.899823505082E12</v>
      </c>
      <c r="Q453" s="44">
        <v>1.0</v>
      </c>
    </row>
    <row r="454" ht="15.75" customHeight="1">
      <c r="A454" s="35" t="s">
        <v>1265</v>
      </c>
      <c r="B454" s="36">
        <v>1248.257019364</v>
      </c>
      <c r="C454" s="36">
        <f>'Lista de Preço 02_2022'!$B454*0.9*0.9*0.9*0.9*0.9*0.97</f>
        <v>714.9707887</v>
      </c>
      <c r="D454" s="36">
        <f>'Lista de Preço 02_2022'!$C454*1.1712</f>
        <v>837.3737878</v>
      </c>
      <c r="E454" s="37">
        <v>3.25</v>
      </c>
      <c r="F454" s="38">
        <v>0.18</v>
      </c>
      <c r="G454" s="38" t="s">
        <v>22</v>
      </c>
      <c r="H454" s="39" t="s">
        <v>229</v>
      </c>
      <c r="I454" s="40" t="s">
        <v>1266</v>
      </c>
      <c r="J454" s="41" t="s">
        <v>260</v>
      </c>
      <c r="K454" s="42" t="s">
        <v>153</v>
      </c>
      <c r="L454" s="43" t="s">
        <v>1267</v>
      </c>
      <c r="M454" s="44">
        <v>8.708999E7</v>
      </c>
      <c r="N454" s="44" t="s">
        <v>28</v>
      </c>
      <c r="O454" s="45">
        <v>11.84</v>
      </c>
      <c r="P454" s="44">
        <v>7.899823506027E12</v>
      </c>
      <c r="Q454" s="44">
        <v>1.0</v>
      </c>
    </row>
    <row r="455" ht="15.75" customHeight="1">
      <c r="A455" s="35" t="s">
        <v>1268</v>
      </c>
      <c r="B455" s="36">
        <v>1134.0446811956374</v>
      </c>
      <c r="C455" s="36">
        <f>'Lista de Preço 02_2022'!$B455*0.9*0.9*0.9*0.9*0.9*0.97</f>
        <v>649.5527825</v>
      </c>
      <c r="D455" s="36">
        <f>'Lista de Preço 02_2022'!$C455*1.1712</f>
        <v>760.7562188</v>
      </c>
      <c r="E455" s="37">
        <v>3.25</v>
      </c>
      <c r="F455" s="38">
        <v>0.18</v>
      </c>
      <c r="G455" s="38" t="s">
        <v>22</v>
      </c>
      <c r="H455" s="39" t="s">
        <v>229</v>
      </c>
      <c r="I455" s="40" t="s">
        <v>1266</v>
      </c>
      <c r="J455" s="41" t="s">
        <v>260</v>
      </c>
      <c r="K455" s="42" t="s">
        <v>153</v>
      </c>
      <c r="L455" s="43" t="s">
        <v>1269</v>
      </c>
      <c r="M455" s="44">
        <v>8.708999E7</v>
      </c>
      <c r="N455" s="44" t="s">
        <v>28</v>
      </c>
      <c r="O455" s="45">
        <v>9.62</v>
      </c>
      <c r="P455" s="44">
        <v>7.899823506034E12</v>
      </c>
      <c r="Q455" s="44">
        <v>1.0</v>
      </c>
    </row>
    <row r="456" ht="15.75" customHeight="1">
      <c r="A456" s="50" t="s">
        <v>1270</v>
      </c>
      <c r="B456" s="36">
        <v>337.5476139</v>
      </c>
      <c r="C456" s="51">
        <f>'Lista de Preço 02_2022'!$B456*0.9*0.9*0.9*0.9*0.9*0.97</f>
        <v>193.3389358</v>
      </c>
      <c r="D456" s="36">
        <f>'Lista de Preço 02_2022'!$C456*1.1712</f>
        <v>226.4385616</v>
      </c>
      <c r="E456" s="52">
        <v>3.25</v>
      </c>
      <c r="F456" s="53">
        <v>0.18</v>
      </c>
      <c r="G456" s="53" t="s">
        <v>22</v>
      </c>
      <c r="H456" s="54" t="s">
        <v>70</v>
      </c>
      <c r="I456" s="55" t="s">
        <v>1266</v>
      </c>
      <c r="J456" s="56" t="s">
        <v>80</v>
      </c>
      <c r="K456" s="57" t="s">
        <v>294</v>
      </c>
      <c r="L456" s="58"/>
      <c r="M456" s="59">
        <v>8.708999E7</v>
      </c>
      <c r="N456" s="59" t="s">
        <v>28</v>
      </c>
      <c r="O456" s="60">
        <v>3.58</v>
      </c>
      <c r="P456" s="59">
        <v>7.899823506768E12</v>
      </c>
      <c r="Q456" s="59">
        <v>1.0</v>
      </c>
    </row>
    <row r="457" ht="15.75" customHeight="1">
      <c r="A457" s="50" t="s">
        <v>1271</v>
      </c>
      <c r="B457" s="36">
        <v>264.59291578</v>
      </c>
      <c r="C457" s="51">
        <f>'Lista de Preço 02_2022'!$B457*0.9*0.9*0.9*0.9*0.9*0.97</f>
        <v>151.5522867</v>
      </c>
      <c r="D457" s="36">
        <f>'Lista de Preço 02_2022'!$C457*1.1712</f>
        <v>177.4980382</v>
      </c>
      <c r="E457" s="52">
        <v>3.25</v>
      </c>
      <c r="F457" s="53">
        <v>0.18</v>
      </c>
      <c r="G457" s="53" t="s">
        <v>22</v>
      </c>
      <c r="H457" s="54" t="s">
        <v>70</v>
      </c>
      <c r="I457" s="55" t="s">
        <v>1272</v>
      </c>
      <c r="J457" s="56" t="s">
        <v>80</v>
      </c>
      <c r="K457" s="57" t="s">
        <v>157</v>
      </c>
      <c r="L457" s="58"/>
      <c r="M457" s="59">
        <v>8.708999E7</v>
      </c>
      <c r="N457" s="59" t="s">
        <v>28</v>
      </c>
      <c r="O457" s="60">
        <v>2.26</v>
      </c>
      <c r="P457" s="59">
        <v>7.899823506775E12</v>
      </c>
      <c r="Q457" s="59">
        <v>1.0</v>
      </c>
    </row>
    <row r="458" ht="15.75" customHeight="1">
      <c r="A458" s="50" t="s">
        <v>1273</v>
      </c>
      <c r="B458" s="36">
        <v>979.7390282000001</v>
      </c>
      <c r="C458" s="51">
        <f>'Lista de Preço 02_2022'!$B458*0.9*0.9*0.9*0.9*0.9*0.97</f>
        <v>561.1703158</v>
      </c>
      <c r="D458" s="36">
        <f>'Lista de Preço 02_2022'!$C458*1.1712</f>
        <v>657.2426739</v>
      </c>
      <c r="E458" s="52">
        <v>3.25</v>
      </c>
      <c r="F458" s="53">
        <v>0.18</v>
      </c>
      <c r="G458" s="53" t="s">
        <v>22</v>
      </c>
      <c r="H458" s="54" t="s">
        <v>229</v>
      </c>
      <c r="I458" s="55" t="s">
        <v>1274</v>
      </c>
      <c r="J458" s="56" t="s">
        <v>276</v>
      </c>
      <c r="K458" s="57" t="s">
        <v>282</v>
      </c>
      <c r="L458" s="58" t="s">
        <v>1275</v>
      </c>
      <c r="M458" s="59">
        <v>8.708999E7</v>
      </c>
      <c r="N458" s="59" t="s">
        <v>28</v>
      </c>
      <c r="O458" s="60">
        <v>8.7</v>
      </c>
      <c r="P458" s="59">
        <v>7.899823506782E12</v>
      </c>
      <c r="Q458" s="59">
        <v>1.0</v>
      </c>
    </row>
    <row r="459" ht="15.75" customHeight="1">
      <c r="A459" s="50" t="s">
        <v>1276</v>
      </c>
      <c r="B459" s="36">
        <v>1088.59649194</v>
      </c>
      <c r="C459" s="51">
        <f>'Lista de Preço 02_2022'!$B459*0.9*0.9*0.9*0.9*0.9*0.97</f>
        <v>623.5211822</v>
      </c>
      <c r="D459" s="36">
        <f>'Lista de Preço 02_2022'!$C459*1.1712</f>
        <v>730.2680087</v>
      </c>
      <c r="E459" s="52">
        <v>3.25</v>
      </c>
      <c r="F459" s="53">
        <v>0.18</v>
      </c>
      <c r="G459" s="53" t="s">
        <v>22</v>
      </c>
      <c r="H459" s="54" t="s">
        <v>229</v>
      </c>
      <c r="I459" s="55" t="s">
        <v>1274</v>
      </c>
      <c r="J459" s="56" t="s">
        <v>276</v>
      </c>
      <c r="K459" s="57" t="s">
        <v>282</v>
      </c>
      <c r="L459" s="58" t="s">
        <v>1277</v>
      </c>
      <c r="M459" s="59">
        <v>8.708999E7</v>
      </c>
      <c r="N459" s="59" t="s">
        <v>28</v>
      </c>
      <c r="O459" s="60">
        <v>8.04</v>
      </c>
      <c r="P459" s="59">
        <v>7.899823506799E12</v>
      </c>
      <c r="Q459" s="59">
        <v>1.0</v>
      </c>
    </row>
    <row r="460" ht="15.75" customHeight="1">
      <c r="A460" s="50" t="s">
        <v>1278</v>
      </c>
      <c r="B460" s="36">
        <v>370.4235257300001</v>
      </c>
      <c r="C460" s="51">
        <f>'Lista de Preço 02_2022'!$B460*0.9*0.9*0.9*0.9*0.9*0.97</f>
        <v>212.1694461</v>
      </c>
      <c r="D460" s="36">
        <f>'Lista de Preço 02_2022'!$C460*1.1712</f>
        <v>248.4928552</v>
      </c>
      <c r="E460" s="52">
        <v>3.25</v>
      </c>
      <c r="F460" s="53">
        <v>0.18</v>
      </c>
      <c r="G460" s="53" t="s">
        <v>22</v>
      </c>
      <c r="H460" s="54" t="s">
        <v>70</v>
      </c>
      <c r="I460" s="55" t="s">
        <v>1274</v>
      </c>
      <c r="J460" s="56" t="s">
        <v>276</v>
      </c>
      <c r="K460" s="57" t="s">
        <v>282</v>
      </c>
      <c r="L460" s="58"/>
      <c r="M460" s="59">
        <v>8.708999E7</v>
      </c>
      <c r="N460" s="59" t="s">
        <v>28</v>
      </c>
      <c r="O460" s="60">
        <v>2.2</v>
      </c>
      <c r="P460" s="59">
        <v>7.899823506805E12</v>
      </c>
      <c r="Q460" s="59">
        <v>1.0</v>
      </c>
    </row>
    <row r="461" ht="15.75" customHeight="1">
      <c r="A461" s="50" t="s">
        <v>1279</v>
      </c>
      <c r="B461" s="36">
        <v>1108.2548692154</v>
      </c>
      <c r="C461" s="51">
        <f>'Lista de Preço 02_2022'!$B461*0.9*0.9*0.9*0.9*0.9*0.97</f>
        <v>634.7810152</v>
      </c>
      <c r="D461" s="36">
        <f>'Lista de Preço 02_2022'!$C461*1.1712</f>
        <v>743.455525</v>
      </c>
      <c r="E461" s="52">
        <v>3.25</v>
      </c>
      <c r="F461" s="53">
        <v>0.18</v>
      </c>
      <c r="G461" s="53" t="s">
        <v>22</v>
      </c>
      <c r="H461" s="54" t="s">
        <v>229</v>
      </c>
      <c r="I461" s="55" t="s">
        <v>1280</v>
      </c>
      <c r="J461" s="56" t="s">
        <v>231</v>
      </c>
      <c r="K461" s="57" t="s">
        <v>157</v>
      </c>
      <c r="L461" s="58" t="s">
        <v>1281</v>
      </c>
      <c r="M461" s="59">
        <v>8.708999E7</v>
      </c>
      <c r="N461" s="59" t="s">
        <v>28</v>
      </c>
      <c r="O461" s="60">
        <v>7.2</v>
      </c>
      <c r="P461" s="59">
        <v>7.899823506812E12</v>
      </c>
      <c r="Q461" s="59">
        <v>1.0</v>
      </c>
    </row>
    <row r="462" ht="15.75" customHeight="1">
      <c r="A462" s="50" t="s">
        <v>1282</v>
      </c>
      <c r="B462" s="36">
        <v>1055.4763736608002</v>
      </c>
      <c r="C462" s="51">
        <f>'Lista de Preço 02_2022'!$B462*0.9*0.9*0.9*0.9*0.9*0.97</f>
        <v>604.5507966</v>
      </c>
      <c r="D462" s="36">
        <f>'Lista de Preço 02_2022'!$C462*1.1712</f>
        <v>708.0498929</v>
      </c>
      <c r="E462" s="52">
        <v>3.25</v>
      </c>
      <c r="F462" s="53">
        <v>0.18</v>
      </c>
      <c r="G462" s="53" t="s">
        <v>22</v>
      </c>
      <c r="H462" s="54" t="s">
        <v>229</v>
      </c>
      <c r="I462" s="55" t="s">
        <v>1280</v>
      </c>
      <c r="J462" s="56" t="s">
        <v>231</v>
      </c>
      <c r="K462" s="57" t="s">
        <v>157</v>
      </c>
      <c r="L462" s="58" t="s">
        <v>1283</v>
      </c>
      <c r="M462" s="59">
        <v>8.708999E7</v>
      </c>
      <c r="N462" s="59" t="s">
        <v>28</v>
      </c>
      <c r="O462" s="60">
        <v>7.46</v>
      </c>
      <c r="P462" s="59">
        <v>7.899823506829E12</v>
      </c>
      <c r="Q462" s="59">
        <v>1.0</v>
      </c>
    </row>
    <row r="463" ht="15.75" customHeight="1">
      <c r="A463" s="50" t="s">
        <v>1284</v>
      </c>
      <c r="B463" s="36">
        <v>351.82935527990014</v>
      </c>
      <c r="C463" s="51">
        <f>'Lista de Preço 02_2022'!$B463*0.9*0.9*0.9*0.9*0.9*0.97</f>
        <v>201.5191645</v>
      </c>
      <c r="D463" s="36">
        <f>'Lista de Preço 02_2022'!$C463*1.1712</f>
        <v>236.0192455</v>
      </c>
      <c r="E463" s="52">
        <v>3.25</v>
      </c>
      <c r="F463" s="53">
        <v>0.18</v>
      </c>
      <c r="G463" s="53" t="s">
        <v>22</v>
      </c>
      <c r="H463" s="54" t="s">
        <v>70</v>
      </c>
      <c r="I463" s="55" t="s">
        <v>1280</v>
      </c>
      <c r="J463" s="56" t="s">
        <v>80</v>
      </c>
      <c r="K463" s="57" t="s">
        <v>157</v>
      </c>
      <c r="L463" s="58" t="s">
        <v>1283</v>
      </c>
      <c r="M463" s="59">
        <v>8.708999E7</v>
      </c>
      <c r="N463" s="59" t="s">
        <v>28</v>
      </c>
      <c r="O463" s="60">
        <v>2.72</v>
      </c>
      <c r="P463" s="59">
        <v>7.899823506836E12</v>
      </c>
      <c r="Q463" s="59">
        <v>1.0</v>
      </c>
    </row>
    <row r="464" ht="15.75" customHeight="1">
      <c r="A464" s="50" t="s">
        <v>1285</v>
      </c>
      <c r="B464" s="36">
        <v>836.700003</v>
      </c>
      <c r="C464" s="51">
        <f>'Lista de Preço 02_2022'!$B464*0.9*0.9*0.9*0.9*0.9*0.97</f>
        <v>479.2410952</v>
      </c>
      <c r="D464" s="36">
        <f>'Lista de Preço 02_2022'!$C464*1.1712</f>
        <v>561.2871707</v>
      </c>
      <c r="E464" s="52">
        <v>3.25</v>
      </c>
      <c r="F464" s="53">
        <v>0.18</v>
      </c>
      <c r="G464" s="53" t="s">
        <v>22</v>
      </c>
      <c r="H464" s="54" t="s">
        <v>229</v>
      </c>
      <c r="I464" s="55" t="s">
        <v>1286</v>
      </c>
      <c r="J464" s="56" t="s">
        <v>231</v>
      </c>
      <c r="K464" s="57" t="s">
        <v>157</v>
      </c>
      <c r="L464" s="58" t="s">
        <v>1287</v>
      </c>
      <c r="M464" s="59">
        <v>8.708999E7</v>
      </c>
      <c r="N464" s="59" t="s">
        <v>28</v>
      </c>
      <c r="O464" s="60">
        <v>6.2</v>
      </c>
      <c r="P464" s="59">
        <v>7.899823506843E12</v>
      </c>
      <c r="Q464" s="59">
        <v>1.0</v>
      </c>
    </row>
    <row r="465" ht="15.75" customHeight="1">
      <c r="A465" s="50" t="s">
        <v>1288</v>
      </c>
      <c r="B465" s="36">
        <v>895.420818</v>
      </c>
      <c r="C465" s="51">
        <f>'Lista de Preço 02_2022'!$B465*0.9*0.9*0.9*0.9*0.9*0.97</f>
        <v>512.8749277</v>
      </c>
      <c r="D465" s="36">
        <f>'Lista de Preço 02_2022'!$C465*1.1712</f>
        <v>600.6791153</v>
      </c>
      <c r="E465" s="52">
        <v>3.25</v>
      </c>
      <c r="F465" s="53">
        <v>0.18</v>
      </c>
      <c r="G465" s="53" t="s">
        <v>22</v>
      </c>
      <c r="H465" s="54" t="s">
        <v>229</v>
      </c>
      <c r="I465" s="55" t="s">
        <v>1286</v>
      </c>
      <c r="J465" s="56" t="s">
        <v>231</v>
      </c>
      <c r="K465" s="57" t="s">
        <v>157</v>
      </c>
      <c r="L465" s="58" t="s">
        <v>1289</v>
      </c>
      <c r="M465" s="59">
        <v>8.708999E7</v>
      </c>
      <c r="N465" s="59" t="s">
        <v>28</v>
      </c>
      <c r="O465" s="60">
        <v>6.54</v>
      </c>
      <c r="P465" s="59">
        <v>7.89982350685E12</v>
      </c>
      <c r="Q465" s="59">
        <v>1.0</v>
      </c>
    </row>
    <row r="466" ht="15.75" customHeight="1">
      <c r="A466" s="50" t="s">
        <v>1290</v>
      </c>
      <c r="B466" s="36">
        <v>287.26700103</v>
      </c>
      <c r="C466" s="51">
        <f>'Lista de Preço 02_2022'!$B466*0.9*0.9*0.9*0.9*0.9*0.97</f>
        <v>164.5394427</v>
      </c>
      <c r="D466" s="36">
        <f>'Lista de Preço 02_2022'!$C466*1.1712</f>
        <v>192.7085953</v>
      </c>
      <c r="E466" s="52">
        <v>3.25</v>
      </c>
      <c r="F466" s="53">
        <v>0.18</v>
      </c>
      <c r="G466" s="53" t="s">
        <v>22</v>
      </c>
      <c r="H466" s="54" t="s">
        <v>70</v>
      </c>
      <c r="I466" s="55" t="s">
        <v>1286</v>
      </c>
      <c r="J466" s="56" t="s">
        <v>80</v>
      </c>
      <c r="K466" s="57" t="s">
        <v>157</v>
      </c>
      <c r="L466" s="58"/>
      <c r="M466" s="59">
        <v>8.708999E7</v>
      </c>
      <c r="N466" s="59" t="s">
        <v>28</v>
      </c>
      <c r="O466" s="60">
        <v>2.2</v>
      </c>
      <c r="P466" s="59">
        <v>7.899823506867E12</v>
      </c>
      <c r="Q466" s="59">
        <v>1.0</v>
      </c>
    </row>
    <row r="467" ht="15.75" customHeight="1">
      <c r="A467" s="50" t="s">
        <v>1291</v>
      </c>
      <c r="B467" s="36">
        <v>344.72258669000007</v>
      </c>
      <c r="C467" s="51">
        <f>'Lista de Preço 02_2022'!$B467*0.9*0.9*0.9*0.9*0.9*0.97</f>
        <v>197.448583</v>
      </c>
      <c r="D467" s="36">
        <f>'Lista de Preço 02_2022'!$C467*1.1712</f>
        <v>231.2517804</v>
      </c>
      <c r="E467" s="52">
        <v>3.25</v>
      </c>
      <c r="F467" s="53">
        <v>0.18</v>
      </c>
      <c r="G467" s="53" t="s">
        <v>22</v>
      </c>
      <c r="H467" s="54" t="s">
        <v>70</v>
      </c>
      <c r="I467" s="55" t="s">
        <v>1292</v>
      </c>
      <c r="J467" s="56" t="s">
        <v>80</v>
      </c>
      <c r="K467" s="57" t="s">
        <v>86</v>
      </c>
      <c r="L467" s="58"/>
      <c r="M467" s="59">
        <v>8.708999E7</v>
      </c>
      <c r="N467" s="59" t="s">
        <v>28</v>
      </c>
      <c r="O467" s="60">
        <v>2.04</v>
      </c>
      <c r="P467" s="59">
        <v>7.899823506898E12</v>
      </c>
      <c r="Q467" s="59">
        <v>1.0</v>
      </c>
    </row>
    <row r="468" ht="15.75" customHeight="1">
      <c r="A468" s="50" t="s">
        <v>1293</v>
      </c>
      <c r="B468" s="36">
        <v>1073.47315026</v>
      </c>
      <c r="C468" s="51">
        <f>'Lista de Preço 02_2022'!$B468*0.9*0.9*0.9*0.9*0.9*0.97</f>
        <v>614.8589057</v>
      </c>
      <c r="D468" s="36">
        <f>'Lista de Preço 02_2022'!$C468*1.1712</f>
        <v>720.1227503</v>
      </c>
      <c r="E468" s="52">
        <v>3.25</v>
      </c>
      <c r="F468" s="53">
        <v>0.18</v>
      </c>
      <c r="G468" s="53" t="s">
        <v>22</v>
      </c>
      <c r="H468" s="54" t="s">
        <v>229</v>
      </c>
      <c r="I468" s="55" t="s">
        <v>1294</v>
      </c>
      <c r="J468" s="56" t="s">
        <v>231</v>
      </c>
      <c r="K468" s="57" t="s">
        <v>26</v>
      </c>
      <c r="L468" s="58" t="s">
        <v>1295</v>
      </c>
      <c r="M468" s="59">
        <v>8.708999E7</v>
      </c>
      <c r="N468" s="59" t="s">
        <v>28</v>
      </c>
      <c r="O468" s="60">
        <v>8.12</v>
      </c>
      <c r="P468" s="59">
        <v>7.899823511342E12</v>
      </c>
      <c r="Q468" s="59">
        <v>1.0</v>
      </c>
    </row>
    <row r="469" ht="15.75" customHeight="1">
      <c r="A469" s="50" t="s">
        <v>1296</v>
      </c>
      <c r="B469" s="36">
        <v>660.5587760000001</v>
      </c>
      <c r="C469" s="51">
        <f>'Lista de Preço 02_2022'!$B469*0.9*0.9*0.9*0.9*0.9*0.97</f>
        <v>378.3517511</v>
      </c>
      <c r="D469" s="36">
        <f>'Lista de Preço 02_2022'!$C469*1.1712</f>
        <v>443.1255709</v>
      </c>
      <c r="E469" s="52">
        <v>3.25</v>
      </c>
      <c r="F469" s="53">
        <v>0.18</v>
      </c>
      <c r="G469" s="53" t="s">
        <v>22</v>
      </c>
      <c r="H469" s="54" t="s">
        <v>229</v>
      </c>
      <c r="I469" s="55" t="s">
        <v>1294</v>
      </c>
      <c r="J469" s="56" t="s">
        <v>231</v>
      </c>
      <c r="K469" s="57" t="s">
        <v>26</v>
      </c>
      <c r="L469" s="58" t="s">
        <v>1297</v>
      </c>
      <c r="M469" s="59">
        <v>8.708999E7</v>
      </c>
      <c r="N469" s="59" t="s">
        <v>28</v>
      </c>
      <c r="O469" s="60">
        <v>5.6</v>
      </c>
      <c r="P469" s="59">
        <v>7.899823511359E12</v>
      </c>
      <c r="Q469" s="59">
        <v>1.0</v>
      </c>
    </row>
    <row r="470" ht="15.75" customHeight="1">
      <c r="A470" s="50" t="s">
        <v>1298</v>
      </c>
      <c r="B470" s="36">
        <v>1100.0472100000002</v>
      </c>
      <c r="C470" s="51">
        <f>'Lista de Preço 02_2022'!$B470*0.9*0.9*0.9*0.9*0.9*0.97</f>
        <v>630.0798707</v>
      </c>
      <c r="D470" s="36">
        <f>'Lista de Preço 02_2022'!$C470*1.1712</f>
        <v>737.9495446</v>
      </c>
      <c r="E470" s="52">
        <v>3.25</v>
      </c>
      <c r="F470" s="53">
        <v>0.18</v>
      </c>
      <c r="G470" s="53" t="s">
        <v>22</v>
      </c>
      <c r="H470" s="54" t="s">
        <v>229</v>
      </c>
      <c r="I470" s="55" t="s">
        <v>1299</v>
      </c>
      <c r="J470" s="56" t="s">
        <v>231</v>
      </c>
      <c r="K470" s="57" t="s">
        <v>26</v>
      </c>
      <c r="L470" s="58" t="s">
        <v>1300</v>
      </c>
      <c r="M470" s="59">
        <v>8.708999E7</v>
      </c>
      <c r="N470" s="59" t="s">
        <v>28</v>
      </c>
      <c r="O470" s="60">
        <v>9.02</v>
      </c>
      <c r="P470" s="59">
        <v>7.899823511366E12</v>
      </c>
      <c r="Q470" s="59">
        <v>1.0</v>
      </c>
    </row>
    <row r="471" ht="15.75" customHeight="1">
      <c r="A471" s="50" t="s">
        <v>1301</v>
      </c>
      <c r="B471" s="36">
        <v>915.9346986700001</v>
      </c>
      <c r="C471" s="51">
        <f>'Lista de Preço 02_2022'!$B471*0.9*0.9*0.9*0.9*0.9*0.97</f>
        <v>524.6247718</v>
      </c>
      <c r="D471" s="36">
        <f>'Lista de Preço 02_2022'!$C471*1.1712</f>
        <v>614.4405327</v>
      </c>
      <c r="E471" s="52">
        <v>3.25</v>
      </c>
      <c r="F471" s="53">
        <v>0.18</v>
      </c>
      <c r="G471" s="53" t="s">
        <v>22</v>
      </c>
      <c r="H471" s="54" t="s">
        <v>229</v>
      </c>
      <c r="I471" s="55" t="s">
        <v>1299</v>
      </c>
      <c r="J471" s="56" t="s">
        <v>231</v>
      </c>
      <c r="K471" s="57" t="s">
        <v>26</v>
      </c>
      <c r="L471" s="58" t="s">
        <v>1302</v>
      </c>
      <c r="M471" s="59">
        <v>8.708999E7</v>
      </c>
      <c r="N471" s="59" t="s">
        <v>28</v>
      </c>
      <c r="O471" s="60">
        <v>6.72</v>
      </c>
      <c r="P471" s="59">
        <v>7.899823511373E12</v>
      </c>
      <c r="Q471" s="59">
        <v>1.0</v>
      </c>
    </row>
    <row r="472" ht="15.75" customHeight="1">
      <c r="A472" s="50" t="s">
        <v>1303</v>
      </c>
      <c r="B472" s="36">
        <v>1139.17012539</v>
      </c>
      <c r="C472" s="51">
        <f>'Lista de Preço 02_2022'!$B472*0.9*0.9*0.9*0.9*0.9*0.97</f>
        <v>652.4885103</v>
      </c>
      <c r="D472" s="36">
        <f>'Lista de Preço 02_2022'!$C472*1.1712</f>
        <v>764.1945433</v>
      </c>
      <c r="E472" s="52">
        <v>3.25</v>
      </c>
      <c r="F472" s="53">
        <v>0.18</v>
      </c>
      <c r="G472" s="53" t="s">
        <v>22</v>
      </c>
      <c r="H472" s="54" t="s">
        <v>229</v>
      </c>
      <c r="I472" s="55" t="s">
        <v>1304</v>
      </c>
      <c r="J472" s="56" t="s">
        <v>231</v>
      </c>
      <c r="K472" s="57" t="s">
        <v>95</v>
      </c>
      <c r="L472" s="58">
        <v>5.1996654E7</v>
      </c>
      <c r="M472" s="59">
        <v>8.708999E7</v>
      </c>
      <c r="N472" s="59" t="s">
        <v>28</v>
      </c>
      <c r="O472" s="60">
        <v>7.44</v>
      </c>
      <c r="P472" s="59">
        <v>7.899823509943E12</v>
      </c>
      <c r="Q472" s="59">
        <v>1.0</v>
      </c>
    </row>
    <row r="473" ht="15.75" customHeight="1">
      <c r="A473" s="50" t="s">
        <v>1305</v>
      </c>
      <c r="B473" s="36">
        <v>1387.2536421272002</v>
      </c>
      <c r="C473" s="51">
        <f>'Lista de Preço 02_2022'!$B473*0.9*0.9*0.9*0.9*0.9*0.97</f>
        <v>794.584621</v>
      </c>
      <c r="D473" s="36">
        <f>'Lista de Preço 02_2022'!$C473*1.1712</f>
        <v>930.6175082</v>
      </c>
      <c r="E473" s="52">
        <v>3.25</v>
      </c>
      <c r="F473" s="53">
        <v>0.18</v>
      </c>
      <c r="G473" s="53" t="s">
        <v>22</v>
      </c>
      <c r="H473" s="54" t="s">
        <v>229</v>
      </c>
      <c r="I473" s="55" t="s">
        <v>1304</v>
      </c>
      <c r="J473" s="56" t="s">
        <v>231</v>
      </c>
      <c r="K473" s="57" t="s">
        <v>95</v>
      </c>
      <c r="L473" s="58">
        <v>5.2043358E7</v>
      </c>
      <c r="M473" s="59">
        <v>8.708999E7</v>
      </c>
      <c r="N473" s="59" t="s">
        <v>28</v>
      </c>
      <c r="O473" s="60">
        <v>9.44</v>
      </c>
      <c r="P473" s="59">
        <v>7.89982350995E12</v>
      </c>
      <c r="Q473" s="59">
        <v>1.0</v>
      </c>
    </row>
    <row r="474" ht="15.75" customHeight="1">
      <c r="A474" s="50" t="s">
        <v>1306</v>
      </c>
      <c r="B474" s="36">
        <v>1394.9254653124353</v>
      </c>
      <c r="C474" s="51">
        <f>'Lista de Preço 02_2022'!$B474*0.9*0.9*0.9*0.9*0.9*0.97</f>
        <v>798.9788519</v>
      </c>
      <c r="D474" s="36">
        <f>'Lista de Preço 02_2022'!$C474*1.1712</f>
        <v>935.7640313</v>
      </c>
      <c r="E474" s="52">
        <v>3.25</v>
      </c>
      <c r="F474" s="53">
        <v>0.18</v>
      </c>
      <c r="G474" s="53" t="s">
        <v>22</v>
      </c>
      <c r="H474" s="54" t="s">
        <v>229</v>
      </c>
      <c r="I474" s="55" t="s">
        <v>1307</v>
      </c>
      <c r="J474" s="56" t="s">
        <v>231</v>
      </c>
      <c r="K474" s="57" t="s">
        <v>95</v>
      </c>
      <c r="L474" s="58">
        <v>5.2043356E7</v>
      </c>
      <c r="M474" s="59">
        <v>8.708999E7</v>
      </c>
      <c r="N474" s="59" t="s">
        <v>28</v>
      </c>
      <c r="O474" s="60">
        <v>9.76</v>
      </c>
      <c r="P474" s="59">
        <v>7.899823509967E12</v>
      </c>
      <c r="Q474" s="59">
        <v>1.0</v>
      </c>
    </row>
    <row r="475" ht="15.75" customHeight="1">
      <c r="A475" s="50" t="s">
        <v>1308</v>
      </c>
      <c r="B475" s="36">
        <v>1042.8137439121</v>
      </c>
      <c r="C475" s="51">
        <f>'Lista de Preço 02_2022'!$B475*0.9*0.9*0.9*0.9*0.9*0.97</f>
        <v>597.297955</v>
      </c>
      <c r="D475" s="36">
        <f>'Lista de Preço 02_2022'!$C475*1.1712</f>
        <v>699.5553649</v>
      </c>
      <c r="E475" s="52">
        <v>3.25</v>
      </c>
      <c r="F475" s="53">
        <v>0.18</v>
      </c>
      <c r="G475" s="53" t="s">
        <v>22</v>
      </c>
      <c r="H475" s="54" t="s">
        <v>229</v>
      </c>
      <c r="I475" s="55" t="s">
        <v>1307</v>
      </c>
      <c r="J475" s="56" t="s">
        <v>231</v>
      </c>
      <c r="K475" s="57" t="s">
        <v>95</v>
      </c>
      <c r="L475" s="58">
        <v>5.2043357E7</v>
      </c>
      <c r="M475" s="59">
        <v>8.708999E7</v>
      </c>
      <c r="N475" s="59" t="s">
        <v>28</v>
      </c>
      <c r="O475" s="60">
        <v>7.04</v>
      </c>
      <c r="P475" s="59">
        <v>7.899823509974E12</v>
      </c>
      <c r="Q475" s="59">
        <v>1.0</v>
      </c>
    </row>
    <row r="476" ht="15.75" customHeight="1">
      <c r="A476" s="35" t="s">
        <v>1309</v>
      </c>
      <c r="B476" s="36">
        <v>12.573961283989897</v>
      </c>
      <c r="C476" s="36">
        <f>'Lista de Preço 02_2022'!$B476*0.9*0.9*0.9*0.9*0.9*0.97</f>
        <v>7.202054447</v>
      </c>
      <c r="D476" s="36">
        <f>'Lista de Preço 02_2022'!$C476*1.1627</f>
        <v>8.373828705</v>
      </c>
      <c r="E476" s="37">
        <v>2.6</v>
      </c>
      <c r="F476" s="38">
        <v>0.18</v>
      </c>
      <c r="G476" s="38" t="s">
        <v>37</v>
      </c>
      <c r="H476" s="39" t="s">
        <v>38</v>
      </c>
      <c r="I476" s="40" t="s">
        <v>1310</v>
      </c>
      <c r="J476" s="41" t="s">
        <v>40</v>
      </c>
      <c r="K476" s="42" t="s">
        <v>303</v>
      </c>
      <c r="L476" s="43" t="s">
        <v>1311</v>
      </c>
      <c r="M476" s="42">
        <v>8.70893E7</v>
      </c>
      <c r="N476" s="44" t="s">
        <v>28</v>
      </c>
      <c r="O476" s="45">
        <v>0.106</v>
      </c>
      <c r="P476" s="44">
        <v>7.898233431684E12</v>
      </c>
      <c r="Q476" s="44">
        <v>1.0</v>
      </c>
    </row>
    <row r="477" ht="15.75" customHeight="1">
      <c r="A477" s="50" t="s">
        <v>1312</v>
      </c>
      <c r="B477" s="36">
        <v>332.00324441000004</v>
      </c>
      <c r="C477" s="51">
        <f>'Lista de Preço 02_2022'!$B477*0.9*0.9*0.9*0.9*0.9*0.97</f>
        <v>190.1632579</v>
      </c>
      <c r="D477" s="36">
        <f>'Lista de Preço 02_2022'!$C477*1.1712</f>
        <v>222.7192077</v>
      </c>
      <c r="E477" s="52">
        <v>3.25</v>
      </c>
      <c r="F477" s="53">
        <v>0.18</v>
      </c>
      <c r="G477" s="53" t="s">
        <v>22</v>
      </c>
      <c r="H477" s="54" t="s">
        <v>70</v>
      </c>
      <c r="I477" s="55" t="s">
        <v>1313</v>
      </c>
      <c r="J477" s="56" t="s">
        <v>80</v>
      </c>
      <c r="K477" s="57" t="s">
        <v>26</v>
      </c>
      <c r="L477" s="58" t="s">
        <v>1314</v>
      </c>
      <c r="M477" s="59">
        <v>8.708999E7</v>
      </c>
      <c r="N477" s="59" t="s">
        <v>28</v>
      </c>
      <c r="O477" s="60">
        <v>2.28</v>
      </c>
      <c r="P477" s="59">
        <v>7.89982351125E12</v>
      </c>
      <c r="Q477" s="59">
        <v>1.0</v>
      </c>
    </row>
    <row r="478" ht="15.75" customHeight="1">
      <c r="A478" s="50" t="s">
        <v>1315</v>
      </c>
      <c r="B478" s="36">
        <v>312.03303785850005</v>
      </c>
      <c r="C478" s="51">
        <f>'Lista de Preço 02_2022'!$B478*0.9*0.9*0.9*0.9*0.9*0.97</f>
        <v>178.7248169</v>
      </c>
      <c r="D478" s="36">
        <f>'Lista de Preço 02_2022'!$C478*1.1712</f>
        <v>209.3225055</v>
      </c>
      <c r="E478" s="52">
        <v>3.25</v>
      </c>
      <c r="F478" s="53">
        <v>0.18</v>
      </c>
      <c r="G478" s="53" t="s">
        <v>22</v>
      </c>
      <c r="H478" s="54" t="s">
        <v>70</v>
      </c>
      <c r="I478" s="55" t="s">
        <v>1316</v>
      </c>
      <c r="J478" s="56" t="s">
        <v>80</v>
      </c>
      <c r="K478" s="57" t="s">
        <v>277</v>
      </c>
      <c r="L478" s="58" t="s">
        <v>1317</v>
      </c>
      <c r="M478" s="59">
        <v>8.708999E7</v>
      </c>
      <c r="N478" s="59" t="s">
        <v>28</v>
      </c>
      <c r="O478" s="60">
        <v>2.32</v>
      </c>
      <c r="P478" s="59">
        <v>7.899823509981E12</v>
      </c>
      <c r="Q478" s="59">
        <v>1.0</v>
      </c>
    </row>
    <row r="479" ht="15.75" customHeight="1">
      <c r="A479" s="50" t="s">
        <v>1318</v>
      </c>
      <c r="B479" s="36">
        <v>209.58079500000002</v>
      </c>
      <c r="C479" s="51">
        <f>'Lista de Preço 02_2022'!$B479*0.9*0.9*0.9*0.9*0.9*0.97</f>
        <v>120.0427027</v>
      </c>
      <c r="D479" s="36">
        <f>'Lista de Preço 02_2022'!$C479*1.1712</f>
        <v>140.5940134</v>
      </c>
      <c r="E479" s="52">
        <v>3.25</v>
      </c>
      <c r="F479" s="53">
        <v>0.18</v>
      </c>
      <c r="G479" s="53" t="s">
        <v>22</v>
      </c>
      <c r="H479" s="54" t="s">
        <v>70</v>
      </c>
      <c r="I479" s="55" t="s">
        <v>1319</v>
      </c>
      <c r="J479" s="56" t="s">
        <v>80</v>
      </c>
      <c r="K479" s="57" t="s">
        <v>73</v>
      </c>
      <c r="L479" s="58" t="s">
        <v>1320</v>
      </c>
      <c r="M479" s="59">
        <v>8.708999E7</v>
      </c>
      <c r="N479" s="59" t="s">
        <v>28</v>
      </c>
      <c r="O479" s="60">
        <v>1.41</v>
      </c>
      <c r="P479" s="59">
        <v>7.899823511267E12</v>
      </c>
      <c r="Q479" s="59">
        <v>1.0</v>
      </c>
    </row>
    <row r="480" ht="15.75" customHeight="1">
      <c r="A480" s="50" t="s">
        <v>1321</v>
      </c>
      <c r="B480" s="36">
        <v>249.7973922</v>
      </c>
      <c r="C480" s="51">
        <f>'Lista de Preço 02_2022'!$B480*0.9*0.9*0.9*0.9*0.9*0.97</f>
        <v>143.0777763</v>
      </c>
      <c r="D480" s="36">
        <f>'Lista de Preço 02_2022'!$C480*1.1712</f>
        <v>167.5726916</v>
      </c>
      <c r="E480" s="52">
        <v>3.25</v>
      </c>
      <c r="F480" s="53">
        <v>0.18</v>
      </c>
      <c r="G480" s="53" t="s">
        <v>22</v>
      </c>
      <c r="H480" s="54" t="s">
        <v>70</v>
      </c>
      <c r="I480" s="55" t="s">
        <v>1322</v>
      </c>
      <c r="J480" s="56" t="s">
        <v>80</v>
      </c>
      <c r="K480" s="57" t="s">
        <v>153</v>
      </c>
      <c r="L480" s="58" t="s">
        <v>1323</v>
      </c>
      <c r="M480" s="59">
        <v>8.708999E7</v>
      </c>
      <c r="N480" s="59" t="s">
        <v>28</v>
      </c>
      <c r="O480" s="60">
        <v>1.6</v>
      </c>
      <c r="P480" s="59">
        <v>7.899823511274E12</v>
      </c>
      <c r="Q480" s="59">
        <v>1.0</v>
      </c>
    </row>
    <row r="481" ht="15.75" customHeight="1">
      <c r="A481" s="50" t="s">
        <v>1324</v>
      </c>
      <c r="B481" s="36">
        <v>240.32344911</v>
      </c>
      <c r="C481" s="51">
        <f>'Lista de Preço 02_2022'!$B481*0.9*0.9*0.9*0.9*0.9*0.97</f>
        <v>137.6513357</v>
      </c>
      <c r="D481" s="36">
        <f>'Lista de Preço 02_2022'!$C481*1.1712</f>
        <v>161.2172443</v>
      </c>
      <c r="E481" s="52">
        <v>3.25</v>
      </c>
      <c r="F481" s="53">
        <v>0.18</v>
      </c>
      <c r="G481" s="53" t="s">
        <v>22</v>
      </c>
      <c r="H481" s="54" t="s">
        <v>70</v>
      </c>
      <c r="I481" s="55" t="s">
        <v>1325</v>
      </c>
      <c r="J481" s="56" t="s">
        <v>80</v>
      </c>
      <c r="K481" s="57" t="s">
        <v>26</v>
      </c>
      <c r="L481" s="58" t="s">
        <v>1326</v>
      </c>
      <c r="M481" s="59">
        <v>8.708999E7</v>
      </c>
      <c r="N481" s="59" t="s">
        <v>28</v>
      </c>
      <c r="O481" s="60">
        <v>1.62</v>
      </c>
      <c r="P481" s="59">
        <v>7.899823511281E12</v>
      </c>
      <c r="Q481" s="59">
        <v>1.0</v>
      </c>
    </row>
    <row r="482" ht="15.75" customHeight="1">
      <c r="A482" s="50" t="s">
        <v>1327</v>
      </c>
      <c r="B482" s="36">
        <v>271.707099</v>
      </c>
      <c r="C482" s="51">
        <f>'Lista de Preço 02_2022'!$B482*0.9*0.9*0.9*0.9*0.9*0.97</f>
        <v>155.6271151</v>
      </c>
      <c r="D482" s="36">
        <f>'Lista de Preço 02_2022'!$C482*1.1712</f>
        <v>182.2704773</v>
      </c>
      <c r="E482" s="52">
        <v>3.25</v>
      </c>
      <c r="F482" s="53">
        <v>0.18</v>
      </c>
      <c r="G482" s="53" t="s">
        <v>22</v>
      </c>
      <c r="H482" s="54" t="s">
        <v>70</v>
      </c>
      <c r="I482" s="55" t="s">
        <v>1328</v>
      </c>
      <c r="J482" s="56" t="s">
        <v>80</v>
      </c>
      <c r="K482" s="57" t="s">
        <v>26</v>
      </c>
      <c r="L482" s="58" t="s">
        <v>1329</v>
      </c>
      <c r="M482" s="59">
        <v>8.708999E7</v>
      </c>
      <c r="N482" s="59" t="s">
        <v>28</v>
      </c>
      <c r="O482" s="60">
        <v>1.92</v>
      </c>
      <c r="P482" s="59">
        <v>7.899823511298E12</v>
      </c>
      <c r="Q482" s="59">
        <v>1.0</v>
      </c>
    </row>
    <row r="483" ht="15.75" customHeight="1">
      <c r="A483" s="50" t="s">
        <v>1330</v>
      </c>
      <c r="B483" s="36">
        <v>233.97470524</v>
      </c>
      <c r="C483" s="51">
        <f>'Lista de Preço 02_2022'!$B483*0.9*0.9*0.9*0.9*0.9*0.97</f>
        <v>134.014932</v>
      </c>
      <c r="D483" s="36">
        <f>'Lista de Preço 02_2022'!$C483*1.1712</f>
        <v>156.9582883</v>
      </c>
      <c r="E483" s="52">
        <v>3.25</v>
      </c>
      <c r="F483" s="53">
        <v>0.18</v>
      </c>
      <c r="G483" s="53" t="s">
        <v>22</v>
      </c>
      <c r="H483" s="54" t="s">
        <v>70</v>
      </c>
      <c r="I483" s="55" t="s">
        <v>1331</v>
      </c>
      <c r="J483" s="56" t="s">
        <v>80</v>
      </c>
      <c r="K483" s="57" t="s">
        <v>73</v>
      </c>
      <c r="L483" s="58" t="s">
        <v>1332</v>
      </c>
      <c r="M483" s="59">
        <v>8.708999E7</v>
      </c>
      <c r="N483" s="59" t="s">
        <v>28</v>
      </c>
      <c r="O483" s="60">
        <v>1.64</v>
      </c>
      <c r="P483" s="59">
        <v>7.899823511304E12</v>
      </c>
      <c r="Q483" s="59">
        <v>1.0</v>
      </c>
    </row>
    <row r="484" ht="15.75" customHeight="1">
      <c r="A484" s="50" t="s">
        <v>1333</v>
      </c>
      <c r="B484" s="36">
        <v>268.76713292000005</v>
      </c>
      <c r="C484" s="51">
        <f>'Lista de Preço 02_2022'!$B484*0.9*0.9*0.9*0.9*0.9*0.97</f>
        <v>153.9431752</v>
      </c>
      <c r="D484" s="36">
        <f>'Lista de Preço 02_2022'!$C484*1.1712</f>
        <v>180.2982468</v>
      </c>
      <c r="E484" s="52">
        <v>3.25</v>
      </c>
      <c r="F484" s="53">
        <v>0.18</v>
      </c>
      <c r="G484" s="53" t="s">
        <v>22</v>
      </c>
      <c r="H484" s="54" t="s">
        <v>70</v>
      </c>
      <c r="I484" s="55" t="s">
        <v>1334</v>
      </c>
      <c r="J484" s="56" t="s">
        <v>80</v>
      </c>
      <c r="K484" s="57" t="s">
        <v>153</v>
      </c>
      <c r="L484" s="58" t="s">
        <v>1335</v>
      </c>
      <c r="M484" s="59">
        <v>8.708999E7</v>
      </c>
      <c r="N484" s="59" t="s">
        <v>28</v>
      </c>
      <c r="O484" s="60">
        <v>1.66</v>
      </c>
      <c r="P484" s="59">
        <v>7.899823511311E12</v>
      </c>
      <c r="Q484" s="59">
        <v>1.0</v>
      </c>
    </row>
    <row r="485" ht="15.75" customHeight="1">
      <c r="A485" s="35" t="s">
        <v>1336</v>
      </c>
      <c r="B485" s="36">
        <v>71.87943286729399</v>
      </c>
      <c r="C485" s="36">
        <f>'Lista de Preço 02_2022'!$B485*0.9*0.9*0.9*0.9*0.9*0.97</f>
        <v>41.17076372</v>
      </c>
      <c r="D485" s="36">
        <f>'Lista de Preço 02_2022'!$C485*1.1627</f>
        <v>47.86924698</v>
      </c>
      <c r="E485" s="37">
        <v>2.6</v>
      </c>
      <c r="F485" s="38">
        <v>0.18</v>
      </c>
      <c r="G485" s="38" t="s">
        <v>37</v>
      </c>
      <c r="H485" s="39" t="s">
        <v>38</v>
      </c>
      <c r="I485" s="40" t="s">
        <v>917</v>
      </c>
      <c r="J485" s="41" t="s">
        <v>302</v>
      </c>
      <c r="K485" s="42" t="s">
        <v>303</v>
      </c>
      <c r="L485" s="43" t="s">
        <v>1337</v>
      </c>
      <c r="M485" s="42">
        <v>8.70893E7</v>
      </c>
      <c r="N485" s="44" t="s">
        <v>28</v>
      </c>
      <c r="O485" s="45">
        <v>0.302</v>
      </c>
      <c r="P485" s="44">
        <v>7.898233433626E12</v>
      </c>
      <c r="Q485" s="44">
        <v>1.0</v>
      </c>
    </row>
    <row r="486" ht="15.75" customHeight="1">
      <c r="A486" s="50" t="s">
        <v>1338</v>
      </c>
      <c r="B486" s="36">
        <v>262.45117086</v>
      </c>
      <c r="C486" s="51">
        <f>'Lista de Preço 02_2022'!$B486*0.9*0.9*0.9*0.9*0.9*0.97</f>
        <v>150.3255481</v>
      </c>
      <c r="D486" s="36">
        <f>'Lista de Preço 02_2022'!$C486*1.1712</f>
        <v>176.061282</v>
      </c>
      <c r="E486" s="52">
        <v>3.25</v>
      </c>
      <c r="F486" s="53">
        <v>0.18</v>
      </c>
      <c r="G486" s="53" t="s">
        <v>22</v>
      </c>
      <c r="H486" s="54" t="s">
        <v>70</v>
      </c>
      <c r="I486" s="55" t="s">
        <v>1339</v>
      </c>
      <c r="J486" s="56" t="s">
        <v>80</v>
      </c>
      <c r="K486" s="57" t="s">
        <v>86</v>
      </c>
      <c r="L486" s="58" t="s">
        <v>1340</v>
      </c>
      <c r="M486" s="59">
        <v>8.708999E7</v>
      </c>
      <c r="N486" s="59" t="s">
        <v>28</v>
      </c>
      <c r="O486" s="60">
        <v>1.72</v>
      </c>
      <c r="P486" s="59">
        <v>7.899823511328E12</v>
      </c>
      <c r="Q486" s="59">
        <v>1.0</v>
      </c>
    </row>
    <row r="487" ht="15.75" customHeight="1">
      <c r="A487" s="50" t="s">
        <v>1341</v>
      </c>
      <c r="B487" s="36">
        <v>1169.9904479890004</v>
      </c>
      <c r="C487" s="51">
        <f>'Lista de Preço 02_2022'!$B487*0.9*0.9*0.9*0.9*0.9*0.97</f>
        <v>670.1416298</v>
      </c>
      <c r="D487" s="36">
        <f>'Lista de Preço 02_2022'!$C487*1.1712</f>
        <v>784.8698769</v>
      </c>
      <c r="E487" s="52">
        <v>3.25</v>
      </c>
      <c r="F487" s="53">
        <v>0.18</v>
      </c>
      <c r="G487" s="53" t="s">
        <v>22</v>
      </c>
      <c r="H487" s="54" t="s">
        <v>229</v>
      </c>
      <c r="I487" s="55" t="s">
        <v>1342</v>
      </c>
      <c r="J487" s="56" t="s">
        <v>1343</v>
      </c>
      <c r="K487" s="57" t="s">
        <v>68</v>
      </c>
      <c r="L487" s="58" t="s">
        <v>1344</v>
      </c>
      <c r="M487" s="59">
        <v>8.708999E7</v>
      </c>
      <c r="N487" s="59" t="s">
        <v>28</v>
      </c>
      <c r="O487" s="60">
        <v>9.06</v>
      </c>
      <c r="P487" s="59">
        <v>7.899823506942E12</v>
      </c>
      <c r="Q487" s="59">
        <v>1.0</v>
      </c>
    </row>
    <row r="488" ht="15.75" customHeight="1">
      <c r="A488" s="50" t="s">
        <v>1345</v>
      </c>
      <c r="B488" s="36">
        <v>343.50721965</v>
      </c>
      <c r="C488" s="51">
        <f>'Lista de Preço 02_2022'!$B488*0.9*0.9*0.9*0.9*0.9*0.97</f>
        <v>196.7524508</v>
      </c>
      <c r="D488" s="36">
        <f>'Lista de Preço 02_2022'!$C488*1.1712</f>
        <v>230.4364704</v>
      </c>
      <c r="E488" s="52">
        <v>3.25</v>
      </c>
      <c r="F488" s="53">
        <v>0.18</v>
      </c>
      <c r="G488" s="53" t="s">
        <v>22</v>
      </c>
      <c r="H488" s="54" t="s">
        <v>70</v>
      </c>
      <c r="I488" s="55" t="s">
        <v>1342</v>
      </c>
      <c r="J488" s="56" t="s">
        <v>244</v>
      </c>
      <c r="K488" s="57" t="s">
        <v>68</v>
      </c>
      <c r="L488" s="58"/>
      <c r="M488" s="59">
        <v>8.708999E7</v>
      </c>
      <c r="N488" s="59" t="s">
        <v>28</v>
      </c>
      <c r="O488" s="60">
        <v>2.92</v>
      </c>
      <c r="P488" s="59">
        <v>7.899823506959E12</v>
      </c>
      <c r="Q488" s="59">
        <v>1.0</v>
      </c>
    </row>
    <row r="489" ht="15.75" customHeight="1">
      <c r="A489" s="50" t="s">
        <v>1346</v>
      </c>
      <c r="B489" s="36">
        <v>1114.202130095587</v>
      </c>
      <c r="C489" s="51">
        <f>'Lista de Preço 02_2022'!$B489*0.9*0.9*0.9*0.9*0.9*0.97</f>
        <v>638.1874593</v>
      </c>
      <c r="D489" s="36">
        <f>'Lista de Preço 02_2022'!$C489*1.1712</f>
        <v>747.4451524</v>
      </c>
      <c r="E489" s="52">
        <v>3.25</v>
      </c>
      <c r="F489" s="53">
        <v>0.18</v>
      </c>
      <c r="G489" s="53" t="s">
        <v>22</v>
      </c>
      <c r="H489" s="54" t="s">
        <v>229</v>
      </c>
      <c r="I489" s="61" t="s">
        <v>1347</v>
      </c>
      <c r="J489" s="56" t="s">
        <v>1343</v>
      </c>
      <c r="K489" s="57" t="s">
        <v>86</v>
      </c>
      <c r="L489" s="58" t="s">
        <v>1348</v>
      </c>
      <c r="M489" s="59">
        <v>8.708999E7</v>
      </c>
      <c r="N489" s="59" t="s">
        <v>28</v>
      </c>
      <c r="O489" s="60">
        <v>10.32</v>
      </c>
      <c r="P489" s="59">
        <v>7.899823507024E12</v>
      </c>
      <c r="Q489" s="59">
        <v>1.0</v>
      </c>
    </row>
    <row r="490" ht="15.75" customHeight="1">
      <c r="A490" s="50" t="s">
        <v>1349</v>
      </c>
      <c r="B490" s="36">
        <v>1088.1703284100001</v>
      </c>
      <c r="C490" s="51">
        <f>'Lista de Preço 02_2022'!$B490*0.9*0.9*0.9*0.9*0.9*0.97</f>
        <v>623.2770863</v>
      </c>
      <c r="D490" s="36">
        <f>'Lista de Preço 02_2022'!$C490*1.1712</f>
        <v>729.9821235</v>
      </c>
      <c r="E490" s="52">
        <v>3.25</v>
      </c>
      <c r="F490" s="53">
        <v>0.18</v>
      </c>
      <c r="G490" s="53" t="s">
        <v>22</v>
      </c>
      <c r="H490" s="54" t="s">
        <v>229</v>
      </c>
      <c r="I490" s="61" t="s">
        <v>1350</v>
      </c>
      <c r="J490" s="56" t="s">
        <v>260</v>
      </c>
      <c r="K490" s="57" t="s">
        <v>153</v>
      </c>
      <c r="L490" s="58"/>
      <c r="M490" s="59">
        <v>8.708999E7</v>
      </c>
      <c r="N490" s="59" t="s">
        <v>28</v>
      </c>
      <c r="O490" s="60">
        <v>12.48</v>
      </c>
      <c r="P490" s="59">
        <v>7.899823509899E12</v>
      </c>
      <c r="Q490" s="59">
        <v>1.0</v>
      </c>
    </row>
    <row r="491" ht="15.75" customHeight="1">
      <c r="A491" s="50" t="s">
        <v>1351</v>
      </c>
      <c r="B491" s="36">
        <v>814.8239267299999</v>
      </c>
      <c r="C491" s="51">
        <f>'Lista de Preço 02_2022'!$B491*0.9*0.9*0.9*0.9*0.9*0.97</f>
        <v>466.7110191</v>
      </c>
      <c r="D491" s="36">
        <f>'Lista de Preço 02_2022'!$C491*1.1712</f>
        <v>546.6119455</v>
      </c>
      <c r="E491" s="52">
        <v>3.25</v>
      </c>
      <c r="F491" s="53">
        <v>0.18</v>
      </c>
      <c r="G491" s="53" t="s">
        <v>22</v>
      </c>
      <c r="H491" s="54" t="s">
        <v>229</v>
      </c>
      <c r="I491" s="61" t="s">
        <v>1350</v>
      </c>
      <c r="J491" s="56" t="s">
        <v>260</v>
      </c>
      <c r="K491" s="57" t="s">
        <v>153</v>
      </c>
      <c r="L491" s="58"/>
      <c r="M491" s="59">
        <v>8.708999E7</v>
      </c>
      <c r="N491" s="59" t="s">
        <v>28</v>
      </c>
      <c r="O491" s="60">
        <v>9.4</v>
      </c>
      <c r="P491" s="59">
        <v>7.899823509905E12</v>
      </c>
      <c r="Q491" s="59">
        <v>1.0</v>
      </c>
    </row>
    <row r="492" ht="15.75" customHeight="1">
      <c r="A492" s="35" t="s">
        <v>1352</v>
      </c>
      <c r="B492" s="36">
        <v>103.4173601457513</v>
      </c>
      <c r="C492" s="36">
        <f>'Lista de Preço 02_2022'!$B492*0.9*0.9*0.9*0.9*0.9*0.97</f>
        <v>59.23490948</v>
      </c>
      <c r="D492" s="36">
        <f>'Lista de Preço 02_2022'!$C492*1.1627</f>
        <v>68.87242926</v>
      </c>
      <c r="E492" s="37">
        <v>2.6</v>
      </c>
      <c r="F492" s="38">
        <v>0.18</v>
      </c>
      <c r="G492" s="38" t="s">
        <v>37</v>
      </c>
      <c r="H492" s="39" t="s">
        <v>38</v>
      </c>
      <c r="I492" s="40" t="s">
        <v>1353</v>
      </c>
      <c r="J492" s="41" t="s">
        <v>302</v>
      </c>
      <c r="K492" s="42" t="s">
        <v>303</v>
      </c>
      <c r="L492" s="43" t="s">
        <v>1354</v>
      </c>
      <c r="M492" s="42">
        <v>8.70893E7</v>
      </c>
      <c r="N492" s="44" t="s">
        <v>28</v>
      </c>
      <c r="O492" s="45">
        <v>0.458</v>
      </c>
      <c r="P492" s="44">
        <v>7.898233433619E12</v>
      </c>
      <c r="Q492" s="44">
        <v>1.0</v>
      </c>
    </row>
    <row r="493" ht="15.75" customHeight="1">
      <c r="A493" s="35" t="s">
        <v>1355</v>
      </c>
      <c r="B493" s="36">
        <v>80.72159883117332</v>
      </c>
      <c r="C493" s="36">
        <f>'Lista de Preço 02_2022'!$B493*0.9*0.9*0.9*0.9*0.9*0.97</f>
        <v>46.23533799</v>
      </c>
      <c r="D493" s="36">
        <f>'Lista de Preço 02_2022'!$C493*1.1712</f>
        <v>54.15082785</v>
      </c>
      <c r="E493" s="37">
        <v>3.25</v>
      </c>
      <c r="F493" s="38">
        <v>0.18</v>
      </c>
      <c r="G493" s="38" t="s">
        <v>22</v>
      </c>
      <c r="H493" s="39" t="s">
        <v>65</v>
      </c>
      <c r="I493" s="40" t="s">
        <v>1356</v>
      </c>
      <c r="J493" s="41" t="s">
        <v>1357</v>
      </c>
      <c r="K493" s="42" t="s">
        <v>26</v>
      </c>
      <c r="L493" s="43" t="s">
        <v>1358</v>
      </c>
      <c r="M493" s="44">
        <v>8.708999E7</v>
      </c>
      <c r="N493" s="44" t="s">
        <v>28</v>
      </c>
      <c r="O493" s="45">
        <v>1.116</v>
      </c>
      <c r="P493" s="44">
        <v>7.898233430151E12</v>
      </c>
      <c r="Q493" s="44">
        <v>1.0</v>
      </c>
    </row>
    <row r="494" ht="15.75" customHeight="1">
      <c r="A494" s="35" t="s">
        <v>1359</v>
      </c>
      <c r="B494" s="36">
        <v>156.11000186231354</v>
      </c>
      <c r="C494" s="36">
        <f>'Lista de Preço 02_2022'!$B494*0.9*0.9*0.9*0.9*0.9*0.97</f>
        <v>89.41595315</v>
      </c>
      <c r="D494" s="36">
        <f>'Lista de Preço 02_2022'!$C494*1.1627</f>
        <v>103.9639287</v>
      </c>
      <c r="E494" s="37">
        <v>2.6</v>
      </c>
      <c r="F494" s="38">
        <v>0.18</v>
      </c>
      <c r="G494" s="38" t="s">
        <v>37</v>
      </c>
      <c r="H494" s="39" t="s">
        <v>38</v>
      </c>
      <c r="I494" s="40" t="s">
        <v>1360</v>
      </c>
      <c r="J494" s="41" t="s">
        <v>40</v>
      </c>
      <c r="K494" s="42" t="s">
        <v>303</v>
      </c>
      <c r="L494" s="43">
        <v>3.812540208E9</v>
      </c>
      <c r="M494" s="42">
        <v>8.70893E7</v>
      </c>
      <c r="N494" s="44" t="s">
        <v>28</v>
      </c>
      <c r="O494" s="45">
        <v>1.595</v>
      </c>
      <c r="P494" s="44">
        <v>7.898233431714E12</v>
      </c>
      <c r="Q494" s="44">
        <v>1.0</v>
      </c>
    </row>
    <row r="495" ht="15.75" customHeight="1">
      <c r="A495" s="50" t="s">
        <v>1361</v>
      </c>
      <c r="B495" s="36">
        <v>311.45997681</v>
      </c>
      <c r="C495" s="51">
        <f>'Lista de Preço 02_2022'!$B495*0.9*0.9*0.9*0.9*0.9*0.97</f>
        <v>178.3965817</v>
      </c>
      <c r="D495" s="36">
        <f>'Lista de Preço 02_2022'!$C495*1.1712</f>
        <v>208.9380764</v>
      </c>
      <c r="E495" s="52">
        <v>3.25</v>
      </c>
      <c r="F495" s="53">
        <v>0.18</v>
      </c>
      <c r="G495" s="53" t="s">
        <v>22</v>
      </c>
      <c r="H495" s="54" t="s">
        <v>70</v>
      </c>
      <c r="I495" s="61" t="s">
        <v>1362</v>
      </c>
      <c r="J495" s="56" t="s">
        <v>1085</v>
      </c>
      <c r="K495" s="57" t="s">
        <v>507</v>
      </c>
      <c r="L495" s="58" t="s">
        <v>1363</v>
      </c>
      <c r="M495" s="59">
        <v>8.708999E7</v>
      </c>
      <c r="N495" s="59" t="s">
        <v>28</v>
      </c>
      <c r="O495" s="60">
        <v>2.46</v>
      </c>
      <c r="P495" s="59">
        <v>7.899823507192E12</v>
      </c>
      <c r="Q495" s="59">
        <v>1.0</v>
      </c>
    </row>
    <row r="496" ht="15.75" customHeight="1">
      <c r="A496" s="35" t="s">
        <v>1364</v>
      </c>
      <c r="B496" s="36">
        <v>138.7644460998342</v>
      </c>
      <c r="C496" s="36">
        <f>'Lista de Preço 02_2022'!$B496*0.9*0.9*0.9*0.9*0.9*0.97</f>
        <v>79.48084724</v>
      </c>
      <c r="D496" s="36">
        <f>'Lista de Preço 02_2022'!$C496*1.1627</f>
        <v>92.41238109</v>
      </c>
      <c r="E496" s="37">
        <v>2.6</v>
      </c>
      <c r="F496" s="38">
        <v>0.18</v>
      </c>
      <c r="G496" s="38" t="s">
        <v>37</v>
      </c>
      <c r="H496" s="39" t="s">
        <v>38</v>
      </c>
      <c r="I496" s="40" t="s">
        <v>1365</v>
      </c>
      <c r="J496" s="41" t="s">
        <v>40</v>
      </c>
      <c r="K496" s="42" t="s">
        <v>303</v>
      </c>
      <c r="L496" s="43">
        <v>3.45293131E9</v>
      </c>
      <c r="M496" s="42">
        <v>8.70893E7</v>
      </c>
      <c r="N496" s="44" t="s">
        <v>28</v>
      </c>
      <c r="O496" s="45">
        <v>0.671</v>
      </c>
      <c r="P496" s="44">
        <v>7.898233431721E12</v>
      </c>
      <c r="Q496" s="44">
        <v>1.0</v>
      </c>
    </row>
    <row r="497" ht="15.75" customHeight="1">
      <c r="A497" s="35" t="s">
        <v>1366</v>
      </c>
      <c r="B497" s="36">
        <v>34.691111524958544</v>
      </c>
      <c r="C497" s="36">
        <f>'Lista de Preço 02_2022'!$B497*0.9*0.9*0.9*0.9*0.9*0.97</f>
        <v>19.87021181</v>
      </c>
      <c r="D497" s="36">
        <f>'Lista de Preço 02_2022'!$C497*1.1627</f>
        <v>23.10309527</v>
      </c>
      <c r="E497" s="37">
        <v>2.6</v>
      </c>
      <c r="F497" s="38">
        <v>0.18</v>
      </c>
      <c r="G497" s="38" t="s">
        <v>37</v>
      </c>
      <c r="H497" s="39" t="s">
        <v>38</v>
      </c>
      <c r="I497" s="40" t="s">
        <v>1044</v>
      </c>
      <c r="J497" s="41" t="s">
        <v>40</v>
      </c>
      <c r="K497" s="42" t="s">
        <v>303</v>
      </c>
      <c r="L497" s="43">
        <v>3.45293131E9</v>
      </c>
      <c r="M497" s="42">
        <v>8.70893E7</v>
      </c>
      <c r="N497" s="44" t="s">
        <v>28</v>
      </c>
      <c r="O497" s="45">
        <v>0.234</v>
      </c>
      <c r="P497" s="44">
        <v>7.898233431738E12</v>
      </c>
      <c r="Q497" s="44">
        <v>1.0</v>
      </c>
    </row>
    <row r="498" ht="15.75" customHeight="1">
      <c r="A498" s="50" t="s">
        <v>1367</v>
      </c>
      <c r="B498" s="36">
        <v>265.60915189</v>
      </c>
      <c r="C498" s="51">
        <f>'Lista de Preço 02_2022'!$B498*0.9*0.9*0.9*0.9*0.9*0.97</f>
        <v>152.1343617</v>
      </c>
      <c r="D498" s="36">
        <f>'Lista de Preço 02_2022'!$C498*1.1712</f>
        <v>178.1797644</v>
      </c>
      <c r="E498" s="52">
        <v>3.25</v>
      </c>
      <c r="F498" s="53">
        <v>0.18</v>
      </c>
      <c r="G498" s="53" t="s">
        <v>22</v>
      </c>
      <c r="H498" s="54" t="s">
        <v>70</v>
      </c>
      <c r="I498" s="61" t="s">
        <v>1368</v>
      </c>
      <c r="J498" s="56" t="s">
        <v>80</v>
      </c>
      <c r="K498" s="57" t="s">
        <v>294</v>
      </c>
      <c r="L498" s="58" t="s">
        <v>1369</v>
      </c>
      <c r="M498" s="59">
        <v>8.708999E7</v>
      </c>
      <c r="N498" s="59" t="s">
        <v>28</v>
      </c>
      <c r="O498" s="60">
        <v>1.9</v>
      </c>
      <c r="P498" s="59">
        <v>7.899823507352E12</v>
      </c>
      <c r="Q498" s="59">
        <v>1.0</v>
      </c>
    </row>
    <row r="499" ht="15.75" customHeight="1">
      <c r="A499" s="35" t="s">
        <v>1370</v>
      </c>
      <c r="B499" s="36">
        <v>16.872495150775297</v>
      </c>
      <c r="C499" s="36">
        <f>'Lista de Preço 02_2022'!$B499*0.9*0.9*0.9*0.9*0.9*0.97</f>
        <v>9.664148472</v>
      </c>
      <c r="D499" s="36">
        <f>'Lista de Preço 02_2022'!$C499*1.1712</f>
        <v>11.31865069</v>
      </c>
      <c r="E499" s="37">
        <v>3.25</v>
      </c>
      <c r="F499" s="38">
        <v>0.18</v>
      </c>
      <c r="G499" s="38" t="s">
        <v>37</v>
      </c>
      <c r="H499" s="39" t="s">
        <v>559</v>
      </c>
      <c r="I499" s="40" t="s">
        <v>1044</v>
      </c>
      <c r="J499" s="41" t="s">
        <v>40</v>
      </c>
      <c r="K499" s="42" t="s">
        <v>303</v>
      </c>
      <c r="L499" s="43">
        <v>3.523000802E9</v>
      </c>
      <c r="M499" s="42">
        <v>8.708999E7</v>
      </c>
      <c r="N499" s="44" t="s">
        <v>28</v>
      </c>
      <c r="O499" s="45">
        <v>0.132</v>
      </c>
      <c r="P499" s="44">
        <v>7.898233431745E12</v>
      </c>
      <c r="Q499" s="44">
        <v>1.0</v>
      </c>
    </row>
    <row r="500" ht="15.75" customHeight="1">
      <c r="A500" s="35" t="s">
        <v>1371</v>
      </c>
      <c r="B500" s="36">
        <v>149.86560178782096</v>
      </c>
      <c r="C500" s="36">
        <f>'Lista de Preço 02_2022'!$B500*0.9*0.9*0.9*0.9*0.9*0.97</f>
        <v>85.83931502</v>
      </c>
      <c r="D500" s="36">
        <f>'Lista de Preço 02_2022'!$C500*1.1627</f>
        <v>99.80537158</v>
      </c>
      <c r="E500" s="37">
        <v>2.6</v>
      </c>
      <c r="F500" s="38">
        <v>0.18</v>
      </c>
      <c r="G500" s="38" t="s">
        <v>37</v>
      </c>
      <c r="H500" s="39" t="s">
        <v>38</v>
      </c>
      <c r="I500" s="40" t="s">
        <v>985</v>
      </c>
      <c r="J500" s="41" t="s">
        <v>40</v>
      </c>
      <c r="K500" s="42" t="s">
        <v>303</v>
      </c>
      <c r="L500" s="43">
        <v>3.272501213E9</v>
      </c>
      <c r="M500" s="42">
        <v>8.70893E7</v>
      </c>
      <c r="N500" s="44" t="s">
        <v>28</v>
      </c>
      <c r="O500" s="45">
        <v>1.1</v>
      </c>
      <c r="P500" s="44">
        <v>7.898233431752E12</v>
      </c>
      <c r="Q500" s="44">
        <v>1.0</v>
      </c>
    </row>
    <row r="501" ht="15.75" customHeight="1">
      <c r="A501" s="35" t="s">
        <v>1372</v>
      </c>
      <c r="B501" s="36">
        <v>119.87959926190746</v>
      </c>
      <c r="C501" s="36">
        <f>'Lista de Preço 02_2022'!$B501*0.9*0.9*0.9*0.9*0.9*0.97</f>
        <v>68.66407343</v>
      </c>
      <c r="D501" s="36">
        <f>'Lista de Preço 02_2022'!$C501*1.1712</f>
        <v>80.4193628</v>
      </c>
      <c r="E501" s="37">
        <v>3.25</v>
      </c>
      <c r="F501" s="38">
        <v>0.18</v>
      </c>
      <c r="G501" s="38" t="s">
        <v>37</v>
      </c>
      <c r="H501" s="39" t="s">
        <v>919</v>
      </c>
      <c r="I501" s="40" t="s">
        <v>816</v>
      </c>
      <c r="J501" s="41" t="s">
        <v>40</v>
      </c>
      <c r="K501" s="42" t="s">
        <v>303</v>
      </c>
      <c r="L501" s="43">
        <v>3.08410703E9</v>
      </c>
      <c r="M501" s="42">
        <v>8.708999E7</v>
      </c>
      <c r="N501" s="44" t="s">
        <v>28</v>
      </c>
      <c r="O501" s="45">
        <v>1.064</v>
      </c>
      <c r="P501" s="44">
        <v>7.898233431769E12</v>
      </c>
      <c r="Q501" s="44">
        <v>1.0</v>
      </c>
    </row>
    <row r="502" ht="15.75" customHeight="1">
      <c r="A502" s="35" t="s">
        <v>1373</v>
      </c>
      <c r="B502" s="36">
        <v>78.09254542414911</v>
      </c>
      <c r="C502" s="36">
        <f>'Lista de Preço 02_2022'!$B502*0.9*0.9*0.9*0.9*0.9*0.97</f>
        <v>44.72948113</v>
      </c>
      <c r="D502" s="36">
        <f>'Lista de Preço 02_2022'!$C502*1.065</f>
        <v>47.63689741</v>
      </c>
      <c r="E502" s="37">
        <v>6.5</v>
      </c>
      <c r="F502" s="38">
        <v>0.18</v>
      </c>
      <c r="G502" s="38" t="s">
        <v>37</v>
      </c>
      <c r="H502" s="39" t="s">
        <v>919</v>
      </c>
      <c r="I502" s="40" t="s">
        <v>1374</v>
      </c>
      <c r="J502" s="41" t="s">
        <v>40</v>
      </c>
      <c r="K502" s="42" t="s">
        <v>303</v>
      </c>
      <c r="L502" s="43">
        <v>3.273531025E9</v>
      </c>
      <c r="M502" s="42">
        <v>7.31816E7</v>
      </c>
      <c r="N502" s="44" t="s">
        <v>920</v>
      </c>
      <c r="O502" s="45">
        <v>1.131</v>
      </c>
      <c r="P502" s="44">
        <v>7.898233431776E12</v>
      </c>
      <c r="Q502" s="44">
        <v>1.0</v>
      </c>
    </row>
    <row r="503" ht="15.75" customHeight="1">
      <c r="A503" s="35" t="s">
        <v>1375</v>
      </c>
      <c r="B503" s="36">
        <v>49.66795109319134</v>
      </c>
      <c r="C503" s="36">
        <f>'Lista de Preço 02_2022'!$B503*0.9*0.9*0.9*0.9*0.9*0.97</f>
        <v>28.44857559</v>
      </c>
      <c r="D503" s="36">
        <f>'Lista de Preço 02_2022'!$C503*1.065</f>
        <v>30.297733</v>
      </c>
      <c r="E503" s="37">
        <v>6.5</v>
      </c>
      <c r="F503" s="38">
        <v>0.18</v>
      </c>
      <c r="G503" s="38" t="s">
        <v>37</v>
      </c>
      <c r="H503" s="39" t="s">
        <v>919</v>
      </c>
      <c r="I503" s="40" t="s">
        <v>1374</v>
      </c>
      <c r="J503" s="41" t="s">
        <v>40</v>
      </c>
      <c r="K503" s="42" t="s">
        <v>303</v>
      </c>
      <c r="L503" s="43">
        <v>3.213530025E9</v>
      </c>
      <c r="M503" s="42">
        <v>7.31816E7</v>
      </c>
      <c r="N503" s="44" t="s">
        <v>920</v>
      </c>
      <c r="O503" s="45">
        <v>0.641</v>
      </c>
      <c r="P503" s="44">
        <v>7.898233431783E12</v>
      </c>
      <c r="Q503" s="44">
        <v>1.0</v>
      </c>
    </row>
    <row r="504" ht="15.75" customHeight="1">
      <c r="A504" s="35" t="s">
        <v>1376</v>
      </c>
      <c r="B504" s="36">
        <v>73.0411045488108</v>
      </c>
      <c r="C504" s="36">
        <f>'Lista de Preço 02_2022'!$B504*0.9*0.9*0.9*0.9*0.9*0.97</f>
        <v>41.83614057</v>
      </c>
      <c r="D504" s="36">
        <f>'Lista de Preço 02_2022'!$C504*1.065</f>
        <v>44.55548971</v>
      </c>
      <c r="E504" s="37">
        <v>6.5</v>
      </c>
      <c r="F504" s="38">
        <v>0.18</v>
      </c>
      <c r="G504" s="38" t="s">
        <v>37</v>
      </c>
      <c r="H504" s="39" t="s">
        <v>919</v>
      </c>
      <c r="I504" s="40" t="s">
        <v>1377</v>
      </c>
      <c r="J504" s="41" t="s">
        <v>40</v>
      </c>
      <c r="K504" s="42" t="s">
        <v>303</v>
      </c>
      <c r="L504" s="43">
        <v>3.173530125E9</v>
      </c>
      <c r="M504" s="42">
        <v>7.31816E7</v>
      </c>
      <c r="N504" s="44" t="s">
        <v>920</v>
      </c>
      <c r="O504" s="45">
        <v>1.26</v>
      </c>
      <c r="P504" s="44">
        <v>7.89823343179E12</v>
      </c>
      <c r="Q504" s="44">
        <v>1.0</v>
      </c>
    </row>
    <row r="505" ht="15.75" customHeight="1">
      <c r="A505" s="35" t="s">
        <v>1378</v>
      </c>
      <c r="B505" s="36">
        <v>135.1601747725658</v>
      </c>
      <c r="C505" s="36">
        <f>'Lista de Preço 02_2022'!$B505*0.9*0.9*0.9*0.9*0.9*0.97</f>
        <v>77.41640965</v>
      </c>
      <c r="D505" s="36">
        <f>'Lista de Preço 02_2022'!$C505*1.1627</f>
        <v>90.0120595</v>
      </c>
      <c r="E505" s="37">
        <v>2.6</v>
      </c>
      <c r="F505" s="38">
        <v>0.18</v>
      </c>
      <c r="G505" s="38" t="s">
        <v>37</v>
      </c>
      <c r="H505" s="39" t="s">
        <v>38</v>
      </c>
      <c r="I505" s="40" t="s">
        <v>1379</v>
      </c>
      <c r="J505" s="41" t="s">
        <v>40</v>
      </c>
      <c r="K505" s="42" t="s">
        <v>303</v>
      </c>
      <c r="L505" s="43" t="s">
        <v>1380</v>
      </c>
      <c r="M505" s="42">
        <v>8.70893E7</v>
      </c>
      <c r="N505" s="44" t="s">
        <v>28</v>
      </c>
      <c r="O505" s="45">
        <v>1.1</v>
      </c>
      <c r="P505" s="44">
        <v>7.898233437716E12</v>
      </c>
      <c r="Q505" s="44">
        <v>1.0</v>
      </c>
    </row>
    <row r="506" ht="15.75" customHeight="1">
      <c r="A506" s="35" t="s">
        <v>1381</v>
      </c>
      <c r="B506" s="36">
        <v>114.45407455172958</v>
      </c>
      <c r="C506" s="36">
        <f>'Lista de Preço 02_2022'!$B506*0.9*0.9*0.9*0.9*0.9*0.97</f>
        <v>65.55646689</v>
      </c>
      <c r="D506" s="36">
        <f>'Lista de Preço 02_2022'!$C506*1.1712</f>
        <v>76.77973402</v>
      </c>
      <c r="E506" s="37">
        <v>3.25</v>
      </c>
      <c r="F506" s="38">
        <v>0.18</v>
      </c>
      <c r="G506" s="38" t="s">
        <v>22</v>
      </c>
      <c r="H506" s="39" t="s">
        <v>23</v>
      </c>
      <c r="I506" s="40" t="s">
        <v>1382</v>
      </c>
      <c r="J506" s="41" t="s">
        <v>25</v>
      </c>
      <c r="K506" s="42" t="s">
        <v>153</v>
      </c>
      <c r="L506" s="43" t="s">
        <v>1383</v>
      </c>
      <c r="M506" s="42">
        <v>8.708999E7</v>
      </c>
      <c r="N506" s="44" t="s">
        <v>28</v>
      </c>
      <c r="O506" s="45">
        <v>0.856</v>
      </c>
      <c r="P506" s="44">
        <v>7.899823505839E12</v>
      </c>
      <c r="Q506" s="44">
        <v>1.0</v>
      </c>
    </row>
    <row r="507" ht="15.75" customHeight="1">
      <c r="A507" s="35" t="s">
        <v>1384</v>
      </c>
      <c r="B507" s="36">
        <v>116.24183697138207</v>
      </c>
      <c r="C507" s="36">
        <f>'Lista de Preço 02_2022'!$B507*0.9*0.9*0.9*0.9*0.9*0.97</f>
        <v>66.58045304</v>
      </c>
      <c r="D507" s="36">
        <f>'Lista de Preço 02_2022'!$C507*1.1712</f>
        <v>77.9790266</v>
      </c>
      <c r="E507" s="37">
        <v>3.25</v>
      </c>
      <c r="F507" s="38">
        <v>0.18</v>
      </c>
      <c r="G507" s="38" t="s">
        <v>22</v>
      </c>
      <c r="H507" s="39" t="s">
        <v>65</v>
      </c>
      <c r="I507" s="40" t="s">
        <v>1382</v>
      </c>
      <c r="J507" s="41" t="s">
        <v>67</v>
      </c>
      <c r="K507" s="42" t="s">
        <v>153</v>
      </c>
      <c r="L507" s="43" t="s">
        <v>1385</v>
      </c>
      <c r="M507" s="42">
        <v>8.708999E7</v>
      </c>
      <c r="N507" s="44" t="s">
        <v>28</v>
      </c>
      <c r="O507" s="45">
        <v>0.594</v>
      </c>
      <c r="P507" s="44">
        <v>7.899823505846E12</v>
      </c>
      <c r="Q507" s="44">
        <v>1.0</v>
      </c>
    </row>
    <row r="508" ht="15.75" customHeight="1">
      <c r="A508" s="35" t="s">
        <v>1386</v>
      </c>
      <c r="B508" s="36">
        <v>745.8927360727123</v>
      </c>
      <c r="C508" s="36">
        <f>'Lista de Preço 02_2022'!$B508*0.9*0.9*0.9*0.9*0.9*0.97</f>
        <v>427.2289357</v>
      </c>
      <c r="D508" s="36">
        <f>'Lista de Preço 02_2022'!$C508*1.1712</f>
        <v>500.3705295</v>
      </c>
      <c r="E508" s="37">
        <v>3.25</v>
      </c>
      <c r="F508" s="38">
        <v>0.18</v>
      </c>
      <c r="G508" s="38" t="s">
        <v>22</v>
      </c>
      <c r="H508" s="39" t="s">
        <v>23</v>
      </c>
      <c r="I508" s="40" t="s">
        <v>1387</v>
      </c>
      <c r="J508" s="41" t="s">
        <v>500</v>
      </c>
      <c r="K508" s="42" t="s">
        <v>68</v>
      </c>
      <c r="L508" s="43" t="s">
        <v>1388</v>
      </c>
      <c r="M508" s="42">
        <v>8.708999E7</v>
      </c>
      <c r="N508" s="44" t="s">
        <v>28</v>
      </c>
      <c r="O508" s="45">
        <v>5.608</v>
      </c>
      <c r="P508" s="44">
        <v>7.899823506683E12</v>
      </c>
      <c r="Q508" s="44">
        <v>1.0</v>
      </c>
    </row>
    <row r="509" ht="15.75" customHeight="1">
      <c r="A509" s="35" t="s">
        <v>1389</v>
      </c>
      <c r="B509" s="36">
        <v>497.22378168468606</v>
      </c>
      <c r="C509" s="36">
        <f>'Lista de Preço 02_2022'!$B509*0.9*0.9*0.9*0.9*0.9*0.97</f>
        <v>284.7975007</v>
      </c>
      <c r="D509" s="36">
        <f>'Lista de Preço 02_2022'!$C509*1.1712</f>
        <v>333.5548328</v>
      </c>
      <c r="E509" s="37">
        <v>3.25</v>
      </c>
      <c r="F509" s="38">
        <v>0.18</v>
      </c>
      <c r="G509" s="38" t="s">
        <v>22</v>
      </c>
      <c r="H509" s="39" t="s">
        <v>23</v>
      </c>
      <c r="I509" s="40" t="s">
        <v>1390</v>
      </c>
      <c r="J509" s="41" t="s">
        <v>1391</v>
      </c>
      <c r="K509" s="42" t="s">
        <v>1392</v>
      </c>
      <c r="L509" s="43" t="s">
        <v>1393</v>
      </c>
      <c r="M509" s="42">
        <v>8.708999E7</v>
      </c>
      <c r="N509" s="44" t="s">
        <v>28</v>
      </c>
      <c r="O509" s="45">
        <v>2.978</v>
      </c>
      <c r="P509" s="44">
        <v>7.899823505914E12</v>
      </c>
      <c r="Q509" s="44">
        <v>1.0</v>
      </c>
    </row>
    <row r="510" ht="15.75" customHeight="1">
      <c r="A510" s="35" t="s">
        <v>1394</v>
      </c>
      <c r="B510" s="36">
        <v>312.051489510075</v>
      </c>
      <c r="C510" s="36">
        <f>'Lista de Preço 02_2022'!$B510*0.9*0.9*0.9*0.9*0.9*0.97</f>
        <v>178.7353855</v>
      </c>
      <c r="D510" s="36">
        <f>'Lista de Preço 02_2022'!$C510*1.1712</f>
        <v>209.3348835</v>
      </c>
      <c r="E510" s="37">
        <v>3.25</v>
      </c>
      <c r="F510" s="38">
        <v>0.18</v>
      </c>
      <c r="G510" s="38" t="s">
        <v>22</v>
      </c>
      <c r="H510" s="39" t="s">
        <v>23</v>
      </c>
      <c r="I510" s="40" t="s">
        <v>1395</v>
      </c>
      <c r="J510" s="41" t="s">
        <v>372</v>
      </c>
      <c r="K510" s="42" t="s">
        <v>153</v>
      </c>
      <c r="L510" s="43" t="s">
        <v>1396</v>
      </c>
      <c r="M510" s="42">
        <v>8.708999E7</v>
      </c>
      <c r="N510" s="44" t="s">
        <v>28</v>
      </c>
      <c r="O510" s="45">
        <v>3.469</v>
      </c>
      <c r="P510" s="44">
        <v>7.899823505808E12</v>
      </c>
      <c r="Q510" s="44">
        <v>1.0</v>
      </c>
    </row>
    <row r="511" ht="15.75" customHeight="1">
      <c r="A511" s="35" t="s">
        <v>1397</v>
      </c>
      <c r="B511" s="36">
        <v>1.5423260449007103</v>
      </c>
      <c r="C511" s="36">
        <f>'Lista de Preço 02_2022'!$B511*0.9*0.9*0.9*0.9*0.9*0.97</f>
        <v>0.8834062631</v>
      </c>
      <c r="D511" s="36">
        <f>'Lista de Preço 02_2022'!$C511*1.065</f>
        <v>0.9408276702</v>
      </c>
      <c r="E511" s="37">
        <v>6.5</v>
      </c>
      <c r="F511" s="38">
        <v>0.18</v>
      </c>
      <c r="G511" s="38" t="s">
        <v>37</v>
      </c>
      <c r="H511" s="39" t="s">
        <v>559</v>
      </c>
      <c r="I511" s="40" t="s">
        <v>1398</v>
      </c>
      <c r="J511" s="41" t="s">
        <v>40</v>
      </c>
      <c r="K511" s="42" t="s">
        <v>303</v>
      </c>
      <c r="L511" s="43">
        <v>3.52990204E9</v>
      </c>
      <c r="M511" s="42">
        <v>7.31822E7</v>
      </c>
      <c r="N511" s="44" t="s">
        <v>920</v>
      </c>
      <c r="O511" s="45">
        <v>0.004</v>
      </c>
      <c r="P511" s="44">
        <v>7.898233431806E12</v>
      </c>
      <c r="Q511" s="48">
        <v>10.0</v>
      </c>
    </row>
    <row r="512" ht="15.75" customHeight="1">
      <c r="A512" s="35" t="s">
        <v>1399</v>
      </c>
      <c r="B512" s="36">
        <v>13.804768759725242</v>
      </c>
      <c r="C512" s="36">
        <f>'Lista de Preço 02_2022'!$B512*0.9*0.9*0.9*0.9*0.9*0.97</f>
        <v>7.907030568</v>
      </c>
      <c r="D512" s="36">
        <f>'Lista de Preço 02_2022'!$C512*1.065</f>
        <v>8.420987555</v>
      </c>
      <c r="E512" s="37">
        <v>6.5</v>
      </c>
      <c r="F512" s="38">
        <v>0.18</v>
      </c>
      <c r="G512" s="38" t="s">
        <v>37</v>
      </c>
      <c r="H512" s="39" t="s">
        <v>919</v>
      </c>
      <c r="I512" s="40" t="s">
        <v>816</v>
      </c>
      <c r="J512" s="41" t="s">
        <v>40</v>
      </c>
      <c r="K512" s="42" t="s">
        <v>303</v>
      </c>
      <c r="L512" s="43">
        <v>3.243530072E9</v>
      </c>
      <c r="M512" s="42">
        <v>7.31816E7</v>
      </c>
      <c r="N512" s="44" t="s">
        <v>920</v>
      </c>
      <c r="O512" s="45">
        <v>0.104</v>
      </c>
      <c r="P512" s="44">
        <v>7.898233431813E12</v>
      </c>
      <c r="Q512" s="44">
        <v>1.0</v>
      </c>
    </row>
    <row r="513" ht="15.75" customHeight="1">
      <c r="A513" s="35" t="s">
        <v>1400</v>
      </c>
      <c r="B513" s="36">
        <v>7.780524787859358</v>
      </c>
      <c r="C513" s="36">
        <f>'Lista de Preço 02_2022'!$B513*0.9*0.9*0.9*0.9*0.9*0.97</f>
        <v>4.45649242</v>
      </c>
      <c r="D513" s="36">
        <f>'Lista de Preço 02_2022'!$C513*1.1712</f>
        <v>5.219443922</v>
      </c>
      <c r="E513" s="37">
        <v>3.25</v>
      </c>
      <c r="F513" s="38">
        <v>0.18</v>
      </c>
      <c r="G513" s="38" t="s">
        <v>22</v>
      </c>
      <c r="H513" s="39" t="s">
        <v>30</v>
      </c>
      <c r="I513" s="40" t="s">
        <v>1401</v>
      </c>
      <c r="J513" s="41" t="s">
        <v>32</v>
      </c>
      <c r="K513" s="42" t="s">
        <v>26</v>
      </c>
      <c r="L513" s="43" t="s">
        <v>1402</v>
      </c>
      <c r="M513" s="44">
        <v>8.708999E7</v>
      </c>
      <c r="N513" s="44" t="s">
        <v>28</v>
      </c>
      <c r="O513" s="45">
        <v>0.046</v>
      </c>
      <c r="P513" s="44">
        <v>7.898233430175E12</v>
      </c>
      <c r="Q513" s="44">
        <v>1.0</v>
      </c>
    </row>
    <row r="514" ht="15.75" customHeight="1">
      <c r="A514" s="35" t="s">
        <v>1403</v>
      </c>
      <c r="B514" s="36">
        <v>13.804768759725242</v>
      </c>
      <c r="C514" s="36">
        <f>'Lista de Preço 02_2022'!$B514*0.9*0.9*0.9*0.9*0.9*0.97</f>
        <v>7.907030568</v>
      </c>
      <c r="D514" s="36">
        <f>'Lista de Preço 02_2022'!$C514*1.065</f>
        <v>8.420987555</v>
      </c>
      <c r="E514" s="37">
        <v>6.5</v>
      </c>
      <c r="F514" s="38">
        <v>0.18</v>
      </c>
      <c r="G514" s="38" t="s">
        <v>37</v>
      </c>
      <c r="H514" s="39" t="s">
        <v>919</v>
      </c>
      <c r="I514" s="40" t="s">
        <v>816</v>
      </c>
      <c r="J514" s="41" t="s">
        <v>40</v>
      </c>
      <c r="K514" s="42" t="s">
        <v>303</v>
      </c>
      <c r="L514" s="43">
        <v>3.142620072E9</v>
      </c>
      <c r="M514" s="42">
        <v>7.31816E7</v>
      </c>
      <c r="N514" s="44" t="s">
        <v>920</v>
      </c>
      <c r="O514" s="45">
        <v>0.113</v>
      </c>
      <c r="P514" s="44">
        <v>7.89823343182E12</v>
      </c>
      <c r="Q514" s="44">
        <v>1.0</v>
      </c>
    </row>
    <row r="515" ht="15.75" customHeight="1">
      <c r="A515" s="35" t="s">
        <v>1404</v>
      </c>
      <c r="B515" s="36">
        <v>16.069043000738375</v>
      </c>
      <c r="C515" s="36">
        <f>'Lista de Preço 02_2022'!$B515*0.9*0.9*0.9*0.9*0.9*0.97</f>
        <v>9.203950925</v>
      </c>
      <c r="D515" s="36">
        <f>'Lista de Preço 02_2022'!$C515*1.065</f>
        <v>9.802207736</v>
      </c>
      <c r="E515" s="37">
        <v>6.5</v>
      </c>
      <c r="F515" s="38">
        <v>0.18</v>
      </c>
      <c r="G515" s="38" t="s">
        <v>37</v>
      </c>
      <c r="H515" s="39" t="s">
        <v>919</v>
      </c>
      <c r="I515" s="40" t="s">
        <v>1044</v>
      </c>
      <c r="J515" s="41" t="s">
        <v>40</v>
      </c>
      <c r="K515" s="42" t="s">
        <v>303</v>
      </c>
      <c r="L515" s="43" t="s">
        <v>1405</v>
      </c>
      <c r="M515" s="42">
        <v>7.31816E7</v>
      </c>
      <c r="N515" s="44" t="s">
        <v>920</v>
      </c>
      <c r="O515" s="45">
        <v>0.186</v>
      </c>
      <c r="P515" s="44">
        <v>7.898233431837E12</v>
      </c>
      <c r="Q515" s="44">
        <v>1.0</v>
      </c>
    </row>
    <row r="516" ht="15.75" customHeight="1">
      <c r="A516" s="35" t="s">
        <v>1406</v>
      </c>
      <c r="B516" s="36">
        <v>15.269640221437266</v>
      </c>
      <c r="C516" s="36">
        <f>'Lista de Preço 02_2022'!$B516*0.9*0.9*0.9*0.9*0.9*0.97</f>
        <v>8.746072759</v>
      </c>
      <c r="D516" s="36">
        <f>'Lista de Preço 02_2022'!$C516*1.1712</f>
        <v>10.24340042</v>
      </c>
      <c r="E516" s="37">
        <v>3.25</v>
      </c>
      <c r="F516" s="38">
        <v>0.18</v>
      </c>
      <c r="G516" s="38" t="s">
        <v>37</v>
      </c>
      <c r="H516" s="39" t="s">
        <v>559</v>
      </c>
      <c r="I516" s="40" t="s">
        <v>1044</v>
      </c>
      <c r="J516" s="41" t="s">
        <v>40</v>
      </c>
      <c r="K516" s="42" t="s">
        <v>303</v>
      </c>
      <c r="L516" s="43">
        <v>3.441427212E9</v>
      </c>
      <c r="M516" s="42">
        <v>8.4099999E7</v>
      </c>
      <c r="N516" s="44" t="s">
        <v>1407</v>
      </c>
      <c r="O516" s="45">
        <v>0.173</v>
      </c>
      <c r="P516" s="44">
        <v>7.898233431851E12</v>
      </c>
      <c r="Q516" s="44">
        <v>1.0</v>
      </c>
    </row>
    <row r="517" ht="15.75" customHeight="1">
      <c r="A517" s="35" t="s">
        <v>1408</v>
      </c>
      <c r="B517" s="36">
        <v>19.88234403832977</v>
      </c>
      <c r="C517" s="36">
        <f>'Lista de Preço 02_2022'!$B517*0.9*0.9*0.9*0.9*0.9*0.97</f>
        <v>11.38811557</v>
      </c>
      <c r="D517" s="36">
        <f>'Lista de Preço 02_2022'!$C517*1.1712</f>
        <v>13.33776096</v>
      </c>
      <c r="E517" s="37">
        <v>3.25</v>
      </c>
      <c r="F517" s="38">
        <v>0.18</v>
      </c>
      <c r="G517" s="38" t="s">
        <v>37</v>
      </c>
      <c r="H517" s="39" t="s">
        <v>559</v>
      </c>
      <c r="I517" s="40" t="s">
        <v>1044</v>
      </c>
      <c r="J517" s="41" t="s">
        <v>40</v>
      </c>
      <c r="K517" s="42" t="s">
        <v>303</v>
      </c>
      <c r="L517" s="43">
        <v>3.441407138E9</v>
      </c>
      <c r="M517" s="42">
        <v>8.4099999E7</v>
      </c>
      <c r="N517" s="44" t="s">
        <v>1407</v>
      </c>
      <c r="O517" s="45">
        <v>0.205</v>
      </c>
      <c r="P517" s="44">
        <v>7.898233431868E12</v>
      </c>
      <c r="Q517" s="44">
        <v>1.0</v>
      </c>
    </row>
    <row r="518" ht="15.75" customHeight="1">
      <c r="A518" s="35" t="s">
        <v>1409</v>
      </c>
      <c r="B518" s="36">
        <v>10.430192871441026</v>
      </c>
      <c r="C518" s="36">
        <f>'Lista de Preço 02_2022'!$B518*0.9*0.9*0.9*0.9*0.9*0.97</f>
        <v>5.974156851</v>
      </c>
      <c r="D518" s="36">
        <f>'Lista de Preço 02_2022'!$C518*1.1712</f>
        <v>6.996932504</v>
      </c>
      <c r="E518" s="37">
        <v>3.25</v>
      </c>
      <c r="F518" s="38">
        <v>0.18</v>
      </c>
      <c r="G518" s="38" t="s">
        <v>37</v>
      </c>
      <c r="H518" s="39" t="s">
        <v>559</v>
      </c>
      <c r="I518" s="40" t="s">
        <v>1044</v>
      </c>
      <c r="J518" s="41" t="s">
        <v>40</v>
      </c>
      <c r="K518" s="42" t="s">
        <v>303</v>
      </c>
      <c r="L518" s="43">
        <v>3.121420212E9</v>
      </c>
      <c r="M518" s="42">
        <v>8.4099999E7</v>
      </c>
      <c r="N518" s="44" t="s">
        <v>1407</v>
      </c>
      <c r="O518" s="45">
        <v>0.032</v>
      </c>
      <c r="P518" s="44">
        <v>7.898233431875E12</v>
      </c>
      <c r="Q518" s="48">
        <v>10.0</v>
      </c>
    </row>
    <row r="519" ht="15.75" customHeight="1">
      <c r="A519" s="35" t="s">
        <v>1410</v>
      </c>
      <c r="B519" s="36">
        <v>68.26271453159887</v>
      </c>
      <c r="C519" s="36">
        <f>'Lista de Preço 02_2022'!$B519*0.9*0.9*0.9*0.9*0.9*0.97</f>
        <v>39.09919679</v>
      </c>
      <c r="D519" s="36">
        <f>'Lista de Preço 02_2022'!$C519*1.1712</f>
        <v>45.79297929</v>
      </c>
      <c r="E519" s="37">
        <v>3.25</v>
      </c>
      <c r="F519" s="38">
        <v>0.18</v>
      </c>
      <c r="G519" s="38" t="s">
        <v>37</v>
      </c>
      <c r="H519" s="39" t="s">
        <v>559</v>
      </c>
      <c r="I519" s="40" t="s">
        <v>1374</v>
      </c>
      <c r="J519" s="41" t="s">
        <v>40</v>
      </c>
      <c r="K519" s="42" t="s">
        <v>303</v>
      </c>
      <c r="L519" s="43" t="s">
        <v>1411</v>
      </c>
      <c r="M519" s="42">
        <v>8.708999E7</v>
      </c>
      <c r="N519" s="44" t="s">
        <v>28</v>
      </c>
      <c r="O519" s="45">
        <v>0.366</v>
      </c>
      <c r="P519" s="44">
        <v>7.898233433497E12</v>
      </c>
      <c r="Q519" s="44">
        <v>1.0</v>
      </c>
    </row>
    <row r="520" ht="15.75" customHeight="1">
      <c r="A520" s="35" t="s">
        <v>1412</v>
      </c>
      <c r="B520" s="36">
        <v>133.6458352888312</v>
      </c>
      <c r="C520" s="36">
        <f>'Lista de Preço 02_2022'!$B520*0.9*0.9*0.9*0.9*0.9*0.97</f>
        <v>76.5490334</v>
      </c>
      <c r="D520" s="36">
        <f>'Lista de Preço 02_2022'!$C520*1.1712</f>
        <v>89.65422792</v>
      </c>
      <c r="E520" s="37">
        <v>3.25</v>
      </c>
      <c r="F520" s="38">
        <v>0.18</v>
      </c>
      <c r="G520" s="38" t="s">
        <v>22</v>
      </c>
      <c r="H520" s="39" t="s">
        <v>23</v>
      </c>
      <c r="I520" s="40" t="s">
        <v>1413</v>
      </c>
      <c r="J520" s="41" t="s">
        <v>25</v>
      </c>
      <c r="K520" s="42" t="s">
        <v>73</v>
      </c>
      <c r="L520" s="43" t="s">
        <v>1414</v>
      </c>
      <c r="M520" s="42">
        <v>8.708999E7</v>
      </c>
      <c r="N520" s="44" t="s">
        <v>28</v>
      </c>
      <c r="O520" s="45">
        <v>1.448</v>
      </c>
      <c r="P520" s="44">
        <v>7.899823505778E12</v>
      </c>
      <c r="Q520" s="44">
        <v>1.0</v>
      </c>
    </row>
    <row r="521" ht="15.75" customHeight="1">
      <c r="A521" s="35" t="s">
        <v>1415</v>
      </c>
      <c r="B521" s="36">
        <v>132.33252374839768</v>
      </c>
      <c r="C521" s="36">
        <f>'Lista de Preço 02_2022'!$B521*0.9*0.9*0.9*0.9*0.9*0.97</f>
        <v>75.79680099</v>
      </c>
      <c r="D521" s="36">
        <f>'Lista de Preço 02_2022'!$C521*1.1712</f>
        <v>88.77321332</v>
      </c>
      <c r="E521" s="37">
        <v>3.25</v>
      </c>
      <c r="F521" s="38">
        <v>0.18</v>
      </c>
      <c r="G521" s="38" t="s">
        <v>22</v>
      </c>
      <c r="H521" s="39" t="s">
        <v>23</v>
      </c>
      <c r="I521" s="40" t="s">
        <v>1413</v>
      </c>
      <c r="J521" s="41" t="s">
        <v>25</v>
      </c>
      <c r="K521" s="42" t="s">
        <v>73</v>
      </c>
      <c r="L521" s="43" t="s">
        <v>1414</v>
      </c>
      <c r="M521" s="42">
        <v>8.708999E7</v>
      </c>
      <c r="N521" s="44" t="s">
        <v>28</v>
      </c>
      <c r="O521" s="45">
        <v>1.528</v>
      </c>
      <c r="P521" s="44">
        <v>7.899823505785E12</v>
      </c>
      <c r="Q521" s="44">
        <v>1.0</v>
      </c>
    </row>
    <row r="522" ht="15.75" customHeight="1">
      <c r="A522" s="35" t="s">
        <v>1416</v>
      </c>
      <c r="B522" s="36">
        <v>46.01589586575081</v>
      </c>
      <c r="C522" s="36">
        <f>'Lista de Preço 02_2022'!$B522*0.9*0.9*0.9*0.9*0.9*0.97</f>
        <v>26.35676856</v>
      </c>
      <c r="D522" s="36">
        <f>'Lista de Preço 02_2022'!$C522*1.1712</f>
        <v>30.86904734</v>
      </c>
      <c r="E522" s="37">
        <v>3.25</v>
      </c>
      <c r="F522" s="38">
        <v>0.18</v>
      </c>
      <c r="G522" s="38" t="s">
        <v>37</v>
      </c>
      <c r="H522" s="39" t="s">
        <v>919</v>
      </c>
      <c r="I522" s="40" t="s">
        <v>894</v>
      </c>
      <c r="J522" s="41" t="s">
        <v>40</v>
      </c>
      <c r="K522" s="42" t="s">
        <v>303</v>
      </c>
      <c r="L522" s="43">
        <v>3.22356002E9</v>
      </c>
      <c r="M522" s="42">
        <v>8.708999E7</v>
      </c>
      <c r="N522" s="44" t="s">
        <v>28</v>
      </c>
      <c r="O522" s="45">
        <v>0.455</v>
      </c>
      <c r="P522" s="44">
        <v>7.898233431882E12</v>
      </c>
      <c r="Q522" s="44">
        <v>1.0</v>
      </c>
    </row>
    <row r="523" ht="15.75" customHeight="1">
      <c r="A523" s="35" t="s">
        <v>1417</v>
      </c>
      <c r="B523" s="36">
        <v>61.92793462306651</v>
      </c>
      <c r="C523" s="36">
        <f>'Lista de Preço 02_2022'!$B523*0.9*0.9*0.9*0.9*0.9*0.97</f>
        <v>35.47079133</v>
      </c>
      <c r="D523" s="36">
        <f>'Lista de Preço 02_2022'!$C523*1.1712</f>
        <v>41.54339081</v>
      </c>
      <c r="E523" s="37">
        <v>3.25</v>
      </c>
      <c r="F523" s="38">
        <v>0.18</v>
      </c>
      <c r="G523" s="38" t="s">
        <v>37</v>
      </c>
      <c r="H523" s="39" t="s">
        <v>919</v>
      </c>
      <c r="I523" s="40" t="s">
        <v>1418</v>
      </c>
      <c r="J523" s="41" t="s">
        <v>40</v>
      </c>
      <c r="K523" s="42" t="s">
        <v>303</v>
      </c>
      <c r="L523" s="43">
        <v>3.27356012E9</v>
      </c>
      <c r="M523" s="42">
        <v>8.708999E7</v>
      </c>
      <c r="N523" s="44" t="s">
        <v>28</v>
      </c>
      <c r="O523" s="45">
        <v>0.766</v>
      </c>
      <c r="P523" s="44">
        <v>7.898233431899E12</v>
      </c>
      <c r="Q523" s="44">
        <v>1.0</v>
      </c>
    </row>
    <row r="524" ht="15.75" customHeight="1">
      <c r="A524" s="35" t="s">
        <v>1419</v>
      </c>
      <c r="B524" s="36">
        <v>428.2993399590632</v>
      </c>
      <c r="C524" s="36">
        <f>'Lista de Preço 02_2022'!$B524*0.9*0.9*0.9*0.9*0.9*0.97</f>
        <v>245.3192829</v>
      </c>
      <c r="D524" s="36">
        <f>'Lista de Preço 02_2022'!$C524*1.1712</f>
        <v>287.3179442</v>
      </c>
      <c r="E524" s="37">
        <v>3.25</v>
      </c>
      <c r="F524" s="38">
        <v>0.18</v>
      </c>
      <c r="G524" s="38" t="s">
        <v>22</v>
      </c>
      <c r="H524" s="39" t="s">
        <v>23</v>
      </c>
      <c r="I524" s="40" t="s">
        <v>1420</v>
      </c>
      <c r="J524" s="41" t="s">
        <v>500</v>
      </c>
      <c r="K524" s="42" t="s">
        <v>86</v>
      </c>
      <c r="L524" s="43" t="s">
        <v>1421</v>
      </c>
      <c r="M524" s="42">
        <v>8.708999E7</v>
      </c>
      <c r="N524" s="44" t="s">
        <v>28</v>
      </c>
      <c r="O524" s="45">
        <v>3.38</v>
      </c>
      <c r="P524" s="44">
        <v>7.899823505815E12</v>
      </c>
      <c r="Q524" s="44">
        <v>1.0</v>
      </c>
    </row>
    <row r="525" ht="15.75" customHeight="1">
      <c r="A525" s="50" t="s">
        <v>1422</v>
      </c>
      <c r="B525" s="36">
        <v>505.70490003300006</v>
      </c>
      <c r="C525" s="51">
        <f>'Lista de Preço 02_2022'!$B525*0.9*0.9*0.9*0.9*0.9*0.97</f>
        <v>289.6552758</v>
      </c>
      <c r="D525" s="36">
        <f>'Lista de Preço 02_2022'!$C525*1.1712</f>
        <v>339.244259</v>
      </c>
      <c r="E525" s="52">
        <v>3.25</v>
      </c>
      <c r="F525" s="53">
        <v>0.18</v>
      </c>
      <c r="G525" s="53" t="s">
        <v>22</v>
      </c>
      <c r="H525" s="54" t="s">
        <v>23</v>
      </c>
      <c r="I525" s="55" t="s">
        <v>1423</v>
      </c>
      <c r="J525" s="56" t="s">
        <v>25</v>
      </c>
      <c r="K525" s="57" t="s">
        <v>26</v>
      </c>
      <c r="L525" s="58" t="s">
        <v>1424</v>
      </c>
      <c r="M525" s="59">
        <v>8.708999E7</v>
      </c>
      <c r="N525" s="59" t="s">
        <v>28</v>
      </c>
      <c r="O525" s="60">
        <v>4.28</v>
      </c>
      <c r="P525" s="59">
        <v>7.899823506003E12</v>
      </c>
      <c r="Q525" s="59">
        <v>1.0</v>
      </c>
    </row>
    <row r="526" ht="15.75" customHeight="1">
      <c r="A526" s="35" t="s">
        <v>1425</v>
      </c>
      <c r="B526" s="36">
        <v>613.4937170453542</v>
      </c>
      <c r="C526" s="36">
        <f>'Lista de Preço 02_2022'!$B526*0.9*0.9*0.9*0.9*0.9*0.97</f>
        <v>351.3940478</v>
      </c>
      <c r="D526" s="36">
        <f>'Lista de Preço 02_2022'!$C526*1.1712</f>
        <v>411.5527088</v>
      </c>
      <c r="E526" s="37">
        <v>3.25</v>
      </c>
      <c r="F526" s="38">
        <v>0.18</v>
      </c>
      <c r="G526" s="38" t="s">
        <v>37</v>
      </c>
      <c r="H526" s="39" t="s">
        <v>23</v>
      </c>
      <c r="I526" s="40" t="s">
        <v>1426</v>
      </c>
      <c r="J526" s="41" t="s">
        <v>40</v>
      </c>
      <c r="K526" s="42" t="s">
        <v>303</v>
      </c>
      <c r="L526" s="43" t="s">
        <v>1427</v>
      </c>
      <c r="M526" s="42">
        <v>8.708999E7</v>
      </c>
      <c r="N526" s="44" t="s">
        <v>28</v>
      </c>
      <c r="O526" s="45">
        <v>5.67</v>
      </c>
      <c r="P526" s="44">
        <v>7.89982350601E12</v>
      </c>
      <c r="Q526" s="44">
        <v>1.0</v>
      </c>
    </row>
    <row r="527" ht="15.75" customHeight="1">
      <c r="A527" s="35" t="s">
        <v>1428</v>
      </c>
      <c r="B527" s="36">
        <v>100.14028077643754</v>
      </c>
      <c r="C527" s="36">
        <f>'Lista de Preço 02_2022'!$B527*0.9*0.9*0.9*0.9*0.9*0.97</f>
        <v>57.35787936</v>
      </c>
      <c r="D527" s="36">
        <f>'Lista de Preço 02_2022'!$C527*1.1712</f>
        <v>67.17754831</v>
      </c>
      <c r="E527" s="37">
        <v>3.25</v>
      </c>
      <c r="F527" s="38">
        <v>0.18</v>
      </c>
      <c r="G527" s="38" t="s">
        <v>22</v>
      </c>
      <c r="H527" s="39" t="s">
        <v>65</v>
      </c>
      <c r="I527" s="40" t="s">
        <v>1429</v>
      </c>
      <c r="J527" s="41" t="s">
        <v>67</v>
      </c>
      <c r="K527" s="42" t="s">
        <v>26</v>
      </c>
      <c r="L527" s="43" t="s">
        <v>1430</v>
      </c>
      <c r="M527" s="44">
        <v>8.708999E7</v>
      </c>
      <c r="N527" s="44" t="s">
        <v>28</v>
      </c>
      <c r="O527" s="45">
        <v>0.758</v>
      </c>
      <c r="P527" s="44">
        <v>7.898233432841E12</v>
      </c>
      <c r="Q527" s="44">
        <v>1.0</v>
      </c>
    </row>
    <row r="528" ht="15.75" customHeight="1">
      <c r="A528" s="35" t="s">
        <v>1431</v>
      </c>
      <c r="B528" s="36">
        <v>124.33287091995001</v>
      </c>
      <c r="C528" s="36">
        <f>'Lista de Preço 02_2022'!$B528*0.9*0.9*0.9*0.9*0.9*0.97</f>
        <v>71.21479744</v>
      </c>
      <c r="D528" s="36">
        <f>'Lista de Preço 02_2022'!$C528*1.0325</f>
        <v>73.52927836</v>
      </c>
      <c r="E528" s="37">
        <v>3.25</v>
      </c>
      <c r="F528" s="38">
        <v>0.18</v>
      </c>
      <c r="G528" s="38" t="s">
        <v>22</v>
      </c>
      <c r="H528" s="39" t="s">
        <v>1432</v>
      </c>
      <c r="I528" s="40" t="s">
        <v>1433</v>
      </c>
      <c r="J528" s="41" t="s">
        <v>1434</v>
      </c>
      <c r="K528" s="42" t="s">
        <v>68</v>
      </c>
      <c r="L528" s="43" t="s">
        <v>1435</v>
      </c>
      <c r="M528" s="44">
        <v>8.5432E7</v>
      </c>
      <c r="N528" s="44" t="s">
        <v>920</v>
      </c>
      <c r="O528" s="45">
        <v>0.14</v>
      </c>
      <c r="P528" s="44">
        <v>7.899823505877E12</v>
      </c>
      <c r="Q528" s="44">
        <v>1.0</v>
      </c>
    </row>
    <row r="529" ht="15.75" customHeight="1">
      <c r="A529" s="35" t="s">
        <v>1436</v>
      </c>
      <c r="B529" s="36">
        <v>188.73475449675</v>
      </c>
      <c r="C529" s="36">
        <f>'Lista de Preço 02_2022'!$B529*0.9*0.9*0.9*0.9*0.9*0.97</f>
        <v>108.1026056</v>
      </c>
      <c r="D529" s="36">
        <f>'Lista de Preço 02_2022'!$C529*1.0325</f>
        <v>111.6159403</v>
      </c>
      <c r="E529" s="37">
        <v>3.25</v>
      </c>
      <c r="F529" s="38">
        <v>0.18</v>
      </c>
      <c r="G529" s="38" t="s">
        <v>22</v>
      </c>
      <c r="H529" s="39" t="s">
        <v>1432</v>
      </c>
      <c r="I529" s="40" t="s">
        <v>1437</v>
      </c>
      <c r="J529" s="41" t="s">
        <v>1438</v>
      </c>
      <c r="K529" s="42" t="s">
        <v>68</v>
      </c>
      <c r="L529" s="43" t="s">
        <v>1439</v>
      </c>
      <c r="M529" s="44">
        <v>8.5432E7</v>
      </c>
      <c r="N529" s="44" t="s">
        <v>920</v>
      </c>
      <c r="O529" s="45">
        <v>0.104</v>
      </c>
      <c r="P529" s="44">
        <v>7.899823505884E12</v>
      </c>
      <c r="Q529" s="44">
        <v>1.0</v>
      </c>
    </row>
    <row r="530" ht="15.75" customHeight="1">
      <c r="A530" s="35" t="s">
        <v>1440</v>
      </c>
      <c r="B530" s="36">
        <v>206.48722810485006</v>
      </c>
      <c r="C530" s="36">
        <f>'Lista de Preço 02_2022'!$B530*0.9*0.9*0.9*0.9*0.9*0.97</f>
        <v>118.270784</v>
      </c>
      <c r="D530" s="36">
        <f>'Lista de Preço 02_2022'!$C530*1.0325</f>
        <v>122.1145845</v>
      </c>
      <c r="E530" s="37">
        <v>3.25</v>
      </c>
      <c r="F530" s="38">
        <v>0.18</v>
      </c>
      <c r="G530" s="38" t="s">
        <v>22</v>
      </c>
      <c r="H530" s="39" t="s">
        <v>1432</v>
      </c>
      <c r="I530" s="40" t="s">
        <v>1441</v>
      </c>
      <c r="J530" s="41" t="s">
        <v>1434</v>
      </c>
      <c r="K530" s="42" t="s">
        <v>26</v>
      </c>
      <c r="L530" s="43" t="s">
        <v>717</v>
      </c>
      <c r="M530" s="44">
        <v>8.5432E7</v>
      </c>
      <c r="N530" s="44" t="s">
        <v>920</v>
      </c>
      <c r="O530" s="45">
        <v>0.168</v>
      </c>
      <c r="P530" s="44">
        <v>7.899823506041E12</v>
      </c>
      <c r="Q530" s="44">
        <v>1.0</v>
      </c>
    </row>
    <row r="531" ht="15.75" customHeight="1">
      <c r="A531" s="35" t="s">
        <v>1442</v>
      </c>
      <c r="B531" s="36">
        <v>220.94880741780005</v>
      </c>
      <c r="C531" s="36">
        <f>'Lista de Preço 02_2022'!$B531*0.9*0.9*0.9*0.9*0.9*0.97</f>
        <v>126.5540195</v>
      </c>
      <c r="D531" s="36">
        <f>'Lista de Preço 02_2022'!$C531*1.0325</f>
        <v>130.6670251</v>
      </c>
      <c r="E531" s="37">
        <v>3.25</v>
      </c>
      <c r="F531" s="38">
        <v>0.18</v>
      </c>
      <c r="G531" s="38" t="s">
        <v>22</v>
      </c>
      <c r="H531" s="39" t="s">
        <v>1432</v>
      </c>
      <c r="I531" s="40" t="s">
        <v>1443</v>
      </c>
      <c r="J531" s="41" t="s">
        <v>1434</v>
      </c>
      <c r="K531" s="42" t="s">
        <v>26</v>
      </c>
      <c r="L531" s="43" t="s">
        <v>1444</v>
      </c>
      <c r="M531" s="44">
        <v>8.5432E7</v>
      </c>
      <c r="N531" s="44" t="s">
        <v>920</v>
      </c>
      <c r="O531" s="45">
        <v>0.142</v>
      </c>
      <c r="P531" s="44">
        <v>7.899823506058E12</v>
      </c>
      <c r="Q531" s="44">
        <v>1.0</v>
      </c>
    </row>
    <row r="532" ht="15.75" customHeight="1">
      <c r="A532" s="35" t="s">
        <v>1445</v>
      </c>
      <c r="B532" s="36">
        <v>151.48602663810004</v>
      </c>
      <c r="C532" s="36">
        <f>'Lista de Preço 02_2022'!$B532*0.9*0.9*0.9*0.9*0.9*0.97</f>
        <v>86.76745435</v>
      </c>
      <c r="D532" s="36">
        <f>'Lista de Preço 02_2022'!$C532*1.0325</f>
        <v>89.58739662</v>
      </c>
      <c r="E532" s="37">
        <v>3.25</v>
      </c>
      <c r="F532" s="38">
        <v>0.18</v>
      </c>
      <c r="G532" s="38" t="s">
        <v>22</v>
      </c>
      <c r="H532" s="39" t="s">
        <v>1432</v>
      </c>
      <c r="I532" s="40" t="s">
        <v>1446</v>
      </c>
      <c r="J532" s="41" t="s">
        <v>1447</v>
      </c>
      <c r="K532" s="42" t="s">
        <v>95</v>
      </c>
      <c r="L532" s="43" t="s">
        <v>1448</v>
      </c>
      <c r="M532" s="44">
        <v>8.5432E7</v>
      </c>
      <c r="N532" s="44" t="s">
        <v>920</v>
      </c>
      <c r="O532" s="45">
        <v>0.168</v>
      </c>
      <c r="P532" s="44">
        <v>7.899823506065E12</v>
      </c>
      <c r="Q532" s="44">
        <v>1.0</v>
      </c>
    </row>
    <row r="533" ht="15.75" customHeight="1">
      <c r="A533" s="35" t="s">
        <v>1449</v>
      </c>
      <c r="B533" s="36">
        <v>116.76774738090002</v>
      </c>
      <c r="C533" s="36">
        <f>'Lista de Preço 02_2022'!$B533*0.9*0.9*0.9*0.9*0.9*0.97</f>
        <v>66.88168154</v>
      </c>
      <c r="D533" s="36">
        <f>'Lista de Preço 02_2022'!$C533*1.0325</f>
        <v>69.05533619</v>
      </c>
      <c r="E533" s="37">
        <v>3.25</v>
      </c>
      <c r="F533" s="38">
        <v>0.18</v>
      </c>
      <c r="G533" s="38" t="s">
        <v>22</v>
      </c>
      <c r="H533" s="39" t="s">
        <v>1432</v>
      </c>
      <c r="I533" s="40" t="s">
        <v>1450</v>
      </c>
      <c r="J533" s="41" t="s">
        <v>1447</v>
      </c>
      <c r="K533" s="42" t="s">
        <v>68</v>
      </c>
      <c r="L533" s="43" t="s">
        <v>1451</v>
      </c>
      <c r="M533" s="44">
        <v>8.5432E7</v>
      </c>
      <c r="N533" s="44" t="s">
        <v>920</v>
      </c>
      <c r="O533" s="45">
        <v>0.046</v>
      </c>
      <c r="P533" s="44">
        <v>7.899823506072E12</v>
      </c>
      <c r="Q533" s="44">
        <v>1.0</v>
      </c>
    </row>
    <row r="534" ht="15.75" customHeight="1">
      <c r="A534" s="35" t="s">
        <v>1452</v>
      </c>
      <c r="B534" s="36">
        <v>116.76774738090002</v>
      </c>
      <c r="C534" s="36">
        <f>'Lista de Preço 02_2022'!$B534*0.9*0.9*0.9*0.9*0.9*0.97</f>
        <v>66.88168154</v>
      </c>
      <c r="D534" s="36">
        <f>'Lista de Preço 02_2022'!$C534*1.0325</f>
        <v>69.05533619</v>
      </c>
      <c r="E534" s="37">
        <v>3.25</v>
      </c>
      <c r="F534" s="38">
        <v>0.18</v>
      </c>
      <c r="G534" s="38" t="s">
        <v>22</v>
      </c>
      <c r="H534" s="39" t="s">
        <v>1432</v>
      </c>
      <c r="I534" s="40" t="s">
        <v>1450</v>
      </c>
      <c r="J534" s="41" t="s">
        <v>1447</v>
      </c>
      <c r="K534" s="42" t="s">
        <v>68</v>
      </c>
      <c r="L534" s="43" t="s">
        <v>1453</v>
      </c>
      <c r="M534" s="44">
        <v>8.5432E7</v>
      </c>
      <c r="N534" s="44" t="s">
        <v>920</v>
      </c>
      <c r="O534" s="45">
        <v>0.056</v>
      </c>
      <c r="P534" s="44">
        <v>7.899823506089E12</v>
      </c>
      <c r="Q534" s="44">
        <v>1.0</v>
      </c>
    </row>
    <row r="535" ht="15.75" customHeight="1">
      <c r="A535" s="35" t="s">
        <v>1454</v>
      </c>
      <c r="B535" s="36">
        <v>161.3980429215</v>
      </c>
      <c r="C535" s="36">
        <f>'Lista de Preço 02_2022'!$B535*0.9*0.9*0.9*0.9*0.9*0.97</f>
        <v>92.44481245</v>
      </c>
      <c r="D535" s="36">
        <f>'Lista de Preço 02_2022'!$C535*1.0325</f>
        <v>95.44926886</v>
      </c>
      <c r="E535" s="37">
        <v>3.25</v>
      </c>
      <c r="F535" s="38">
        <v>0.18</v>
      </c>
      <c r="G535" s="38" t="s">
        <v>22</v>
      </c>
      <c r="H535" s="39" t="s">
        <v>1432</v>
      </c>
      <c r="I535" s="40" t="s">
        <v>1455</v>
      </c>
      <c r="J535" s="41" t="s">
        <v>1434</v>
      </c>
      <c r="K535" s="42" t="s">
        <v>294</v>
      </c>
      <c r="L535" s="62" t="s">
        <v>1456</v>
      </c>
      <c r="M535" s="44">
        <v>8.5432E7</v>
      </c>
      <c r="N535" s="44" t="s">
        <v>920</v>
      </c>
      <c r="O535" s="45">
        <v>0.098</v>
      </c>
      <c r="P535" s="44">
        <v>7.899823506096E12</v>
      </c>
      <c r="Q535" s="44">
        <v>1.0</v>
      </c>
    </row>
    <row r="536" ht="15.75" customHeight="1">
      <c r="A536" s="35" t="s">
        <v>1457</v>
      </c>
      <c r="B536" s="36">
        <v>122.70531148974402</v>
      </c>
      <c r="C536" s="36">
        <f>'Lista de Preço 02_2022'!$B536*0.9*0.9*0.9*0.9*0.9*0.97</f>
        <v>70.2825716</v>
      </c>
      <c r="D536" s="36">
        <f>'Lista de Preço 02_2022'!$C536*1.0325</f>
        <v>72.56675518</v>
      </c>
      <c r="E536" s="37">
        <v>3.25</v>
      </c>
      <c r="F536" s="38">
        <v>0.18</v>
      </c>
      <c r="G536" s="38" t="s">
        <v>22</v>
      </c>
      <c r="H536" s="39" t="s">
        <v>1432</v>
      </c>
      <c r="I536" s="40" t="s">
        <v>1458</v>
      </c>
      <c r="J536" s="41" t="s">
        <v>1438</v>
      </c>
      <c r="K536" s="42" t="s">
        <v>95</v>
      </c>
      <c r="L536" s="43" t="s">
        <v>1459</v>
      </c>
      <c r="M536" s="44">
        <v>8.5432E7</v>
      </c>
      <c r="N536" s="44" t="s">
        <v>920</v>
      </c>
      <c r="O536" s="45">
        <v>0.088</v>
      </c>
      <c r="P536" s="44">
        <v>7.899823506157E12</v>
      </c>
      <c r="Q536" s="44">
        <v>1.0</v>
      </c>
    </row>
    <row r="537" ht="15.75" customHeight="1">
      <c r="A537" s="35" t="s">
        <v>1460</v>
      </c>
      <c r="B537" s="36">
        <v>1394.2854763620755</v>
      </c>
      <c r="C537" s="36">
        <f>'Lista de Preço 02_2022'!$B537*0.9*0.9*0.9*0.9*0.9*0.97</f>
        <v>798.612282</v>
      </c>
      <c r="D537" s="36">
        <f>'Lista de Preço 02_2022'!$C537*1.1712</f>
        <v>935.3347047</v>
      </c>
      <c r="E537" s="37">
        <v>3.25</v>
      </c>
      <c r="F537" s="38">
        <v>0.18</v>
      </c>
      <c r="G537" s="38" t="s">
        <v>22</v>
      </c>
      <c r="H537" s="39" t="s">
        <v>23</v>
      </c>
      <c r="I537" s="40" t="s">
        <v>1461</v>
      </c>
      <c r="J537" s="41" t="s">
        <v>500</v>
      </c>
      <c r="K537" s="42" t="s">
        <v>26</v>
      </c>
      <c r="L537" s="43" t="s">
        <v>1444</v>
      </c>
      <c r="M537" s="42">
        <v>8.708999E7</v>
      </c>
      <c r="N537" s="44" t="s">
        <v>28</v>
      </c>
      <c r="O537" s="45">
        <v>11.28</v>
      </c>
      <c r="P537" s="44">
        <v>7.899823506119E12</v>
      </c>
      <c r="Q537" s="44">
        <v>1.0</v>
      </c>
    </row>
    <row r="538" ht="15.75" customHeight="1">
      <c r="A538" s="35" t="s">
        <v>1462</v>
      </c>
      <c r="B538" s="36">
        <v>122.70531148974402</v>
      </c>
      <c r="C538" s="36">
        <f>'Lista de Preço 02_2022'!$B538*0.9*0.9*0.9*0.9*0.9*0.97</f>
        <v>70.2825716</v>
      </c>
      <c r="D538" s="36">
        <f>'Lista de Preço 02_2022'!$C538*1.0325</f>
        <v>72.56675518</v>
      </c>
      <c r="E538" s="37">
        <v>3.25</v>
      </c>
      <c r="F538" s="38">
        <v>0.18</v>
      </c>
      <c r="G538" s="38" t="s">
        <v>22</v>
      </c>
      <c r="H538" s="39" t="s">
        <v>1432</v>
      </c>
      <c r="I538" s="40" t="s">
        <v>1458</v>
      </c>
      <c r="J538" s="41" t="s">
        <v>1438</v>
      </c>
      <c r="K538" s="42" t="s">
        <v>95</v>
      </c>
      <c r="L538" s="43" t="s">
        <v>1463</v>
      </c>
      <c r="M538" s="44">
        <v>8.5432E7</v>
      </c>
      <c r="N538" s="44" t="s">
        <v>920</v>
      </c>
      <c r="O538" s="45">
        <v>0.088</v>
      </c>
      <c r="P538" s="44">
        <v>7.899823506164E12</v>
      </c>
      <c r="Q538" s="44">
        <v>1.0</v>
      </c>
    </row>
    <row r="539" ht="15.75" customHeight="1">
      <c r="A539" s="35" t="s">
        <v>1464</v>
      </c>
      <c r="B539" s="36">
        <v>133.86033980699347</v>
      </c>
      <c r="C539" s="36">
        <f>'Lista de Preço 02_2022'!$B539*0.9*0.9*0.9*0.9*0.9*0.97</f>
        <v>76.67189629</v>
      </c>
      <c r="D539" s="36">
        <f>'Lista de Preço 02_2022'!$C539*1.0325</f>
        <v>79.16373292</v>
      </c>
      <c r="E539" s="37">
        <v>3.25</v>
      </c>
      <c r="F539" s="38">
        <v>0.18</v>
      </c>
      <c r="G539" s="38" t="s">
        <v>22</v>
      </c>
      <c r="H539" s="39" t="s">
        <v>1432</v>
      </c>
      <c r="I539" s="40" t="s">
        <v>1465</v>
      </c>
      <c r="J539" s="63" t="s">
        <v>1447</v>
      </c>
      <c r="K539" s="42" t="s">
        <v>153</v>
      </c>
      <c r="L539" s="43" t="s">
        <v>1466</v>
      </c>
      <c r="M539" s="44">
        <v>8.5432E7</v>
      </c>
      <c r="N539" s="44" t="s">
        <v>920</v>
      </c>
      <c r="O539" s="45">
        <v>0.103</v>
      </c>
      <c r="P539" s="44">
        <v>7.899823506171E12</v>
      </c>
      <c r="Q539" s="44">
        <v>1.0</v>
      </c>
    </row>
    <row r="540" ht="15.75" customHeight="1">
      <c r="A540" s="35" t="s">
        <v>1467</v>
      </c>
      <c r="B540" s="36">
        <v>145.01536812424294</v>
      </c>
      <c r="C540" s="36">
        <f>'Lista de Preço 02_2022'!$B540*0.9*0.9*0.9*0.9*0.9*0.97</f>
        <v>83.06122098</v>
      </c>
      <c r="D540" s="36">
        <f>'Lista de Preço 02_2022'!$C540*1.0325</f>
        <v>85.76071066</v>
      </c>
      <c r="E540" s="37">
        <v>3.25</v>
      </c>
      <c r="F540" s="38">
        <v>0.18</v>
      </c>
      <c r="G540" s="38" t="s">
        <v>22</v>
      </c>
      <c r="H540" s="39" t="s">
        <v>1432</v>
      </c>
      <c r="I540" s="40" t="s">
        <v>1468</v>
      </c>
      <c r="J540" s="63" t="s">
        <v>1438</v>
      </c>
      <c r="K540" s="42" t="s">
        <v>95</v>
      </c>
      <c r="L540" s="43">
        <v>5.1918225E7</v>
      </c>
      <c r="M540" s="44">
        <v>8.5432E7</v>
      </c>
      <c r="N540" s="44" t="s">
        <v>920</v>
      </c>
      <c r="O540" s="45">
        <v>0.108</v>
      </c>
      <c r="P540" s="44">
        <v>7.899823506188E12</v>
      </c>
      <c r="Q540" s="44">
        <v>1.0</v>
      </c>
    </row>
    <row r="541" ht="15.75" customHeight="1">
      <c r="A541" s="35" t="s">
        <v>1469</v>
      </c>
      <c r="B541" s="36">
        <v>145.01536812424294</v>
      </c>
      <c r="C541" s="36">
        <f>'Lista de Preço 02_2022'!$B541*0.9*0.9*0.9*0.9*0.9*0.97</f>
        <v>83.06122098</v>
      </c>
      <c r="D541" s="36">
        <f>'Lista de Preço 02_2022'!$C541*1.0325</f>
        <v>85.76071066</v>
      </c>
      <c r="E541" s="37">
        <v>3.25</v>
      </c>
      <c r="F541" s="38">
        <v>0.18</v>
      </c>
      <c r="G541" s="38" t="s">
        <v>22</v>
      </c>
      <c r="H541" s="39" t="s">
        <v>1432</v>
      </c>
      <c r="I541" s="40" t="s">
        <v>1468</v>
      </c>
      <c r="J541" s="63" t="s">
        <v>1438</v>
      </c>
      <c r="K541" s="42" t="s">
        <v>95</v>
      </c>
      <c r="L541" s="43"/>
      <c r="M541" s="44">
        <v>8.5432E7</v>
      </c>
      <c r="N541" s="44" t="s">
        <v>920</v>
      </c>
      <c r="O541" s="45">
        <v>0.112</v>
      </c>
      <c r="P541" s="44">
        <v>7.899823506195E12</v>
      </c>
      <c r="Q541" s="44">
        <v>1.0</v>
      </c>
    </row>
    <row r="542" ht="15.75" customHeight="1">
      <c r="A542" s="35" t="s">
        <v>1470</v>
      </c>
      <c r="B542" s="36">
        <v>122.70531148974402</v>
      </c>
      <c r="C542" s="36">
        <f>'Lista de Preço 02_2022'!$B542*0.9*0.9*0.9*0.9*0.9*0.97</f>
        <v>70.2825716</v>
      </c>
      <c r="D542" s="36">
        <f>'Lista de Preço 02_2022'!$C542*1.0325</f>
        <v>72.56675518</v>
      </c>
      <c r="E542" s="37">
        <v>3.25</v>
      </c>
      <c r="F542" s="38">
        <v>0.18</v>
      </c>
      <c r="G542" s="38" t="s">
        <v>22</v>
      </c>
      <c r="H542" s="39" t="s">
        <v>1432</v>
      </c>
      <c r="I542" s="40" t="s">
        <v>1471</v>
      </c>
      <c r="J542" s="63" t="s">
        <v>1438</v>
      </c>
      <c r="K542" s="42" t="s">
        <v>95</v>
      </c>
      <c r="L542" s="43">
        <v>5.1918223E7</v>
      </c>
      <c r="M542" s="44">
        <v>8.5432E7</v>
      </c>
      <c r="N542" s="44" t="s">
        <v>920</v>
      </c>
      <c r="O542" s="45">
        <v>0.106</v>
      </c>
      <c r="P542" s="44">
        <v>7.899823506201E12</v>
      </c>
      <c r="Q542" s="44">
        <v>1.0</v>
      </c>
    </row>
    <row r="543" ht="15.75" customHeight="1">
      <c r="A543" s="35" t="s">
        <v>1472</v>
      </c>
      <c r="B543" s="36">
        <v>122.70531148974402</v>
      </c>
      <c r="C543" s="36">
        <f>'Lista de Preço 02_2022'!$B543*0.9*0.9*0.9*0.9*0.9*0.97</f>
        <v>70.2825716</v>
      </c>
      <c r="D543" s="36">
        <f>'Lista de Preço 02_2022'!$C543*1.0325</f>
        <v>72.56675518</v>
      </c>
      <c r="E543" s="37">
        <v>3.25</v>
      </c>
      <c r="F543" s="38">
        <v>0.18</v>
      </c>
      <c r="G543" s="38" t="s">
        <v>22</v>
      </c>
      <c r="H543" s="39" t="s">
        <v>1432</v>
      </c>
      <c r="I543" s="40" t="s">
        <v>1471</v>
      </c>
      <c r="J543" s="63" t="s">
        <v>1438</v>
      </c>
      <c r="K543" s="42" t="s">
        <v>95</v>
      </c>
      <c r="L543" s="43" t="s">
        <v>1473</v>
      </c>
      <c r="M543" s="44">
        <v>8.5432E7</v>
      </c>
      <c r="N543" s="44" t="s">
        <v>920</v>
      </c>
      <c r="O543" s="45">
        <v>0.106</v>
      </c>
      <c r="P543" s="44">
        <v>7.899823506218E12</v>
      </c>
      <c r="Q543" s="44">
        <v>1.0</v>
      </c>
    </row>
    <row r="544" ht="15.75" customHeight="1">
      <c r="A544" s="35" t="s">
        <v>1474</v>
      </c>
      <c r="B544" s="36">
        <v>145.01536812424294</v>
      </c>
      <c r="C544" s="36">
        <f>'Lista de Preço 02_2022'!$B544*0.9*0.9*0.9*0.9*0.9*0.97</f>
        <v>83.06122098</v>
      </c>
      <c r="D544" s="36">
        <f>'Lista de Preço 02_2022'!$C544*1.0325</f>
        <v>85.76071066</v>
      </c>
      <c r="E544" s="37">
        <v>3.25</v>
      </c>
      <c r="F544" s="38">
        <v>0.18</v>
      </c>
      <c r="G544" s="38" t="s">
        <v>22</v>
      </c>
      <c r="H544" s="39" t="s">
        <v>1432</v>
      </c>
      <c r="I544" s="40" t="s">
        <v>1475</v>
      </c>
      <c r="J544" s="63" t="s">
        <v>1438</v>
      </c>
      <c r="K544" s="42" t="s">
        <v>95</v>
      </c>
      <c r="L544" s="43" t="s">
        <v>1476</v>
      </c>
      <c r="M544" s="44">
        <v>8.5432E7</v>
      </c>
      <c r="N544" s="44" t="s">
        <v>920</v>
      </c>
      <c r="O544" s="45">
        <v>0.132</v>
      </c>
      <c r="P544" s="44">
        <v>7.899823506225E12</v>
      </c>
      <c r="Q544" s="44">
        <v>1.0</v>
      </c>
    </row>
    <row r="545" ht="15.75" customHeight="1">
      <c r="A545" s="35" t="s">
        <v>1477</v>
      </c>
      <c r="B545" s="36">
        <v>145.01536812424294</v>
      </c>
      <c r="C545" s="36">
        <f>'Lista de Preço 02_2022'!$B545*0.9*0.9*0.9*0.9*0.9*0.97</f>
        <v>83.06122098</v>
      </c>
      <c r="D545" s="36">
        <f>'Lista de Preço 02_2022'!$C545*1.0325</f>
        <v>85.76071066</v>
      </c>
      <c r="E545" s="37">
        <v>3.25</v>
      </c>
      <c r="F545" s="38">
        <v>0.18</v>
      </c>
      <c r="G545" s="38" t="s">
        <v>22</v>
      </c>
      <c r="H545" s="39" t="s">
        <v>1432</v>
      </c>
      <c r="I545" s="40" t="s">
        <v>1475</v>
      </c>
      <c r="J545" s="63" t="s">
        <v>1438</v>
      </c>
      <c r="K545" s="42" t="s">
        <v>95</v>
      </c>
      <c r="L545" s="43" t="s">
        <v>1478</v>
      </c>
      <c r="M545" s="44">
        <v>8.5432E7</v>
      </c>
      <c r="N545" s="44" t="s">
        <v>920</v>
      </c>
      <c r="O545" s="45">
        <v>0.131</v>
      </c>
      <c r="P545" s="44">
        <v>7.899823506232E12</v>
      </c>
      <c r="Q545" s="44">
        <v>1.0</v>
      </c>
    </row>
    <row r="546" ht="15.75" customHeight="1">
      <c r="A546" s="35" t="s">
        <v>1479</v>
      </c>
      <c r="B546" s="36">
        <v>88.9449412182079</v>
      </c>
      <c r="C546" s="36">
        <f>'Lista de Preço 02_2022'!$B546*0.9*0.9*0.9*0.9*0.9*0.97</f>
        <v>50.94546539</v>
      </c>
      <c r="D546" s="36">
        <f>'Lista de Preço 02_2022'!$C546*1.1712</f>
        <v>59.66732906</v>
      </c>
      <c r="E546" s="37">
        <v>3.25</v>
      </c>
      <c r="F546" s="38">
        <v>0.18</v>
      </c>
      <c r="G546" s="38" t="s">
        <v>22</v>
      </c>
      <c r="H546" s="39" t="s">
        <v>65</v>
      </c>
      <c r="I546" s="40" t="s">
        <v>1480</v>
      </c>
      <c r="J546" s="41" t="s">
        <v>67</v>
      </c>
      <c r="K546" s="42" t="s">
        <v>153</v>
      </c>
      <c r="L546" s="43" t="s">
        <v>1481</v>
      </c>
      <c r="M546" s="42">
        <v>8.708999E7</v>
      </c>
      <c r="N546" s="44" t="s">
        <v>28</v>
      </c>
      <c r="O546" s="45">
        <v>0.81</v>
      </c>
      <c r="P546" s="44">
        <v>7.899823506645E12</v>
      </c>
      <c r="Q546" s="44">
        <v>1.0</v>
      </c>
    </row>
    <row r="547" ht="15.75" customHeight="1">
      <c r="A547" s="35" t="s">
        <v>1482</v>
      </c>
      <c r="B547" s="36">
        <v>145.01536812424294</v>
      </c>
      <c r="C547" s="36">
        <f>'Lista de Preço 02_2022'!$B547*0.9*0.9*0.9*0.9*0.9*0.97</f>
        <v>83.06122098</v>
      </c>
      <c r="D547" s="36">
        <f>'Lista de Preço 02_2022'!$C547*1.0325</f>
        <v>85.76071066</v>
      </c>
      <c r="E547" s="37">
        <v>3.25</v>
      </c>
      <c r="F547" s="38">
        <v>0.18</v>
      </c>
      <c r="G547" s="38" t="s">
        <v>22</v>
      </c>
      <c r="H547" s="39" t="s">
        <v>1432</v>
      </c>
      <c r="I547" s="40" t="s">
        <v>1483</v>
      </c>
      <c r="J547" s="63" t="s">
        <v>1434</v>
      </c>
      <c r="K547" s="42" t="s">
        <v>68</v>
      </c>
      <c r="L547" s="43"/>
      <c r="M547" s="44">
        <v>8.5432E7</v>
      </c>
      <c r="N547" s="44" t="s">
        <v>920</v>
      </c>
      <c r="O547" s="45">
        <v>0.093</v>
      </c>
      <c r="P547" s="44">
        <v>7.899823506249E12</v>
      </c>
      <c r="Q547" s="44">
        <v>1.0</v>
      </c>
    </row>
    <row r="548" ht="15.75" customHeight="1">
      <c r="A548" s="35" t="s">
        <v>1484</v>
      </c>
      <c r="B548" s="36">
        <v>145.01536812424294</v>
      </c>
      <c r="C548" s="36">
        <f>'Lista de Preço 02_2022'!$B548*0.9*0.9*0.9*0.9*0.9*0.97</f>
        <v>83.06122098</v>
      </c>
      <c r="D548" s="36">
        <f>'Lista de Preço 02_2022'!$C548*1.0325</f>
        <v>85.76071066</v>
      </c>
      <c r="E548" s="37">
        <v>3.25</v>
      </c>
      <c r="F548" s="38">
        <v>0.18</v>
      </c>
      <c r="G548" s="38" t="s">
        <v>22</v>
      </c>
      <c r="H548" s="39" t="s">
        <v>1432</v>
      </c>
      <c r="I548" s="40" t="s">
        <v>1485</v>
      </c>
      <c r="J548" s="63" t="s">
        <v>1438</v>
      </c>
      <c r="K548" s="42" t="s">
        <v>95</v>
      </c>
      <c r="L548" s="43" t="s">
        <v>1486</v>
      </c>
      <c r="M548" s="44">
        <v>8.5432E7</v>
      </c>
      <c r="N548" s="44" t="s">
        <v>920</v>
      </c>
      <c r="O548" s="45">
        <v>0.091</v>
      </c>
      <c r="P548" s="44">
        <v>7.899823506256E12</v>
      </c>
      <c r="Q548" s="44">
        <v>1.0</v>
      </c>
    </row>
    <row r="549" ht="15.75" customHeight="1">
      <c r="A549" s="35" t="s">
        <v>1487</v>
      </c>
      <c r="B549" s="36">
        <v>133.86033980699347</v>
      </c>
      <c r="C549" s="36">
        <f>'Lista de Preço 02_2022'!$B549*0.9*0.9*0.9*0.9*0.9*0.97</f>
        <v>76.67189629</v>
      </c>
      <c r="D549" s="36">
        <f>'Lista de Preço 02_2022'!$C549*1.0325</f>
        <v>79.16373292</v>
      </c>
      <c r="E549" s="37">
        <v>3.25</v>
      </c>
      <c r="F549" s="38">
        <v>0.18</v>
      </c>
      <c r="G549" s="38" t="s">
        <v>22</v>
      </c>
      <c r="H549" s="39" t="s">
        <v>1432</v>
      </c>
      <c r="I549" s="40" t="s">
        <v>1488</v>
      </c>
      <c r="J549" s="63" t="s">
        <v>1434</v>
      </c>
      <c r="K549" s="42" t="s">
        <v>68</v>
      </c>
      <c r="L549" s="43"/>
      <c r="M549" s="44">
        <v>8.5432E7</v>
      </c>
      <c r="N549" s="44" t="s">
        <v>920</v>
      </c>
      <c r="O549" s="45">
        <v>0.104</v>
      </c>
      <c r="P549" s="44">
        <v>7.899823506263E12</v>
      </c>
      <c r="Q549" s="44">
        <v>1.0</v>
      </c>
    </row>
    <row r="550" ht="15.75" customHeight="1">
      <c r="A550" s="35" t="s">
        <v>1489</v>
      </c>
      <c r="B550" s="36">
        <v>122.70531148974402</v>
      </c>
      <c r="C550" s="36">
        <f>'Lista de Preço 02_2022'!$B550*0.9*0.9*0.9*0.9*0.9*0.97</f>
        <v>70.2825716</v>
      </c>
      <c r="D550" s="36">
        <f>'Lista de Preço 02_2022'!$C550*1.0325</f>
        <v>72.56675518</v>
      </c>
      <c r="E550" s="37">
        <v>3.25</v>
      </c>
      <c r="F550" s="38">
        <v>0.18</v>
      </c>
      <c r="G550" s="38" t="s">
        <v>22</v>
      </c>
      <c r="H550" s="39" t="s">
        <v>1432</v>
      </c>
      <c r="I550" s="40" t="s">
        <v>1490</v>
      </c>
      <c r="J550" s="63" t="s">
        <v>1438</v>
      </c>
      <c r="K550" s="42" t="s">
        <v>625</v>
      </c>
      <c r="L550" s="43" t="s">
        <v>1491</v>
      </c>
      <c r="M550" s="44">
        <v>8.5432E7</v>
      </c>
      <c r="N550" s="44" t="s">
        <v>920</v>
      </c>
      <c r="O550" s="45">
        <v>0.112</v>
      </c>
      <c r="P550" s="44">
        <v>7.89982350627E12</v>
      </c>
      <c r="Q550" s="44">
        <v>1.0</v>
      </c>
    </row>
    <row r="551" ht="15.75" customHeight="1">
      <c r="A551" s="35" t="s">
        <v>1492</v>
      </c>
      <c r="B551" s="36">
        <v>133.86033980699347</v>
      </c>
      <c r="C551" s="36">
        <f>'Lista de Preço 02_2022'!$B551*0.9*0.9*0.9*0.9*0.9*0.97</f>
        <v>76.67189629</v>
      </c>
      <c r="D551" s="36">
        <f>'Lista de Preço 02_2022'!$C551*1.0325</f>
        <v>79.16373292</v>
      </c>
      <c r="E551" s="37">
        <v>3.25</v>
      </c>
      <c r="F551" s="38">
        <v>0.18</v>
      </c>
      <c r="G551" s="38" t="s">
        <v>22</v>
      </c>
      <c r="H551" s="39" t="s">
        <v>1432</v>
      </c>
      <c r="I551" s="40" t="s">
        <v>1493</v>
      </c>
      <c r="J551" s="63" t="s">
        <v>1438</v>
      </c>
      <c r="K551" s="42" t="s">
        <v>95</v>
      </c>
      <c r="L551" s="43">
        <v>5.1918276E7</v>
      </c>
      <c r="M551" s="44">
        <v>8.5432E7</v>
      </c>
      <c r="N551" s="44" t="s">
        <v>920</v>
      </c>
      <c r="O551" s="45">
        <v>0.101</v>
      </c>
      <c r="P551" s="44">
        <v>7.899823506287E12</v>
      </c>
      <c r="Q551" s="44">
        <v>1.0</v>
      </c>
    </row>
    <row r="552" ht="15.75" customHeight="1">
      <c r="A552" s="35" t="s">
        <v>1494</v>
      </c>
      <c r="B552" s="36">
        <v>133.86033980699347</v>
      </c>
      <c r="C552" s="36">
        <f>'Lista de Preço 02_2022'!$B552*0.9*0.9*0.9*0.9*0.9*0.97</f>
        <v>76.67189629</v>
      </c>
      <c r="D552" s="36">
        <f>'Lista de Preço 02_2022'!$C552*1.0325</f>
        <v>79.16373292</v>
      </c>
      <c r="E552" s="37">
        <v>3.25</v>
      </c>
      <c r="F552" s="38">
        <v>0.18</v>
      </c>
      <c r="G552" s="38" t="s">
        <v>22</v>
      </c>
      <c r="H552" s="39" t="s">
        <v>1432</v>
      </c>
      <c r="I552" s="40" t="s">
        <v>1493</v>
      </c>
      <c r="J552" s="63" t="s">
        <v>1438</v>
      </c>
      <c r="K552" s="42" t="s">
        <v>95</v>
      </c>
      <c r="L552" s="43">
        <v>5.1918277E7</v>
      </c>
      <c r="M552" s="44">
        <v>8.5432E7</v>
      </c>
      <c r="N552" s="44" t="s">
        <v>920</v>
      </c>
      <c r="O552" s="45">
        <v>0.102</v>
      </c>
      <c r="P552" s="44">
        <v>7.899823506294E12</v>
      </c>
      <c r="Q552" s="44">
        <v>1.0</v>
      </c>
    </row>
    <row r="553" ht="15.75" customHeight="1">
      <c r="A553" s="35" t="s">
        <v>1495</v>
      </c>
      <c r="B553" s="36">
        <v>133.86033980699347</v>
      </c>
      <c r="C553" s="36">
        <f>'Lista de Preço 02_2022'!$B553*0.9*0.9*0.9*0.9*0.9*0.97</f>
        <v>76.67189629</v>
      </c>
      <c r="D553" s="36">
        <f>'Lista de Preço 02_2022'!$C553*1.0325</f>
        <v>79.16373292</v>
      </c>
      <c r="E553" s="37">
        <v>3.25</v>
      </c>
      <c r="F553" s="38">
        <v>0.18</v>
      </c>
      <c r="G553" s="38" t="s">
        <v>22</v>
      </c>
      <c r="H553" s="39" t="s">
        <v>1432</v>
      </c>
      <c r="I553" s="40" t="s">
        <v>1496</v>
      </c>
      <c r="J553" s="63" t="s">
        <v>1438</v>
      </c>
      <c r="K553" s="42" t="s">
        <v>95</v>
      </c>
      <c r="L553" s="43">
        <v>5.1918676E7</v>
      </c>
      <c r="M553" s="44">
        <v>8.5432E7</v>
      </c>
      <c r="N553" s="44" t="s">
        <v>920</v>
      </c>
      <c r="O553" s="45">
        <v>0.105</v>
      </c>
      <c r="P553" s="44">
        <v>7.8998235063E12</v>
      </c>
      <c r="Q553" s="44">
        <v>1.0</v>
      </c>
    </row>
    <row r="554" ht="15.75" customHeight="1">
      <c r="A554" s="35" t="s">
        <v>1497</v>
      </c>
      <c r="B554" s="36">
        <v>133.86033980699347</v>
      </c>
      <c r="C554" s="36">
        <f>'Lista de Preço 02_2022'!$B554*0.9*0.9*0.9*0.9*0.9*0.97</f>
        <v>76.67189629</v>
      </c>
      <c r="D554" s="36">
        <f>'Lista de Preço 02_2022'!$C554*1.0325</f>
        <v>79.16373292</v>
      </c>
      <c r="E554" s="37">
        <v>3.25</v>
      </c>
      <c r="F554" s="38">
        <v>0.18</v>
      </c>
      <c r="G554" s="38" t="s">
        <v>22</v>
      </c>
      <c r="H554" s="39" t="s">
        <v>1432</v>
      </c>
      <c r="I554" s="40" t="s">
        <v>1498</v>
      </c>
      <c r="J554" s="63" t="s">
        <v>1438</v>
      </c>
      <c r="K554" s="42" t="s">
        <v>95</v>
      </c>
      <c r="L554" s="43" t="s">
        <v>1499</v>
      </c>
      <c r="M554" s="44">
        <v>8.5432E7</v>
      </c>
      <c r="N554" s="44" t="s">
        <v>920</v>
      </c>
      <c r="O554" s="45">
        <v>0.108</v>
      </c>
      <c r="P554" s="44">
        <v>7.899823506317E12</v>
      </c>
      <c r="Q554" s="44">
        <v>1.0</v>
      </c>
    </row>
    <row r="555" ht="15.75" customHeight="1">
      <c r="A555" s="35" t="s">
        <v>1500</v>
      </c>
      <c r="B555" s="36">
        <v>133.86033980699347</v>
      </c>
      <c r="C555" s="36">
        <f>'Lista de Preço 02_2022'!$B555*0.9*0.9*0.9*0.9*0.9*0.97</f>
        <v>76.67189629</v>
      </c>
      <c r="D555" s="36">
        <f>'Lista de Preço 02_2022'!$C555*1.0325</f>
        <v>79.16373292</v>
      </c>
      <c r="E555" s="37">
        <v>3.25</v>
      </c>
      <c r="F555" s="38">
        <v>0.18</v>
      </c>
      <c r="G555" s="38" t="s">
        <v>22</v>
      </c>
      <c r="H555" s="39" t="s">
        <v>1432</v>
      </c>
      <c r="I555" s="40" t="s">
        <v>1501</v>
      </c>
      <c r="J555" s="63" t="s">
        <v>1438</v>
      </c>
      <c r="K555" s="42" t="s">
        <v>95</v>
      </c>
      <c r="L555" s="43"/>
      <c r="M555" s="44">
        <v>8.5432E7</v>
      </c>
      <c r="N555" s="44" t="s">
        <v>920</v>
      </c>
      <c r="O555" s="45">
        <v>0.096</v>
      </c>
      <c r="P555" s="44">
        <v>7.899823506324E12</v>
      </c>
      <c r="Q555" s="44">
        <v>1.0</v>
      </c>
    </row>
    <row r="556" ht="15.75" customHeight="1">
      <c r="A556" s="35" t="s">
        <v>1502</v>
      </c>
      <c r="B556" s="36">
        <v>145.01536812424294</v>
      </c>
      <c r="C556" s="36">
        <f>'Lista de Preço 02_2022'!$B556*0.9*0.9*0.9*0.9*0.9*0.97</f>
        <v>83.06122098</v>
      </c>
      <c r="D556" s="36">
        <f>'Lista de Preço 02_2022'!$C556*1.0325</f>
        <v>85.76071066</v>
      </c>
      <c r="E556" s="37">
        <v>3.25</v>
      </c>
      <c r="F556" s="38">
        <v>0.18</v>
      </c>
      <c r="G556" s="38" t="s">
        <v>22</v>
      </c>
      <c r="H556" s="39" t="s">
        <v>1432</v>
      </c>
      <c r="I556" s="40" t="s">
        <v>1503</v>
      </c>
      <c r="J556" s="63" t="s">
        <v>1438</v>
      </c>
      <c r="K556" s="42" t="s">
        <v>86</v>
      </c>
      <c r="L556" s="43"/>
      <c r="M556" s="44">
        <v>8.5432E7</v>
      </c>
      <c r="N556" s="44" t="s">
        <v>920</v>
      </c>
      <c r="O556" s="45">
        <v>0.131</v>
      </c>
      <c r="P556" s="44">
        <v>7.899823506348E12</v>
      </c>
      <c r="Q556" s="44">
        <v>1.0</v>
      </c>
    </row>
    <row r="557" ht="15.75" customHeight="1">
      <c r="A557" s="35" t="s">
        <v>1504</v>
      </c>
      <c r="B557" s="36">
        <v>145.01536812424294</v>
      </c>
      <c r="C557" s="36">
        <f>'Lista de Preço 02_2022'!$B557*0.9*0.9*0.9*0.9*0.9*0.97</f>
        <v>83.06122098</v>
      </c>
      <c r="D557" s="36">
        <f>'Lista de Preço 02_2022'!$C557*1.0325</f>
        <v>85.76071066</v>
      </c>
      <c r="E557" s="37">
        <v>3.25</v>
      </c>
      <c r="F557" s="38">
        <v>0.18</v>
      </c>
      <c r="G557" s="38" t="s">
        <v>22</v>
      </c>
      <c r="H557" s="39" t="s">
        <v>1432</v>
      </c>
      <c r="I557" s="40" t="s">
        <v>1503</v>
      </c>
      <c r="J557" s="63" t="s">
        <v>1438</v>
      </c>
      <c r="K557" s="42" t="s">
        <v>86</v>
      </c>
      <c r="L557" s="43"/>
      <c r="M557" s="44">
        <v>8.5432E7</v>
      </c>
      <c r="N557" s="44" t="s">
        <v>920</v>
      </c>
      <c r="O557" s="45">
        <v>0.13</v>
      </c>
      <c r="P557" s="44">
        <v>7.899823506355E12</v>
      </c>
      <c r="Q557" s="44">
        <v>1.0</v>
      </c>
    </row>
    <row r="558" ht="15.75" customHeight="1">
      <c r="A558" s="35" t="s">
        <v>1505</v>
      </c>
      <c r="B558" s="36">
        <v>149.47737945114272</v>
      </c>
      <c r="C558" s="36">
        <f>'Lista de Preço 02_2022'!$B558*0.9*0.9*0.9*0.9*0.9*0.97</f>
        <v>85.61695086</v>
      </c>
      <c r="D558" s="36">
        <f>'Lista de Preço 02_2022'!$C558*1.0325</f>
        <v>88.39950176</v>
      </c>
      <c r="E558" s="37">
        <v>3.25</v>
      </c>
      <c r="F558" s="38">
        <v>0.18</v>
      </c>
      <c r="G558" s="38" t="s">
        <v>22</v>
      </c>
      <c r="H558" s="39" t="s">
        <v>1432</v>
      </c>
      <c r="I558" s="40" t="s">
        <v>1506</v>
      </c>
      <c r="J558" s="63" t="s">
        <v>1438</v>
      </c>
      <c r="K558" s="42" t="s">
        <v>95</v>
      </c>
      <c r="L558" s="43">
        <v>4.6540024E7</v>
      </c>
      <c r="M558" s="44">
        <v>8.5432E7</v>
      </c>
      <c r="N558" s="44" t="s">
        <v>920</v>
      </c>
      <c r="O558" s="45">
        <v>0.143</v>
      </c>
      <c r="P558" s="44">
        <v>7.899823506362E12</v>
      </c>
      <c r="Q558" s="44">
        <v>1.0</v>
      </c>
    </row>
    <row r="559" ht="15.75" customHeight="1">
      <c r="A559" s="35" t="s">
        <v>1507</v>
      </c>
      <c r="B559" s="36">
        <v>133.86033980699347</v>
      </c>
      <c r="C559" s="36">
        <f>'Lista de Preço 02_2022'!$B559*0.9*0.9*0.9*0.9*0.9*0.97</f>
        <v>76.67189629</v>
      </c>
      <c r="D559" s="36">
        <f>'Lista de Preço 02_2022'!$C559*1.0325</f>
        <v>79.16373292</v>
      </c>
      <c r="E559" s="37">
        <v>3.25</v>
      </c>
      <c r="F559" s="38">
        <v>0.18</v>
      </c>
      <c r="G559" s="38" t="s">
        <v>22</v>
      </c>
      <c r="H559" s="39" t="s">
        <v>1432</v>
      </c>
      <c r="I559" s="40" t="s">
        <v>1508</v>
      </c>
      <c r="J559" s="63" t="s">
        <v>1438</v>
      </c>
      <c r="K559" s="42" t="s">
        <v>153</v>
      </c>
      <c r="L559" s="43" t="s">
        <v>1509</v>
      </c>
      <c r="M559" s="44">
        <v>8.5432E7</v>
      </c>
      <c r="N559" s="44" t="s">
        <v>920</v>
      </c>
      <c r="O559" s="45">
        <v>0.092</v>
      </c>
      <c r="P559" s="44">
        <v>7.899823506379E12</v>
      </c>
      <c r="Q559" s="44">
        <v>1.0</v>
      </c>
    </row>
    <row r="560" ht="15.75" customHeight="1">
      <c r="A560" s="35" t="s">
        <v>1510</v>
      </c>
      <c r="B560" s="36">
        <v>133.86033980699347</v>
      </c>
      <c r="C560" s="36">
        <f>'Lista de Preço 02_2022'!$B560*0.9*0.9*0.9*0.9*0.9*0.97</f>
        <v>76.67189629</v>
      </c>
      <c r="D560" s="36">
        <f>'Lista de Preço 02_2022'!$C560*1.0325</f>
        <v>79.16373292</v>
      </c>
      <c r="E560" s="37">
        <v>3.25</v>
      </c>
      <c r="F560" s="38">
        <v>0.18</v>
      </c>
      <c r="G560" s="38" t="s">
        <v>22</v>
      </c>
      <c r="H560" s="39" t="s">
        <v>1432</v>
      </c>
      <c r="I560" s="40" t="s">
        <v>1511</v>
      </c>
      <c r="J560" s="63" t="s">
        <v>1438</v>
      </c>
      <c r="K560" s="42" t="s">
        <v>26</v>
      </c>
      <c r="L560" s="43"/>
      <c r="M560" s="44">
        <v>8.5432E7</v>
      </c>
      <c r="N560" s="44" t="s">
        <v>920</v>
      </c>
      <c r="O560" s="45">
        <v>0.093</v>
      </c>
      <c r="P560" s="44">
        <v>7.899823506386E12</v>
      </c>
      <c r="Q560" s="44">
        <v>1.0</v>
      </c>
    </row>
    <row r="561" ht="15.75" customHeight="1">
      <c r="A561" s="35" t="s">
        <v>1512</v>
      </c>
      <c r="B561" s="36">
        <v>127.1673228166438</v>
      </c>
      <c r="C561" s="36">
        <f>'Lista de Preço 02_2022'!$B561*0.9*0.9*0.9*0.9*0.9*0.97</f>
        <v>72.83830148</v>
      </c>
      <c r="D561" s="36">
        <f>'Lista de Preço 02_2022'!$C561*1.0325</f>
        <v>75.20554627</v>
      </c>
      <c r="E561" s="37">
        <v>3.25</v>
      </c>
      <c r="F561" s="38">
        <v>0.18</v>
      </c>
      <c r="G561" s="38" t="s">
        <v>22</v>
      </c>
      <c r="H561" s="39" t="s">
        <v>1432</v>
      </c>
      <c r="I561" s="40" t="s">
        <v>1513</v>
      </c>
      <c r="J561" s="63" t="s">
        <v>1438</v>
      </c>
      <c r="K561" s="42" t="s">
        <v>153</v>
      </c>
      <c r="L561" s="43" t="s">
        <v>1514</v>
      </c>
      <c r="M561" s="44">
        <v>8.5432E7</v>
      </c>
      <c r="N561" s="44" t="s">
        <v>920</v>
      </c>
      <c r="O561" s="45">
        <v>0.089</v>
      </c>
      <c r="P561" s="44">
        <v>7.899823506393E12</v>
      </c>
      <c r="Q561" s="44">
        <v>1.0</v>
      </c>
    </row>
    <row r="562" ht="15.75" customHeight="1">
      <c r="A562" s="35" t="s">
        <v>1515</v>
      </c>
      <c r="B562" s="36">
        <v>133.86033980699347</v>
      </c>
      <c r="C562" s="36">
        <f>'Lista de Preço 02_2022'!$B562*0.9*0.9*0.9*0.9*0.9*0.97</f>
        <v>76.67189629</v>
      </c>
      <c r="D562" s="36">
        <f>'Lista de Preço 02_2022'!$C562*1.0325</f>
        <v>79.16373292</v>
      </c>
      <c r="E562" s="37">
        <v>3.25</v>
      </c>
      <c r="F562" s="38">
        <v>0.18</v>
      </c>
      <c r="G562" s="38" t="s">
        <v>22</v>
      </c>
      <c r="H562" s="39" t="s">
        <v>1432</v>
      </c>
      <c r="I562" s="40" t="s">
        <v>1516</v>
      </c>
      <c r="J562" s="63" t="s">
        <v>1438</v>
      </c>
      <c r="K562" s="42" t="s">
        <v>26</v>
      </c>
      <c r="L562" s="43"/>
      <c r="M562" s="44">
        <v>8.5432E7</v>
      </c>
      <c r="N562" s="44" t="s">
        <v>920</v>
      </c>
      <c r="O562" s="45">
        <v>0.095</v>
      </c>
      <c r="P562" s="44">
        <v>7.899823506409E12</v>
      </c>
      <c r="Q562" s="44">
        <v>1.0</v>
      </c>
    </row>
    <row r="563" ht="15.75" customHeight="1">
      <c r="A563" s="50" t="s">
        <v>1517</v>
      </c>
      <c r="B563" s="36">
        <v>228.32530665000002</v>
      </c>
      <c r="C563" s="51">
        <f>'Lista de Preço 02_2022'!$B563*0.9*0.9*0.9*0.9*0.9*0.97</f>
        <v>130.779096</v>
      </c>
      <c r="D563" s="36">
        <f>'Lista de Preço 02_2022'!$C563*1.1712</f>
        <v>153.1684773</v>
      </c>
      <c r="E563" s="52">
        <v>3.25</v>
      </c>
      <c r="F563" s="53">
        <v>0.18</v>
      </c>
      <c r="G563" s="53" t="s">
        <v>22</v>
      </c>
      <c r="H563" s="54" t="s">
        <v>23</v>
      </c>
      <c r="I563" s="55" t="s">
        <v>1518</v>
      </c>
      <c r="J563" s="56" t="s">
        <v>1391</v>
      </c>
      <c r="K563" s="57" t="s">
        <v>26</v>
      </c>
      <c r="L563" s="58" t="s">
        <v>1519</v>
      </c>
      <c r="M563" s="57">
        <v>8.708999E7</v>
      </c>
      <c r="N563" s="59" t="s">
        <v>28</v>
      </c>
      <c r="O563" s="60">
        <v>2.2</v>
      </c>
      <c r="P563" s="59">
        <v>7.89982350669E12</v>
      </c>
      <c r="Q563" s="59">
        <v>1.0</v>
      </c>
    </row>
    <row r="564" ht="15.75" customHeight="1">
      <c r="A564" s="35" t="s">
        <v>1520</v>
      </c>
      <c r="B564" s="36">
        <v>167.32542475874183</v>
      </c>
      <c r="C564" s="36">
        <f>'Lista de Preço 02_2022'!$B564*0.9*0.9*0.9*0.9*0.9*0.97</f>
        <v>95.83987036</v>
      </c>
      <c r="D564" s="36">
        <f>'Lista de Preço 02_2022'!$C564*1.0325</f>
        <v>98.95466615</v>
      </c>
      <c r="E564" s="37">
        <v>3.25</v>
      </c>
      <c r="F564" s="38">
        <v>0.18</v>
      </c>
      <c r="G564" s="38" t="s">
        <v>22</v>
      </c>
      <c r="H564" s="39" t="s">
        <v>1432</v>
      </c>
      <c r="I564" s="40" t="s">
        <v>1521</v>
      </c>
      <c r="J564" s="63" t="s">
        <v>1438</v>
      </c>
      <c r="K564" s="42" t="s">
        <v>86</v>
      </c>
      <c r="L564" s="43" t="s">
        <v>1522</v>
      </c>
      <c r="M564" s="44">
        <v>8.5432E7</v>
      </c>
      <c r="N564" s="44" t="s">
        <v>920</v>
      </c>
      <c r="O564" s="45">
        <v>0.175</v>
      </c>
      <c r="P564" s="44">
        <v>7.899823506416E12</v>
      </c>
      <c r="Q564" s="44">
        <v>1.0</v>
      </c>
    </row>
    <row r="565" ht="15.75" customHeight="1">
      <c r="A565" s="35" t="s">
        <v>1523</v>
      </c>
      <c r="B565" s="36">
        <v>167.32542475874183</v>
      </c>
      <c r="C565" s="36">
        <f>'Lista de Preço 02_2022'!$B565*0.9*0.9*0.9*0.9*0.9*0.97</f>
        <v>95.83987036</v>
      </c>
      <c r="D565" s="36">
        <f>'Lista de Preço 02_2022'!$C565*1.0325</f>
        <v>98.95466615</v>
      </c>
      <c r="E565" s="37">
        <v>3.25</v>
      </c>
      <c r="F565" s="38">
        <v>0.18</v>
      </c>
      <c r="G565" s="38" t="s">
        <v>22</v>
      </c>
      <c r="H565" s="39" t="s">
        <v>1432</v>
      </c>
      <c r="I565" s="40" t="s">
        <v>1521</v>
      </c>
      <c r="J565" s="63" t="s">
        <v>1438</v>
      </c>
      <c r="K565" s="42" t="s">
        <v>86</v>
      </c>
      <c r="L565" s="43">
        <v>8.95420204E9</v>
      </c>
      <c r="M565" s="44">
        <v>8.5432E7</v>
      </c>
      <c r="N565" s="44" t="s">
        <v>920</v>
      </c>
      <c r="O565" s="45">
        <v>0.182</v>
      </c>
      <c r="P565" s="44">
        <v>7.899823507109E12</v>
      </c>
      <c r="Q565" s="44">
        <v>1.0</v>
      </c>
    </row>
    <row r="566" ht="15.75" customHeight="1">
      <c r="A566" s="35" t="s">
        <v>1524</v>
      </c>
      <c r="B566" s="36">
        <v>122.70531148974402</v>
      </c>
      <c r="C566" s="36">
        <f>'Lista de Preço 02_2022'!$B566*0.9*0.9*0.9*0.9*0.9*0.97</f>
        <v>70.2825716</v>
      </c>
      <c r="D566" s="36">
        <f>'Lista de Preço 02_2022'!$C566*1.0325</f>
        <v>72.56675518</v>
      </c>
      <c r="E566" s="37">
        <v>3.25</v>
      </c>
      <c r="F566" s="38">
        <v>0.18</v>
      </c>
      <c r="G566" s="38" t="s">
        <v>22</v>
      </c>
      <c r="H566" s="39" t="s">
        <v>1432</v>
      </c>
      <c r="I566" s="40" t="s">
        <v>1525</v>
      </c>
      <c r="J566" s="63" t="s">
        <v>1526</v>
      </c>
      <c r="K566" s="42" t="s">
        <v>95</v>
      </c>
      <c r="L566" s="43" t="s">
        <v>1527</v>
      </c>
      <c r="M566" s="44">
        <v>8.5432E7</v>
      </c>
      <c r="N566" s="44" t="s">
        <v>920</v>
      </c>
      <c r="O566" s="45">
        <v>0.175</v>
      </c>
      <c r="P566" s="44">
        <v>7.899823506423E12</v>
      </c>
      <c r="Q566" s="44">
        <v>1.0</v>
      </c>
    </row>
    <row r="567" ht="15.75" customHeight="1">
      <c r="A567" s="35" t="s">
        <v>1528</v>
      </c>
      <c r="B567" s="36">
        <v>111.55028317249457</v>
      </c>
      <c r="C567" s="36">
        <f>'Lista de Preço 02_2022'!$B567*0.9*0.9*0.9*0.9*0.9*0.97</f>
        <v>63.89324691</v>
      </c>
      <c r="D567" s="36">
        <f>'Lista de Preço 02_2022'!$C567*1.0325</f>
        <v>65.96977743</v>
      </c>
      <c r="E567" s="37">
        <v>3.25</v>
      </c>
      <c r="F567" s="38">
        <v>0.18</v>
      </c>
      <c r="G567" s="38" t="s">
        <v>22</v>
      </c>
      <c r="H567" s="39" t="s">
        <v>1432</v>
      </c>
      <c r="I567" s="40" t="s">
        <v>1529</v>
      </c>
      <c r="J567" s="63" t="s">
        <v>1447</v>
      </c>
      <c r="K567" s="42" t="s">
        <v>153</v>
      </c>
      <c r="L567" s="43" t="s">
        <v>1530</v>
      </c>
      <c r="M567" s="44">
        <v>8.5432E7</v>
      </c>
      <c r="N567" s="44" t="s">
        <v>920</v>
      </c>
      <c r="O567" s="45">
        <v>0.085</v>
      </c>
      <c r="P567" s="44">
        <v>7.89982350643E12</v>
      </c>
      <c r="Q567" s="44">
        <v>1.0</v>
      </c>
    </row>
    <row r="568" ht="15.75" customHeight="1">
      <c r="A568" s="35" t="s">
        <v>1531</v>
      </c>
      <c r="B568" s="36">
        <v>111.55028317249457</v>
      </c>
      <c r="C568" s="36">
        <f>'Lista de Preço 02_2022'!$B568*0.9*0.9*0.9*0.9*0.9*0.97</f>
        <v>63.89324691</v>
      </c>
      <c r="D568" s="36">
        <f>'Lista de Preço 02_2022'!$C568*1.0325</f>
        <v>65.96977743</v>
      </c>
      <c r="E568" s="37">
        <v>3.25</v>
      </c>
      <c r="F568" s="38">
        <v>0.18</v>
      </c>
      <c r="G568" s="38" t="s">
        <v>22</v>
      </c>
      <c r="H568" s="39" t="s">
        <v>1432</v>
      </c>
      <c r="I568" s="40" t="s">
        <v>1529</v>
      </c>
      <c r="J568" s="63" t="s">
        <v>1447</v>
      </c>
      <c r="K568" s="42" t="s">
        <v>153</v>
      </c>
      <c r="L568" s="43" t="s">
        <v>1532</v>
      </c>
      <c r="M568" s="44">
        <v>8.5432E7</v>
      </c>
      <c r="N568" s="44" t="s">
        <v>920</v>
      </c>
      <c r="O568" s="45">
        <v>0.086</v>
      </c>
      <c r="P568" s="44">
        <v>7.899823506447E12</v>
      </c>
      <c r="Q568" s="44">
        <v>1.0</v>
      </c>
    </row>
    <row r="569" ht="15.75" customHeight="1">
      <c r="A569" s="35" t="s">
        <v>1533</v>
      </c>
      <c r="B569" s="36">
        <v>133.86033980699347</v>
      </c>
      <c r="C569" s="36">
        <f>'Lista de Preço 02_2022'!$B569*0.9*0.9*0.9*0.9*0.9*0.97</f>
        <v>76.67189629</v>
      </c>
      <c r="D569" s="36">
        <f>'Lista de Preço 02_2022'!$C569*1.0325</f>
        <v>79.16373292</v>
      </c>
      <c r="E569" s="37">
        <v>3.25</v>
      </c>
      <c r="F569" s="38">
        <v>0.18</v>
      </c>
      <c r="G569" s="38" t="s">
        <v>22</v>
      </c>
      <c r="H569" s="39" t="s">
        <v>1432</v>
      </c>
      <c r="I569" s="40" t="s">
        <v>1534</v>
      </c>
      <c r="J569" s="63" t="s">
        <v>1438</v>
      </c>
      <c r="K569" s="42" t="s">
        <v>26</v>
      </c>
      <c r="L569" s="43"/>
      <c r="M569" s="44">
        <v>8.5432E7</v>
      </c>
      <c r="N569" s="44" t="s">
        <v>920</v>
      </c>
      <c r="O569" s="45">
        <v>0.087</v>
      </c>
      <c r="P569" s="44">
        <v>7.899823506454E12</v>
      </c>
      <c r="Q569" s="44">
        <v>1.0</v>
      </c>
    </row>
    <row r="570" ht="15.75" customHeight="1">
      <c r="A570" s="35" t="s">
        <v>1535</v>
      </c>
      <c r="B570" s="36">
        <v>156.1703964414924</v>
      </c>
      <c r="C570" s="36">
        <f>'Lista de Preço 02_2022'!$B570*0.9*0.9*0.9*0.9*0.9*0.97</f>
        <v>89.45054567</v>
      </c>
      <c r="D570" s="36">
        <f>'Lista de Preço 02_2022'!$C570*1.0325</f>
        <v>92.35768841</v>
      </c>
      <c r="E570" s="37">
        <v>3.25</v>
      </c>
      <c r="F570" s="38">
        <v>0.18</v>
      </c>
      <c r="G570" s="38" t="s">
        <v>22</v>
      </c>
      <c r="H570" s="39" t="s">
        <v>1432</v>
      </c>
      <c r="I570" s="40" t="s">
        <v>1536</v>
      </c>
      <c r="J570" s="63" t="s">
        <v>1526</v>
      </c>
      <c r="K570" s="42" t="s">
        <v>303</v>
      </c>
      <c r="L570" s="43" t="s">
        <v>1537</v>
      </c>
      <c r="M570" s="44">
        <v>8.5432E7</v>
      </c>
      <c r="N570" s="44" t="s">
        <v>920</v>
      </c>
      <c r="O570" s="45">
        <v>0.113</v>
      </c>
      <c r="P570" s="44">
        <v>7.899823506461E12</v>
      </c>
      <c r="Q570" s="44">
        <v>1.0</v>
      </c>
    </row>
    <row r="571" ht="15.75" customHeight="1">
      <c r="A571" s="35" t="s">
        <v>1538</v>
      </c>
      <c r="B571" s="36">
        <v>178.4804530759913</v>
      </c>
      <c r="C571" s="36">
        <f>'Lista de Preço 02_2022'!$B571*0.9*0.9*0.9*0.9*0.9*0.97</f>
        <v>102.2291951</v>
      </c>
      <c r="D571" s="36">
        <f>'Lista de Preço 02_2022'!$C571*1.0325</f>
        <v>105.5516439</v>
      </c>
      <c r="E571" s="37">
        <v>3.25</v>
      </c>
      <c r="F571" s="38">
        <v>0.18</v>
      </c>
      <c r="G571" s="38" t="s">
        <v>22</v>
      </c>
      <c r="H571" s="39" t="s">
        <v>1432</v>
      </c>
      <c r="I571" s="40" t="s">
        <v>1539</v>
      </c>
      <c r="J571" s="63" t="s">
        <v>1438</v>
      </c>
      <c r="K571" s="42" t="s">
        <v>625</v>
      </c>
      <c r="L571" s="43" t="s">
        <v>1540</v>
      </c>
      <c r="M571" s="44">
        <v>8.5432E7</v>
      </c>
      <c r="N571" s="44" t="s">
        <v>920</v>
      </c>
      <c r="O571" s="45">
        <v>0.132</v>
      </c>
      <c r="P571" s="44">
        <v>7.899823506478E12</v>
      </c>
      <c r="Q571" s="44">
        <v>1.0</v>
      </c>
    </row>
    <row r="572" ht="15.75" customHeight="1">
      <c r="A572" s="35" t="s">
        <v>1541</v>
      </c>
      <c r="B572" s="36">
        <v>178.4804530759913</v>
      </c>
      <c r="C572" s="36">
        <f>'Lista de Preço 02_2022'!$B572*0.9*0.9*0.9*0.9*0.9*0.97</f>
        <v>102.2291951</v>
      </c>
      <c r="D572" s="36">
        <f>'Lista de Preço 02_2022'!$C572*1.0325</f>
        <v>105.5516439</v>
      </c>
      <c r="E572" s="37">
        <v>3.25</v>
      </c>
      <c r="F572" s="38">
        <v>0.18</v>
      </c>
      <c r="G572" s="38" t="s">
        <v>22</v>
      </c>
      <c r="H572" s="39" t="s">
        <v>1432</v>
      </c>
      <c r="I572" s="40" t="s">
        <v>1539</v>
      </c>
      <c r="J572" s="63" t="s">
        <v>1438</v>
      </c>
      <c r="K572" s="42" t="s">
        <v>625</v>
      </c>
      <c r="L572" s="43" t="s">
        <v>1540</v>
      </c>
      <c r="M572" s="44">
        <v>8.5432E7</v>
      </c>
      <c r="N572" s="44" t="s">
        <v>920</v>
      </c>
      <c r="O572" s="45">
        <v>0.131</v>
      </c>
      <c r="P572" s="44">
        <v>7.899823506485E12</v>
      </c>
      <c r="Q572" s="44">
        <v>1.0</v>
      </c>
    </row>
    <row r="573" ht="15.75" customHeight="1">
      <c r="A573" s="50" t="s">
        <v>1542</v>
      </c>
      <c r="B573" s="36">
        <v>211.86173</v>
      </c>
      <c r="C573" s="51">
        <f>'Lista de Preço 02_2022'!$B573*0.9*0.9*0.9*0.9*0.9*0.97</f>
        <v>121.349166</v>
      </c>
      <c r="D573" s="36">
        <f>'Lista de Preço 02_2022'!$C573*1.1712</f>
        <v>142.1241432</v>
      </c>
      <c r="E573" s="52">
        <v>3.25</v>
      </c>
      <c r="F573" s="53">
        <v>0.18</v>
      </c>
      <c r="G573" s="53" t="s">
        <v>22</v>
      </c>
      <c r="H573" s="54" t="s">
        <v>23</v>
      </c>
      <c r="I573" s="55" t="s">
        <v>1543</v>
      </c>
      <c r="J573" s="56" t="s">
        <v>1391</v>
      </c>
      <c r="K573" s="57" t="s">
        <v>26</v>
      </c>
      <c r="L573" s="58" t="s">
        <v>1544</v>
      </c>
      <c r="M573" s="57">
        <v>8.708999E7</v>
      </c>
      <c r="N573" s="59" t="s">
        <v>28</v>
      </c>
      <c r="O573" s="60">
        <v>2.2</v>
      </c>
      <c r="P573" s="59">
        <v>7.899823506706E12</v>
      </c>
      <c r="Q573" s="59">
        <v>1.0</v>
      </c>
    </row>
    <row r="574" ht="15.75" customHeight="1">
      <c r="A574" s="35" t="s">
        <v>1545</v>
      </c>
      <c r="B574" s="36">
        <v>138.32235113389325</v>
      </c>
      <c r="C574" s="36">
        <f>'Lista de Preço 02_2022'!$B574*0.9*0.9*0.9*0.9*0.9*0.97</f>
        <v>79.22762617</v>
      </c>
      <c r="D574" s="36">
        <f>'Lista de Preço 02_2022'!$C574*1.0325</f>
        <v>81.80252402</v>
      </c>
      <c r="E574" s="37">
        <v>3.25</v>
      </c>
      <c r="F574" s="38">
        <v>0.18</v>
      </c>
      <c r="G574" s="38" t="s">
        <v>22</v>
      </c>
      <c r="H574" s="39" t="s">
        <v>1432</v>
      </c>
      <c r="I574" s="40" t="s">
        <v>1546</v>
      </c>
      <c r="J574" s="63" t="s">
        <v>1438</v>
      </c>
      <c r="K574" s="42" t="s">
        <v>625</v>
      </c>
      <c r="L574" s="43" t="s">
        <v>1547</v>
      </c>
      <c r="M574" s="44">
        <v>8.5432E7</v>
      </c>
      <c r="N574" s="44" t="s">
        <v>920</v>
      </c>
      <c r="O574" s="45">
        <v>0.09</v>
      </c>
      <c r="P574" s="44">
        <v>7.899823506492E12</v>
      </c>
      <c r="Q574" s="44">
        <v>1.0</v>
      </c>
    </row>
    <row r="575" ht="15.75" customHeight="1">
      <c r="A575" s="35" t="s">
        <v>1548</v>
      </c>
      <c r="B575" s="36">
        <v>35.69609061519826</v>
      </c>
      <c r="C575" s="36">
        <f>'Lista de Preço 02_2022'!$B575*0.9*0.9*0.9*0.9*0.9*0.97</f>
        <v>20.44583901</v>
      </c>
      <c r="D575" s="36">
        <f>'Lista de Preço 02_2022'!$C575*1.0325</f>
        <v>21.11032878</v>
      </c>
      <c r="E575" s="37">
        <v>3.25</v>
      </c>
      <c r="F575" s="38">
        <v>0.18</v>
      </c>
      <c r="G575" s="38" t="s">
        <v>22</v>
      </c>
      <c r="H575" s="39" t="s">
        <v>1432</v>
      </c>
      <c r="I575" s="40" t="s">
        <v>1549</v>
      </c>
      <c r="J575" s="63" t="s">
        <v>1438</v>
      </c>
      <c r="K575" s="42" t="s">
        <v>1550</v>
      </c>
      <c r="L575" s="43" t="s">
        <v>1551</v>
      </c>
      <c r="M575" s="44">
        <v>8.5432E7</v>
      </c>
      <c r="N575" s="44" t="s">
        <v>920</v>
      </c>
      <c r="O575" s="45">
        <v>0.039</v>
      </c>
      <c r="P575" s="44">
        <v>7.899823506515E12</v>
      </c>
      <c r="Q575" s="44">
        <v>1.0</v>
      </c>
    </row>
    <row r="576" ht="15.75" customHeight="1">
      <c r="A576" s="35" t="s">
        <v>1552</v>
      </c>
      <c r="B576" s="36">
        <v>84.77821521109587</v>
      </c>
      <c r="C576" s="36">
        <f>'Lista de Preço 02_2022'!$B576*0.9*0.9*0.9*0.9*0.9*0.97</f>
        <v>48.55886765</v>
      </c>
      <c r="D576" s="36">
        <f>'Lista de Preço 02_2022'!$C576*1.0325</f>
        <v>50.13703085</v>
      </c>
      <c r="E576" s="37">
        <v>3.25</v>
      </c>
      <c r="F576" s="38">
        <v>0.18</v>
      </c>
      <c r="G576" s="38" t="s">
        <v>22</v>
      </c>
      <c r="H576" s="39" t="s">
        <v>1432</v>
      </c>
      <c r="I576" s="40" t="s">
        <v>1553</v>
      </c>
      <c r="J576" s="63" t="s">
        <v>1438</v>
      </c>
      <c r="K576" s="42" t="s">
        <v>661</v>
      </c>
      <c r="L576" s="43" t="s">
        <v>1554</v>
      </c>
      <c r="M576" s="44">
        <v>8.5432E7</v>
      </c>
      <c r="N576" s="44" t="s">
        <v>920</v>
      </c>
      <c r="O576" s="45">
        <v>0.018</v>
      </c>
      <c r="P576" s="44">
        <v>7.899823506522E12</v>
      </c>
      <c r="Q576" s="44">
        <v>1.0</v>
      </c>
    </row>
    <row r="577" ht="15.75" customHeight="1">
      <c r="A577" s="35" t="s">
        <v>1555</v>
      </c>
      <c r="B577" s="36">
        <v>84.77821521109587</v>
      </c>
      <c r="C577" s="36">
        <f>'Lista de Preço 02_2022'!$B577*0.9*0.9*0.9*0.9*0.9*0.97</f>
        <v>48.55886765</v>
      </c>
      <c r="D577" s="36">
        <f>'Lista de Preço 02_2022'!$C577*1.0325</f>
        <v>50.13703085</v>
      </c>
      <c r="E577" s="37">
        <v>3.25</v>
      </c>
      <c r="F577" s="38">
        <v>0.18</v>
      </c>
      <c r="G577" s="38" t="s">
        <v>22</v>
      </c>
      <c r="H577" s="39" t="s">
        <v>1432</v>
      </c>
      <c r="I577" s="40" t="s">
        <v>1556</v>
      </c>
      <c r="J577" s="63" t="s">
        <v>1438</v>
      </c>
      <c r="K577" s="42" t="s">
        <v>661</v>
      </c>
      <c r="L577" s="43" t="s">
        <v>1557</v>
      </c>
      <c r="M577" s="44">
        <v>8.5432E7</v>
      </c>
      <c r="N577" s="44" t="s">
        <v>920</v>
      </c>
      <c r="O577" s="45">
        <v>0.018</v>
      </c>
      <c r="P577" s="44">
        <v>7.899823506539E12</v>
      </c>
      <c r="Q577" s="44">
        <v>1.0</v>
      </c>
    </row>
    <row r="578" ht="15.75" customHeight="1">
      <c r="A578" s="35" t="s">
        <v>1558</v>
      </c>
      <c r="B578" s="36">
        <v>84.77821521109587</v>
      </c>
      <c r="C578" s="36">
        <f>'Lista de Preço 02_2022'!$B578*0.9*0.9*0.9*0.9*0.9*0.97</f>
        <v>48.55886765</v>
      </c>
      <c r="D578" s="36">
        <f>'Lista de Preço 02_2022'!$C578*1.0325</f>
        <v>50.13703085</v>
      </c>
      <c r="E578" s="37">
        <v>3.25</v>
      </c>
      <c r="F578" s="38">
        <v>0.18</v>
      </c>
      <c r="G578" s="38" t="s">
        <v>22</v>
      </c>
      <c r="H578" s="39" t="s">
        <v>1432</v>
      </c>
      <c r="I578" s="40" t="s">
        <v>1559</v>
      </c>
      <c r="J578" s="63" t="s">
        <v>1438</v>
      </c>
      <c r="K578" s="42" t="s">
        <v>661</v>
      </c>
      <c r="L578" s="43" t="s">
        <v>1560</v>
      </c>
      <c r="M578" s="44">
        <v>8.5432E7</v>
      </c>
      <c r="N578" s="44" t="s">
        <v>920</v>
      </c>
      <c r="O578" s="45">
        <v>0.021</v>
      </c>
      <c r="P578" s="44">
        <v>7.899823506546E12</v>
      </c>
      <c r="Q578" s="44">
        <v>1.0</v>
      </c>
    </row>
    <row r="579" ht="15.75" customHeight="1">
      <c r="A579" s="35" t="s">
        <v>1561</v>
      </c>
      <c r="B579" s="36">
        <v>84.77821521109587</v>
      </c>
      <c r="C579" s="36">
        <f>'Lista de Preço 02_2022'!$B579*0.9*0.9*0.9*0.9*0.9*0.97</f>
        <v>48.55886765</v>
      </c>
      <c r="D579" s="36">
        <f>'Lista de Preço 02_2022'!$C579*1.0325</f>
        <v>50.13703085</v>
      </c>
      <c r="E579" s="37">
        <v>3.25</v>
      </c>
      <c r="F579" s="38">
        <v>0.18</v>
      </c>
      <c r="G579" s="38" t="s">
        <v>22</v>
      </c>
      <c r="H579" s="39" t="s">
        <v>1432</v>
      </c>
      <c r="I579" s="40" t="s">
        <v>1559</v>
      </c>
      <c r="J579" s="63" t="s">
        <v>1438</v>
      </c>
      <c r="K579" s="42" t="s">
        <v>661</v>
      </c>
      <c r="L579" s="43" t="s">
        <v>1562</v>
      </c>
      <c r="M579" s="44">
        <v>8.5432E7</v>
      </c>
      <c r="N579" s="44" t="s">
        <v>920</v>
      </c>
      <c r="O579" s="45">
        <v>0.021</v>
      </c>
      <c r="P579" s="44">
        <v>7.899823506553E12</v>
      </c>
      <c r="Q579" s="44">
        <v>1.0</v>
      </c>
    </row>
    <row r="580" ht="15.75" customHeight="1">
      <c r="A580" s="35" t="s">
        <v>1563</v>
      </c>
      <c r="B580" s="36">
        <v>71.39218123039652</v>
      </c>
      <c r="C580" s="36">
        <f>'Lista de Preço 02_2022'!$B580*0.9*0.9*0.9*0.9*0.9*0.97</f>
        <v>40.89167802</v>
      </c>
      <c r="D580" s="36">
        <f>'Lista de Preço 02_2022'!$C580*1.0325</f>
        <v>42.22065756</v>
      </c>
      <c r="E580" s="37">
        <v>3.25</v>
      </c>
      <c r="F580" s="38">
        <v>0.18</v>
      </c>
      <c r="G580" s="38" t="s">
        <v>22</v>
      </c>
      <c r="H580" s="39" t="s">
        <v>1432</v>
      </c>
      <c r="I580" s="40" t="s">
        <v>1564</v>
      </c>
      <c r="J580" s="63" t="s">
        <v>1438</v>
      </c>
      <c r="K580" s="42" t="s">
        <v>1550</v>
      </c>
      <c r="L580" s="43" t="s">
        <v>1565</v>
      </c>
      <c r="M580" s="44">
        <v>8.5432E7</v>
      </c>
      <c r="N580" s="44" t="s">
        <v>920</v>
      </c>
      <c r="O580" s="45">
        <v>0.018</v>
      </c>
      <c r="P580" s="44">
        <v>7.899823506577E12</v>
      </c>
      <c r="Q580" s="44">
        <v>1.0</v>
      </c>
    </row>
    <row r="581" ht="15.75" customHeight="1">
      <c r="A581" s="35" t="s">
        <v>1566</v>
      </c>
      <c r="B581" s="36">
        <v>71.39218123039652</v>
      </c>
      <c r="C581" s="36">
        <f>'Lista de Preço 02_2022'!$B581*0.9*0.9*0.9*0.9*0.9*0.97</f>
        <v>40.89167802</v>
      </c>
      <c r="D581" s="36">
        <f>'Lista de Preço 02_2022'!$C581*1.0325</f>
        <v>42.22065756</v>
      </c>
      <c r="E581" s="37">
        <v>3.25</v>
      </c>
      <c r="F581" s="38">
        <v>0.18</v>
      </c>
      <c r="G581" s="38" t="s">
        <v>22</v>
      </c>
      <c r="H581" s="39" t="s">
        <v>1432</v>
      </c>
      <c r="I581" s="40" t="s">
        <v>1564</v>
      </c>
      <c r="J581" s="63" t="s">
        <v>1438</v>
      </c>
      <c r="K581" s="42" t="s">
        <v>1550</v>
      </c>
      <c r="L581" s="43" t="s">
        <v>1567</v>
      </c>
      <c r="M581" s="44">
        <v>8.5432E7</v>
      </c>
      <c r="N581" s="44" t="s">
        <v>920</v>
      </c>
      <c r="O581" s="45">
        <v>0.018</v>
      </c>
      <c r="P581" s="44">
        <v>7.899823507116E12</v>
      </c>
      <c r="Q581" s="44">
        <v>1.0</v>
      </c>
    </row>
    <row r="582" ht="15.75" customHeight="1">
      <c r="A582" s="35" t="s">
        <v>1568</v>
      </c>
      <c r="B582" s="36">
        <v>40.15810194209805</v>
      </c>
      <c r="C582" s="36">
        <f>'Lista de Preço 02_2022'!$B582*0.9*0.9*0.9*0.9*0.9*0.97</f>
        <v>23.00156889</v>
      </c>
      <c r="D582" s="36">
        <f>'Lista de Preço 02_2022'!$C582*1.0325</f>
        <v>23.74911988</v>
      </c>
      <c r="E582" s="37">
        <v>3.25</v>
      </c>
      <c r="F582" s="38">
        <v>0.18</v>
      </c>
      <c r="G582" s="38" t="s">
        <v>22</v>
      </c>
      <c r="H582" s="39" t="s">
        <v>1432</v>
      </c>
      <c r="I582" s="40" t="s">
        <v>1569</v>
      </c>
      <c r="J582" s="63" t="s">
        <v>1438</v>
      </c>
      <c r="K582" s="42" t="s">
        <v>1550</v>
      </c>
      <c r="L582" s="43" t="s">
        <v>1570</v>
      </c>
      <c r="M582" s="44">
        <v>8.5432E7</v>
      </c>
      <c r="N582" s="44" t="s">
        <v>920</v>
      </c>
      <c r="O582" s="45">
        <v>0.042</v>
      </c>
      <c r="P582" s="44">
        <v>7.899823506607E12</v>
      </c>
      <c r="Q582" s="44">
        <v>1.0</v>
      </c>
    </row>
    <row r="583" ht="15.75" customHeight="1">
      <c r="A583" s="35" t="s">
        <v>1571</v>
      </c>
      <c r="B583" s="36">
        <v>40.15810194209805</v>
      </c>
      <c r="C583" s="36">
        <f>'Lista de Preço 02_2022'!$B583*0.9*0.9*0.9*0.9*0.9*0.97</f>
        <v>23.00156889</v>
      </c>
      <c r="D583" s="36">
        <f>'Lista de Preço 02_2022'!$C583*1.0325</f>
        <v>23.74911988</v>
      </c>
      <c r="E583" s="37">
        <v>3.25</v>
      </c>
      <c r="F583" s="38">
        <v>0.18</v>
      </c>
      <c r="G583" s="38" t="s">
        <v>22</v>
      </c>
      <c r="H583" s="39" t="s">
        <v>1432</v>
      </c>
      <c r="I583" s="40" t="s">
        <v>1569</v>
      </c>
      <c r="J583" s="63" t="s">
        <v>1438</v>
      </c>
      <c r="K583" s="42" t="s">
        <v>1550</v>
      </c>
      <c r="L583" s="43" t="s">
        <v>1572</v>
      </c>
      <c r="M583" s="44">
        <v>8.5432E7</v>
      </c>
      <c r="N583" s="44" t="s">
        <v>920</v>
      </c>
      <c r="O583" s="45">
        <v>0.042</v>
      </c>
      <c r="P583" s="44">
        <v>7.899823506614E12</v>
      </c>
      <c r="Q583" s="44">
        <v>1.0</v>
      </c>
    </row>
    <row r="584" ht="15.75" customHeight="1">
      <c r="A584" s="35" t="s">
        <v>1573</v>
      </c>
      <c r="B584" s="36">
        <v>71.39218123039652</v>
      </c>
      <c r="C584" s="36">
        <f>'Lista de Preço 02_2022'!$B584*0.9*0.9*0.9*0.9*0.9*0.97</f>
        <v>40.89167802</v>
      </c>
      <c r="D584" s="36">
        <f>'Lista de Preço 02_2022'!$C584*1.0325</f>
        <v>42.22065756</v>
      </c>
      <c r="E584" s="37">
        <v>3.25</v>
      </c>
      <c r="F584" s="38">
        <v>0.18</v>
      </c>
      <c r="G584" s="38" t="s">
        <v>22</v>
      </c>
      <c r="H584" s="39" t="s">
        <v>1432</v>
      </c>
      <c r="I584" s="40" t="s">
        <v>1574</v>
      </c>
      <c r="J584" s="63" t="s">
        <v>1438</v>
      </c>
      <c r="K584" s="42" t="s">
        <v>1550</v>
      </c>
      <c r="L584" s="43" t="s">
        <v>1575</v>
      </c>
      <c r="M584" s="44">
        <v>8.5432E7</v>
      </c>
      <c r="N584" s="44" t="s">
        <v>920</v>
      </c>
      <c r="O584" s="45">
        <v>0.017</v>
      </c>
      <c r="P584" s="44">
        <v>7.899823506621E12</v>
      </c>
      <c r="Q584" s="44">
        <v>1.0</v>
      </c>
    </row>
    <row r="585" ht="15.75" customHeight="1">
      <c r="A585" s="35" t="s">
        <v>1576</v>
      </c>
      <c r="B585" s="36">
        <v>71.39218123039652</v>
      </c>
      <c r="C585" s="36">
        <f>'Lista de Preço 02_2022'!$B585*0.9*0.9*0.9*0.9*0.9*0.97</f>
        <v>40.89167802</v>
      </c>
      <c r="D585" s="36">
        <f>'Lista de Preço 02_2022'!$C585*1.0325</f>
        <v>42.22065756</v>
      </c>
      <c r="E585" s="37">
        <v>3.25</v>
      </c>
      <c r="F585" s="38">
        <v>0.18</v>
      </c>
      <c r="G585" s="38" t="s">
        <v>22</v>
      </c>
      <c r="H585" s="39" t="s">
        <v>1432</v>
      </c>
      <c r="I585" s="40" t="s">
        <v>1574</v>
      </c>
      <c r="J585" s="63" t="s">
        <v>1438</v>
      </c>
      <c r="K585" s="42" t="s">
        <v>1550</v>
      </c>
      <c r="L585" s="43" t="s">
        <v>1577</v>
      </c>
      <c r="M585" s="44">
        <v>8.5432E7</v>
      </c>
      <c r="N585" s="44" t="s">
        <v>920</v>
      </c>
      <c r="O585" s="45">
        <v>0.018</v>
      </c>
      <c r="P585" s="44">
        <v>7.899823506638E12</v>
      </c>
      <c r="Q585" s="44">
        <v>1.0</v>
      </c>
    </row>
    <row r="586" ht="15.75" customHeight="1">
      <c r="A586" s="35" t="s">
        <v>1578</v>
      </c>
      <c r="B586" s="36">
        <v>183.87283832320426</v>
      </c>
      <c r="C586" s="36">
        <f>'Lista de Preço 02_2022'!$B586*0.9*0.9*0.9*0.9*0.9*0.97</f>
        <v>105.3178201</v>
      </c>
      <c r="D586" s="36">
        <f>'Lista de Preço 02_2022'!$C586*1.0325</f>
        <v>108.7406493</v>
      </c>
      <c r="E586" s="37">
        <v>3.25</v>
      </c>
      <c r="F586" s="38">
        <v>0.18</v>
      </c>
      <c r="G586" s="38" t="s">
        <v>22</v>
      </c>
      <c r="H586" s="39" t="s">
        <v>1432</v>
      </c>
      <c r="I586" s="40" t="s">
        <v>1579</v>
      </c>
      <c r="J586" s="63" t="s">
        <v>1438</v>
      </c>
      <c r="K586" s="42" t="s">
        <v>1580</v>
      </c>
      <c r="L586" s="43" t="s">
        <v>1581</v>
      </c>
      <c r="M586" s="44">
        <v>8.5432E7</v>
      </c>
      <c r="N586" s="44" t="s">
        <v>920</v>
      </c>
      <c r="O586" s="45">
        <v>0.098</v>
      </c>
      <c r="P586" s="44">
        <v>7.899823510291E12</v>
      </c>
      <c r="Q586" s="44">
        <v>1.0</v>
      </c>
    </row>
    <row r="587" ht="15.75" customHeight="1">
      <c r="A587" s="35" t="s">
        <v>1582</v>
      </c>
      <c r="B587" s="36">
        <v>183.87283832320426</v>
      </c>
      <c r="C587" s="36">
        <f>'Lista de Preço 02_2022'!$B587*0.9*0.9*0.9*0.9*0.9*0.97</f>
        <v>105.3178201</v>
      </c>
      <c r="D587" s="36">
        <f>'Lista de Preço 02_2022'!$C587*1.0325</f>
        <v>108.7406493</v>
      </c>
      <c r="E587" s="37">
        <v>3.25</v>
      </c>
      <c r="F587" s="38">
        <v>0.18</v>
      </c>
      <c r="G587" s="38" t="s">
        <v>22</v>
      </c>
      <c r="H587" s="39" t="s">
        <v>1432</v>
      </c>
      <c r="I587" s="40" t="s">
        <v>1583</v>
      </c>
      <c r="J587" s="63" t="s">
        <v>1447</v>
      </c>
      <c r="K587" s="42" t="s">
        <v>1580</v>
      </c>
      <c r="L587" s="43">
        <v>3.4526771777E10</v>
      </c>
      <c r="M587" s="44">
        <v>8.5432E7</v>
      </c>
      <c r="N587" s="44" t="s">
        <v>920</v>
      </c>
      <c r="O587" s="45">
        <v>0.097</v>
      </c>
      <c r="P587" s="44">
        <v>7.899823510307E12</v>
      </c>
      <c r="Q587" s="44">
        <v>1.0</v>
      </c>
    </row>
    <row r="588" ht="15.75" customHeight="1">
      <c r="A588" s="35" t="s">
        <v>1584</v>
      </c>
      <c r="B588" s="36">
        <v>303.1550131727251</v>
      </c>
      <c r="C588" s="36">
        <f>'Lista de Preço 02_2022'!$B588*0.9*0.9*0.9*0.9*0.9*0.97</f>
        <v>173.6397036</v>
      </c>
      <c r="D588" s="36">
        <f>'Lista de Preço 02_2022'!$C588*1.1712</f>
        <v>203.3668209</v>
      </c>
      <c r="E588" s="37">
        <v>3.25</v>
      </c>
      <c r="F588" s="38">
        <v>0.18</v>
      </c>
      <c r="G588" s="38" t="s">
        <v>22</v>
      </c>
      <c r="H588" s="39" t="s">
        <v>23</v>
      </c>
      <c r="I588" s="40" t="s">
        <v>1585</v>
      </c>
      <c r="J588" s="41" t="s">
        <v>25</v>
      </c>
      <c r="K588" s="42" t="s">
        <v>73</v>
      </c>
      <c r="L588" s="43" t="s">
        <v>1586</v>
      </c>
      <c r="M588" s="42">
        <v>8.708999E7</v>
      </c>
      <c r="N588" s="44" t="s">
        <v>28</v>
      </c>
      <c r="O588" s="45">
        <v>1.661</v>
      </c>
      <c r="P588" s="44">
        <v>7.89982350672E12</v>
      </c>
      <c r="Q588" s="44">
        <v>1.0</v>
      </c>
    </row>
    <row r="589" ht="15.75" customHeight="1">
      <c r="A589" s="35" t="s">
        <v>1587</v>
      </c>
      <c r="B589" s="36">
        <v>183.87283832320426</v>
      </c>
      <c r="C589" s="36">
        <f>'Lista de Preço 02_2022'!$B589*0.9*0.9*0.9*0.9*0.9*0.97</f>
        <v>105.3178201</v>
      </c>
      <c r="D589" s="36">
        <f>'Lista de Preço 02_2022'!$C589*1.0325</f>
        <v>108.7406493</v>
      </c>
      <c r="E589" s="37">
        <v>3.25</v>
      </c>
      <c r="F589" s="38">
        <v>0.18</v>
      </c>
      <c r="G589" s="38" t="s">
        <v>22</v>
      </c>
      <c r="H589" s="39" t="s">
        <v>1432</v>
      </c>
      <c r="I589" s="40" t="s">
        <v>1588</v>
      </c>
      <c r="J589" s="63" t="s">
        <v>1438</v>
      </c>
      <c r="K589" s="42" t="s">
        <v>1580</v>
      </c>
      <c r="L589" s="43">
        <v>3.4526791225E10</v>
      </c>
      <c r="M589" s="44">
        <v>8.5432E7</v>
      </c>
      <c r="N589" s="44" t="s">
        <v>920</v>
      </c>
      <c r="O589" s="45">
        <v>0.085</v>
      </c>
      <c r="P589" s="44">
        <v>7.899823510314E12</v>
      </c>
      <c r="Q589" s="44">
        <v>1.0</v>
      </c>
    </row>
    <row r="590" ht="15.75" customHeight="1">
      <c r="A590" s="35" t="s">
        <v>1589</v>
      </c>
      <c r="B590" s="36">
        <v>183.87283832320426</v>
      </c>
      <c r="C590" s="36">
        <f>'Lista de Preço 02_2022'!$B590*0.9*0.9*0.9*0.9*0.9*0.97</f>
        <v>105.3178201</v>
      </c>
      <c r="D590" s="36">
        <f>'Lista de Preço 02_2022'!$C590*1.0325</f>
        <v>108.7406493</v>
      </c>
      <c r="E590" s="37">
        <v>3.25</v>
      </c>
      <c r="F590" s="38">
        <v>0.18</v>
      </c>
      <c r="G590" s="38" t="s">
        <v>22</v>
      </c>
      <c r="H590" s="39" t="s">
        <v>1432</v>
      </c>
      <c r="I590" s="40" t="s">
        <v>1583</v>
      </c>
      <c r="J590" s="63" t="s">
        <v>1447</v>
      </c>
      <c r="K590" s="42" t="s">
        <v>1580</v>
      </c>
      <c r="L590" s="43">
        <v>3.4526771776E10</v>
      </c>
      <c r="M590" s="44">
        <v>8.5432E7</v>
      </c>
      <c r="N590" s="44" t="s">
        <v>920</v>
      </c>
      <c r="O590" s="45">
        <v>0.081</v>
      </c>
      <c r="P590" s="44">
        <v>7.899823510321E12</v>
      </c>
      <c r="Q590" s="44">
        <v>1.0</v>
      </c>
    </row>
    <row r="591" ht="15.75" customHeight="1">
      <c r="A591" s="35" t="s">
        <v>1590</v>
      </c>
      <c r="B591" s="36">
        <v>183.87283832320426</v>
      </c>
      <c r="C591" s="36">
        <f>'Lista de Preço 02_2022'!$B591*0.9*0.9*0.9*0.9*0.9*0.97</f>
        <v>105.3178201</v>
      </c>
      <c r="D591" s="36">
        <f>'Lista de Preço 02_2022'!$C591*1.0325</f>
        <v>108.7406493</v>
      </c>
      <c r="E591" s="37">
        <v>3.25</v>
      </c>
      <c r="F591" s="38">
        <v>0.18</v>
      </c>
      <c r="G591" s="38" t="s">
        <v>22</v>
      </c>
      <c r="H591" s="39" t="s">
        <v>1432</v>
      </c>
      <c r="I591" s="40" t="s">
        <v>1591</v>
      </c>
      <c r="J591" s="63" t="s">
        <v>1447</v>
      </c>
      <c r="K591" s="42" t="s">
        <v>1580</v>
      </c>
      <c r="L591" s="43" t="s">
        <v>1592</v>
      </c>
      <c r="M591" s="44">
        <v>8.5432E7</v>
      </c>
      <c r="N591" s="44" t="s">
        <v>920</v>
      </c>
      <c r="O591" s="45">
        <v>0.094</v>
      </c>
      <c r="P591" s="44">
        <v>7.899823510338E12</v>
      </c>
      <c r="Q591" s="44">
        <v>1.0</v>
      </c>
    </row>
    <row r="592" ht="15.75" customHeight="1">
      <c r="A592" s="35" t="s">
        <v>1593</v>
      </c>
      <c r="B592" s="36">
        <v>183.87283832320426</v>
      </c>
      <c r="C592" s="36">
        <f>'Lista de Preço 02_2022'!$B592*0.9*0.9*0.9*0.9*0.9*0.97</f>
        <v>105.3178201</v>
      </c>
      <c r="D592" s="36">
        <f>'Lista de Preço 02_2022'!$C592*1.0325</f>
        <v>108.7406493</v>
      </c>
      <c r="E592" s="37">
        <v>3.25</v>
      </c>
      <c r="F592" s="38">
        <v>0.18</v>
      </c>
      <c r="G592" s="38" t="s">
        <v>22</v>
      </c>
      <c r="H592" s="39" t="s">
        <v>1432</v>
      </c>
      <c r="I592" s="40" t="s">
        <v>1591</v>
      </c>
      <c r="J592" s="63" t="s">
        <v>1447</v>
      </c>
      <c r="K592" s="42" t="s">
        <v>1580</v>
      </c>
      <c r="L592" s="43" t="s">
        <v>1594</v>
      </c>
      <c r="M592" s="44">
        <v>8.5432E7</v>
      </c>
      <c r="N592" s="44" t="s">
        <v>920</v>
      </c>
      <c r="O592" s="45">
        <v>0.104</v>
      </c>
      <c r="P592" s="44">
        <v>7.899823510345E12</v>
      </c>
      <c r="Q592" s="44">
        <v>1.0</v>
      </c>
    </row>
    <row r="593" ht="15.75" customHeight="1">
      <c r="A593" s="35" t="s">
        <v>1595</v>
      </c>
      <c r="B593" s="36">
        <v>183.87283832320426</v>
      </c>
      <c r="C593" s="36">
        <f>'Lista de Preço 02_2022'!$B593*0.9*0.9*0.9*0.9*0.9*0.97</f>
        <v>105.3178201</v>
      </c>
      <c r="D593" s="36">
        <f>'Lista de Preço 02_2022'!$C593*1.0325</f>
        <v>108.7406493</v>
      </c>
      <c r="E593" s="37">
        <v>3.25</v>
      </c>
      <c r="F593" s="38">
        <v>0.18</v>
      </c>
      <c r="G593" s="38" t="s">
        <v>22</v>
      </c>
      <c r="H593" s="39" t="s">
        <v>1432</v>
      </c>
      <c r="I593" s="40" t="s">
        <v>1596</v>
      </c>
      <c r="J593" s="63" t="s">
        <v>1438</v>
      </c>
      <c r="K593" s="42" t="s">
        <v>625</v>
      </c>
      <c r="L593" s="43" t="s">
        <v>1597</v>
      </c>
      <c r="M593" s="44">
        <v>8.5432E7</v>
      </c>
      <c r="N593" s="44" t="s">
        <v>920</v>
      </c>
      <c r="O593" s="45">
        <v>0.088</v>
      </c>
      <c r="P593" s="44">
        <v>7.899823510352E12</v>
      </c>
      <c r="Q593" s="44">
        <v>1.0</v>
      </c>
    </row>
    <row r="594" ht="15.75" customHeight="1">
      <c r="A594" s="35" t="s">
        <v>1598</v>
      </c>
      <c r="B594" s="36">
        <v>164.71941766453713</v>
      </c>
      <c r="C594" s="36">
        <f>'Lista de Preço 02_2022'!$B594*0.9*0.9*0.9*0.9*0.9*0.97</f>
        <v>94.34721387</v>
      </c>
      <c r="D594" s="36">
        <f>'Lista de Preço 02_2022'!$C594*1.0325</f>
        <v>97.41349832</v>
      </c>
      <c r="E594" s="37">
        <v>3.25</v>
      </c>
      <c r="F594" s="38">
        <v>0.18</v>
      </c>
      <c r="G594" s="38" t="s">
        <v>22</v>
      </c>
      <c r="H594" s="39" t="s">
        <v>1432</v>
      </c>
      <c r="I594" s="40" t="s">
        <v>1599</v>
      </c>
      <c r="J594" s="63" t="s">
        <v>1438</v>
      </c>
      <c r="K594" s="42" t="s">
        <v>625</v>
      </c>
      <c r="L594" s="43" t="s">
        <v>1600</v>
      </c>
      <c r="M594" s="44">
        <v>8.5432E7</v>
      </c>
      <c r="N594" s="44" t="s">
        <v>920</v>
      </c>
      <c r="O594" s="45">
        <v>0.088</v>
      </c>
      <c r="P594" s="44">
        <v>7.899823510369E12</v>
      </c>
      <c r="Q594" s="44">
        <v>1.0</v>
      </c>
    </row>
    <row r="595" ht="15.75" customHeight="1">
      <c r="A595" s="35" t="s">
        <v>1601</v>
      </c>
      <c r="B595" s="36">
        <v>164.71941766453713</v>
      </c>
      <c r="C595" s="36">
        <f>'Lista de Preço 02_2022'!$B595*0.9*0.9*0.9*0.9*0.9*0.97</f>
        <v>94.34721387</v>
      </c>
      <c r="D595" s="36">
        <f>'Lista de Preço 02_2022'!$C595*1.0325</f>
        <v>97.41349832</v>
      </c>
      <c r="E595" s="37">
        <v>3.25</v>
      </c>
      <c r="F595" s="38">
        <v>0.18</v>
      </c>
      <c r="G595" s="38" t="s">
        <v>22</v>
      </c>
      <c r="H595" s="39" t="s">
        <v>1432</v>
      </c>
      <c r="I595" s="40" t="s">
        <v>1602</v>
      </c>
      <c r="J595" s="63" t="s">
        <v>1438</v>
      </c>
      <c r="K595" s="42" t="s">
        <v>625</v>
      </c>
      <c r="L595" s="43" t="s">
        <v>1603</v>
      </c>
      <c r="M595" s="44">
        <v>8.5432E7</v>
      </c>
      <c r="N595" s="44" t="s">
        <v>920</v>
      </c>
      <c r="O595" s="45">
        <v>0.089</v>
      </c>
      <c r="P595" s="44">
        <v>7.899823510376E12</v>
      </c>
      <c r="Q595" s="44">
        <v>1.0</v>
      </c>
    </row>
    <row r="596" ht="15.75" customHeight="1">
      <c r="A596" s="35" t="s">
        <v>1604</v>
      </c>
      <c r="B596" s="36">
        <v>327.17056459502373</v>
      </c>
      <c r="C596" s="36">
        <f>'Lista de Preço 02_2022'!$B596*0.9*0.9*0.9*0.9*0.9*0.97</f>
        <v>187.3952183</v>
      </c>
      <c r="D596" s="36">
        <f>'Lista de Preço 02_2022'!$C596*1.1712</f>
        <v>219.4772797</v>
      </c>
      <c r="E596" s="37">
        <v>3.25</v>
      </c>
      <c r="F596" s="38">
        <v>0.18</v>
      </c>
      <c r="G596" s="38" t="s">
        <v>22</v>
      </c>
      <c r="H596" s="39" t="s">
        <v>23</v>
      </c>
      <c r="I596" s="40" t="s">
        <v>1605</v>
      </c>
      <c r="J596" s="41" t="s">
        <v>372</v>
      </c>
      <c r="K596" s="42" t="s">
        <v>153</v>
      </c>
      <c r="L596" s="43" t="s">
        <v>1606</v>
      </c>
      <c r="M596" s="42">
        <v>8.708999E7</v>
      </c>
      <c r="N596" s="44" t="s">
        <v>28</v>
      </c>
      <c r="O596" s="45">
        <v>2.21</v>
      </c>
      <c r="P596" s="44">
        <v>7.89982350698E12</v>
      </c>
      <c r="Q596" s="44">
        <v>1.0</v>
      </c>
    </row>
    <row r="597" ht="15.75" customHeight="1">
      <c r="A597" s="35" t="s">
        <v>1607</v>
      </c>
      <c r="B597" s="36">
        <v>183.87283832320426</v>
      </c>
      <c r="C597" s="36">
        <f>'Lista de Preço 02_2022'!$B597*0.9*0.9*0.9*0.9*0.9*0.97</f>
        <v>105.3178201</v>
      </c>
      <c r="D597" s="36">
        <f>'Lista de Preço 02_2022'!$C597*1.0325</f>
        <v>108.7406493</v>
      </c>
      <c r="E597" s="37">
        <v>3.25</v>
      </c>
      <c r="F597" s="38">
        <v>0.18</v>
      </c>
      <c r="G597" s="38" t="s">
        <v>22</v>
      </c>
      <c r="H597" s="39" t="s">
        <v>1432</v>
      </c>
      <c r="I597" s="40" t="s">
        <v>1608</v>
      </c>
      <c r="J597" s="63" t="s">
        <v>1438</v>
      </c>
      <c r="K597" s="42" t="s">
        <v>625</v>
      </c>
      <c r="L597" s="43" t="s">
        <v>1522</v>
      </c>
      <c r="M597" s="44">
        <v>8.5432E7</v>
      </c>
      <c r="N597" s="44" t="s">
        <v>920</v>
      </c>
      <c r="O597" s="45">
        <v>0.111</v>
      </c>
      <c r="P597" s="44">
        <v>7.899823510383E12</v>
      </c>
      <c r="Q597" s="44">
        <v>1.0</v>
      </c>
    </row>
    <row r="598" ht="15.75" customHeight="1">
      <c r="A598" s="50" t="s">
        <v>1609</v>
      </c>
      <c r="B598" s="36">
        <v>147.380228</v>
      </c>
      <c r="C598" s="51">
        <f>'Lista de Preço 02_2022'!$B598*0.9*0.9*0.9*0.9*0.9*0.97</f>
        <v>84.41575431</v>
      </c>
      <c r="D598" s="36">
        <f>'Lista de Preço 02_2022'!$C598*1.0325</f>
        <v>87.15926632</v>
      </c>
      <c r="E598" s="52">
        <v>3.25</v>
      </c>
      <c r="F598" s="53">
        <v>0.18</v>
      </c>
      <c r="G598" s="53" t="s">
        <v>22</v>
      </c>
      <c r="H598" s="54" t="s">
        <v>1432</v>
      </c>
      <c r="I598" s="55" t="s">
        <v>1610</v>
      </c>
      <c r="J598" s="64" t="s">
        <v>1447</v>
      </c>
      <c r="K598" s="57" t="s">
        <v>26</v>
      </c>
      <c r="L598" s="58" t="s">
        <v>1611</v>
      </c>
      <c r="M598" s="59">
        <v>8.5432E7</v>
      </c>
      <c r="N598" s="59" t="s">
        <v>920</v>
      </c>
      <c r="O598" s="60">
        <v>0.122</v>
      </c>
      <c r="P598" s="59">
        <v>7.899823510017E12</v>
      </c>
      <c r="Q598" s="59">
        <v>1.0</v>
      </c>
    </row>
    <row r="599" ht="15.75" customHeight="1">
      <c r="A599" s="50" t="s">
        <v>1612</v>
      </c>
      <c r="B599" s="36">
        <v>143.136628</v>
      </c>
      <c r="C599" s="51">
        <f>'Lista de Preço 02_2022'!$B599*0.9*0.9*0.9*0.9*0.9*0.97</f>
        <v>81.98512504</v>
      </c>
      <c r="D599" s="36">
        <f>'Lista de Preço 02_2022'!$C599*1.0325</f>
        <v>84.64964161</v>
      </c>
      <c r="E599" s="52">
        <v>3.25</v>
      </c>
      <c r="F599" s="53">
        <v>0.18</v>
      </c>
      <c r="G599" s="53" t="s">
        <v>22</v>
      </c>
      <c r="H599" s="54" t="s">
        <v>1432</v>
      </c>
      <c r="I599" s="55" t="s">
        <v>1613</v>
      </c>
      <c r="J599" s="64" t="s">
        <v>1447</v>
      </c>
      <c r="K599" s="57" t="s">
        <v>277</v>
      </c>
      <c r="L599" s="58" t="s">
        <v>1614</v>
      </c>
      <c r="M599" s="59">
        <v>8.5432E7</v>
      </c>
      <c r="N599" s="59" t="s">
        <v>920</v>
      </c>
      <c r="O599" s="60">
        <v>0.094</v>
      </c>
      <c r="P599" s="59">
        <v>7.899823510024E12</v>
      </c>
      <c r="Q599" s="59">
        <v>1.0</v>
      </c>
    </row>
    <row r="600" ht="15.75" customHeight="1">
      <c r="A600" s="50" t="s">
        <v>1615</v>
      </c>
      <c r="B600" s="36">
        <v>132.676154</v>
      </c>
      <c r="C600" s="51">
        <f>'Lista de Preço 02_2022'!$B600*0.9*0.9*0.9*0.9*0.9*0.97</f>
        <v>75.99362391</v>
      </c>
      <c r="D600" s="36">
        <f>'Lista de Preço 02_2022'!$C600*1.0325</f>
        <v>78.46341669</v>
      </c>
      <c r="E600" s="52">
        <v>3.25</v>
      </c>
      <c r="F600" s="53">
        <v>0.18</v>
      </c>
      <c r="G600" s="53" t="s">
        <v>22</v>
      </c>
      <c r="H600" s="54" t="s">
        <v>1432</v>
      </c>
      <c r="I600" s="55" t="s">
        <v>1616</v>
      </c>
      <c r="J600" s="64" t="s">
        <v>1447</v>
      </c>
      <c r="K600" s="57" t="s">
        <v>277</v>
      </c>
      <c r="L600" s="58" t="s">
        <v>1617</v>
      </c>
      <c r="M600" s="59">
        <v>8.5432E7</v>
      </c>
      <c r="N600" s="59" t="s">
        <v>920</v>
      </c>
      <c r="O600" s="60">
        <v>0.112</v>
      </c>
      <c r="P600" s="59">
        <v>7.899823510031E12</v>
      </c>
      <c r="Q600" s="59">
        <v>1.0</v>
      </c>
    </row>
    <row r="601" ht="15.75" customHeight="1">
      <c r="A601" s="35" t="s">
        <v>1618</v>
      </c>
      <c r="B601" s="36">
        <v>823.0885982093822</v>
      </c>
      <c r="C601" s="36">
        <f>'Lista de Preço 02_2022'!$B601*0.9*0.9*0.9*0.9*0.9*0.97</f>
        <v>471.4448188</v>
      </c>
      <c r="D601" s="36">
        <f>'Lista de Preço 02_2022'!$C601*1.1712</f>
        <v>552.1561717</v>
      </c>
      <c r="E601" s="37">
        <v>3.25</v>
      </c>
      <c r="F601" s="38">
        <v>0.18</v>
      </c>
      <c r="G601" s="38" t="s">
        <v>22</v>
      </c>
      <c r="H601" s="39" t="s">
        <v>23</v>
      </c>
      <c r="I601" s="40" t="s">
        <v>1619</v>
      </c>
      <c r="J601" s="41" t="s">
        <v>500</v>
      </c>
      <c r="K601" s="42" t="s">
        <v>86</v>
      </c>
      <c r="L601" s="43" t="s">
        <v>1620</v>
      </c>
      <c r="M601" s="42">
        <v>8.708999E7</v>
      </c>
      <c r="N601" s="44" t="s">
        <v>28</v>
      </c>
      <c r="O601" s="45">
        <v>5.66</v>
      </c>
      <c r="P601" s="44">
        <v>7.899823507017E12</v>
      </c>
      <c r="Q601" s="44">
        <v>1.0</v>
      </c>
    </row>
    <row r="602" ht="15.75" customHeight="1">
      <c r="A602" s="35" t="s">
        <v>1621</v>
      </c>
      <c r="B602" s="36">
        <v>183.87283832320426</v>
      </c>
      <c r="C602" s="36">
        <f>'Lista de Preço 02_2022'!$B602*0.9*0.9*0.9*0.9*0.9*0.97</f>
        <v>105.3178201</v>
      </c>
      <c r="D602" s="36">
        <f>'Lista de Preço 02_2022'!$C602*1.0325</f>
        <v>108.7406493</v>
      </c>
      <c r="E602" s="37">
        <v>3.25</v>
      </c>
      <c r="F602" s="38">
        <v>0.18</v>
      </c>
      <c r="G602" s="38" t="s">
        <v>22</v>
      </c>
      <c r="H602" s="39" t="s">
        <v>1432</v>
      </c>
      <c r="I602" s="40" t="s">
        <v>1622</v>
      </c>
      <c r="J602" s="63" t="s">
        <v>1438</v>
      </c>
      <c r="K602" s="42" t="s">
        <v>95</v>
      </c>
      <c r="L602" s="43" t="s">
        <v>1623</v>
      </c>
      <c r="M602" s="44">
        <v>8.5432E7</v>
      </c>
      <c r="N602" s="44" t="s">
        <v>920</v>
      </c>
      <c r="O602" s="45">
        <v>0.112</v>
      </c>
      <c r="P602" s="44">
        <v>7.89982351039E12</v>
      </c>
      <c r="Q602" s="44">
        <v>1.0</v>
      </c>
    </row>
    <row r="603" ht="15.75" customHeight="1">
      <c r="A603" s="35" t="s">
        <v>1624</v>
      </c>
      <c r="B603" s="36">
        <v>183.87283832320426</v>
      </c>
      <c r="C603" s="36">
        <f>'Lista de Preço 02_2022'!$B603*0.9*0.9*0.9*0.9*0.9*0.97</f>
        <v>105.3178201</v>
      </c>
      <c r="D603" s="36">
        <f>'Lista de Preço 02_2022'!$C603*1.0325</f>
        <v>108.7406493</v>
      </c>
      <c r="E603" s="37">
        <v>3.25</v>
      </c>
      <c r="F603" s="38">
        <v>0.18</v>
      </c>
      <c r="G603" s="38" t="s">
        <v>22</v>
      </c>
      <c r="H603" s="39" t="s">
        <v>1432</v>
      </c>
      <c r="I603" s="40" t="s">
        <v>1625</v>
      </c>
      <c r="J603" s="63" t="s">
        <v>1438</v>
      </c>
      <c r="K603" s="42" t="s">
        <v>95</v>
      </c>
      <c r="L603" s="43" t="s">
        <v>1626</v>
      </c>
      <c r="M603" s="44">
        <v>8.5432E7</v>
      </c>
      <c r="N603" s="44" t="s">
        <v>920</v>
      </c>
      <c r="O603" s="45">
        <v>0.109</v>
      </c>
      <c r="P603" s="44">
        <v>7.899823510406E12</v>
      </c>
      <c r="Q603" s="44">
        <v>1.0</v>
      </c>
    </row>
    <row r="604" ht="15.75" customHeight="1">
      <c r="A604" s="35" t="s">
        <v>1627</v>
      </c>
      <c r="B604" s="36">
        <v>183.87283832320426</v>
      </c>
      <c r="C604" s="36">
        <f>'Lista de Preço 02_2022'!$B604*0.9*0.9*0.9*0.9*0.9*0.97</f>
        <v>105.3178201</v>
      </c>
      <c r="D604" s="36">
        <f>'Lista de Preço 02_2022'!$C604*1.0325</f>
        <v>108.7406493</v>
      </c>
      <c r="E604" s="37">
        <v>3.25</v>
      </c>
      <c r="F604" s="38">
        <v>0.18</v>
      </c>
      <c r="G604" s="38" t="s">
        <v>22</v>
      </c>
      <c r="H604" s="39" t="s">
        <v>1432</v>
      </c>
      <c r="I604" s="40" t="s">
        <v>1625</v>
      </c>
      <c r="J604" s="63" t="s">
        <v>1438</v>
      </c>
      <c r="K604" s="42" t="s">
        <v>95</v>
      </c>
      <c r="L604" s="43" t="s">
        <v>1628</v>
      </c>
      <c r="M604" s="44">
        <v>8.5432E7</v>
      </c>
      <c r="N604" s="44" t="s">
        <v>920</v>
      </c>
      <c r="O604" s="45">
        <v>0.109</v>
      </c>
      <c r="P604" s="44">
        <v>7.899823510413E12</v>
      </c>
      <c r="Q604" s="44">
        <v>1.0</v>
      </c>
    </row>
    <row r="605" ht="15.75" customHeight="1">
      <c r="A605" s="35" t="s">
        <v>1629</v>
      </c>
      <c r="B605" s="36">
        <v>145.56599700587003</v>
      </c>
      <c r="C605" s="36">
        <f>'Lista de Preço 02_2022'!$B605*0.9*0.9*0.9*0.9*0.9*0.97</f>
        <v>83.3766076</v>
      </c>
      <c r="D605" s="36">
        <f>'Lista de Preço 02_2022'!$C605*1.0325</f>
        <v>86.08634735</v>
      </c>
      <c r="E605" s="37">
        <v>3.25</v>
      </c>
      <c r="F605" s="38">
        <v>0.18</v>
      </c>
      <c r="G605" s="38" t="s">
        <v>22</v>
      </c>
      <c r="H605" s="39" t="s">
        <v>1432</v>
      </c>
      <c r="I605" s="40" t="s">
        <v>1630</v>
      </c>
      <c r="J605" s="63" t="s">
        <v>1438</v>
      </c>
      <c r="K605" s="42" t="s">
        <v>95</v>
      </c>
      <c r="L605" s="43" t="s">
        <v>1631</v>
      </c>
      <c r="M605" s="44">
        <v>8.5432E7</v>
      </c>
      <c r="N605" s="44" t="s">
        <v>920</v>
      </c>
      <c r="O605" s="45">
        <v>0.125</v>
      </c>
      <c r="P605" s="44">
        <v>7.89982351042E12</v>
      </c>
      <c r="Q605" s="44">
        <v>1.0</v>
      </c>
    </row>
    <row r="606" ht="15.75" customHeight="1">
      <c r="A606" s="35" t="s">
        <v>1632</v>
      </c>
      <c r="B606" s="36">
        <v>100.14028077643754</v>
      </c>
      <c r="C606" s="36">
        <f>'Lista de Preço 02_2022'!$B606*0.9*0.9*0.9*0.9*0.9*0.97</f>
        <v>57.35787936</v>
      </c>
      <c r="D606" s="36">
        <f>'Lista de Preço 02_2022'!$C606*1.1712</f>
        <v>67.17754831</v>
      </c>
      <c r="E606" s="37">
        <v>3.25</v>
      </c>
      <c r="F606" s="38">
        <v>0.18</v>
      </c>
      <c r="G606" s="38" t="s">
        <v>22</v>
      </c>
      <c r="H606" s="39" t="s">
        <v>65</v>
      </c>
      <c r="I606" s="40" t="s">
        <v>1633</v>
      </c>
      <c r="J606" s="41" t="s">
        <v>67</v>
      </c>
      <c r="K606" s="42" t="s">
        <v>26</v>
      </c>
      <c r="L606" s="43" t="s">
        <v>1634</v>
      </c>
      <c r="M606" s="44">
        <v>8.708999E7</v>
      </c>
      <c r="N606" s="44" t="s">
        <v>28</v>
      </c>
      <c r="O606" s="45">
        <v>0.75</v>
      </c>
      <c r="P606" s="44">
        <v>7.898233432858E12</v>
      </c>
      <c r="Q606" s="44">
        <v>1.0</v>
      </c>
    </row>
    <row r="607" ht="15.75" customHeight="1">
      <c r="A607" s="35" t="s">
        <v>1635</v>
      </c>
      <c r="B607" s="36">
        <v>46.58930266781623</v>
      </c>
      <c r="C607" s="36">
        <f>'Lista de Preço 02_2022'!$B607*0.9*0.9*0.9*0.9*0.9*0.97</f>
        <v>26.68520181</v>
      </c>
      <c r="D607" s="36">
        <f>'Lista de Preço 02_2022'!$C607*1.1712</f>
        <v>31.25370836</v>
      </c>
      <c r="E607" s="37">
        <v>3.25</v>
      </c>
      <c r="F607" s="38">
        <v>0.18</v>
      </c>
      <c r="G607" s="38" t="s">
        <v>37</v>
      </c>
      <c r="H607" s="39" t="s">
        <v>559</v>
      </c>
      <c r="I607" s="40" t="s">
        <v>1044</v>
      </c>
      <c r="J607" s="41" t="s">
        <v>40</v>
      </c>
      <c r="K607" s="42" t="s">
        <v>303</v>
      </c>
      <c r="L607" s="43">
        <v>3.520150001E9</v>
      </c>
      <c r="M607" s="42">
        <v>8.4099999E7</v>
      </c>
      <c r="N607" s="44" t="s">
        <v>1407</v>
      </c>
      <c r="O607" s="45">
        <v>0.561</v>
      </c>
      <c r="P607" s="44">
        <v>7.898233431905E12</v>
      </c>
      <c r="Q607" s="44">
        <v>1.0</v>
      </c>
    </row>
    <row r="608" ht="15.75" customHeight="1">
      <c r="A608" s="35" t="s">
        <v>1636</v>
      </c>
      <c r="B608" s="36">
        <v>183.87283832320426</v>
      </c>
      <c r="C608" s="36">
        <f>'Lista de Preço 02_2022'!$B608*0.9*0.9*0.9*0.9*0.9*0.97</f>
        <v>105.3178201</v>
      </c>
      <c r="D608" s="36">
        <f>'Lista de Preço 02_2022'!$C608*1.0325</f>
        <v>108.7406493</v>
      </c>
      <c r="E608" s="37">
        <v>3.25</v>
      </c>
      <c r="F608" s="38">
        <v>0.18</v>
      </c>
      <c r="G608" s="38" t="s">
        <v>22</v>
      </c>
      <c r="H608" s="39" t="s">
        <v>1432</v>
      </c>
      <c r="I608" s="40" t="s">
        <v>1637</v>
      </c>
      <c r="J608" s="63" t="s">
        <v>1526</v>
      </c>
      <c r="K608" s="42" t="s">
        <v>95</v>
      </c>
      <c r="L608" s="43" t="s">
        <v>1638</v>
      </c>
      <c r="M608" s="44">
        <v>8.5432E7</v>
      </c>
      <c r="N608" s="44" t="s">
        <v>920</v>
      </c>
      <c r="O608" s="45">
        <v>0.107</v>
      </c>
      <c r="P608" s="44">
        <v>7.899823510437E12</v>
      </c>
      <c r="Q608" s="44">
        <v>1.0</v>
      </c>
    </row>
    <row r="609" ht="15.75" customHeight="1">
      <c r="A609" s="35" t="s">
        <v>1639</v>
      </c>
      <c r="B609" s="36">
        <v>183.87283832320426</v>
      </c>
      <c r="C609" s="36">
        <f>'Lista de Preço 02_2022'!$B609*0.9*0.9*0.9*0.9*0.9*0.97</f>
        <v>105.3178201</v>
      </c>
      <c r="D609" s="36">
        <f>'Lista de Preço 02_2022'!$C609*1.0325</f>
        <v>108.7406493</v>
      </c>
      <c r="E609" s="37">
        <v>3.25</v>
      </c>
      <c r="F609" s="38">
        <v>0.18</v>
      </c>
      <c r="G609" s="38" t="s">
        <v>22</v>
      </c>
      <c r="H609" s="39" t="s">
        <v>1432</v>
      </c>
      <c r="I609" s="40" t="s">
        <v>1640</v>
      </c>
      <c r="J609" s="63" t="s">
        <v>1438</v>
      </c>
      <c r="K609" s="42" t="s">
        <v>95</v>
      </c>
      <c r="L609" s="43" t="s">
        <v>1641</v>
      </c>
      <c r="M609" s="44">
        <v>8.5432E7</v>
      </c>
      <c r="N609" s="44" t="s">
        <v>920</v>
      </c>
      <c r="O609" s="45">
        <v>0.11</v>
      </c>
      <c r="P609" s="44">
        <v>7.899823510444E12</v>
      </c>
      <c r="Q609" s="44">
        <v>1.0</v>
      </c>
    </row>
    <row r="610" ht="15.75" customHeight="1">
      <c r="A610" s="35" t="s">
        <v>1642</v>
      </c>
      <c r="B610" s="36">
        <v>183.87283832320426</v>
      </c>
      <c r="C610" s="36">
        <f>'Lista de Preço 02_2022'!$B610*0.9*0.9*0.9*0.9*0.9*0.97</f>
        <v>105.3178201</v>
      </c>
      <c r="D610" s="36">
        <f>'Lista de Preço 02_2022'!$C610*1.0325</f>
        <v>108.7406493</v>
      </c>
      <c r="E610" s="37">
        <v>3.25</v>
      </c>
      <c r="F610" s="38">
        <v>0.18</v>
      </c>
      <c r="G610" s="38" t="s">
        <v>22</v>
      </c>
      <c r="H610" s="39" t="s">
        <v>1432</v>
      </c>
      <c r="I610" s="40" t="s">
        <v>1640</v>
      </c>
      <c r="J610" s="63" t="s">
        <v>1438</v>
      </c>
      <c r="K610" s="42" t="s">
        <v>95</v>
      </c>
      <c r="L610" s="43"/>
      <c r="M610" s="44">
        <v>8.5432E7</v>
      </c>
      <c r="N610" s="44" t="s">
        <v>920</v>
      </c>
      <c r="O610" s="45">
        <v>0.114</v>
      </c>
      <c r="P610" s="44">
        <v>7.899823510451E12</v>
      </c>
      <c r="Q610" s="44">
        <v>1.0</v>
      </c>
    </row>
    <row r="611" ht="15.75" customHeight="1">
      <c r="A611" s="35" t="s">
        <v>1643</v>
      </c>
      <c r="B611" s="36">
        <v>153.2273652693369</v>
      </c>
      <c r="C611" s="36">
        <f>'Lista de Preço 02_2022'!$B611*0.9*0.9*0.9*0.9*0.9*0.97</f>
        <v>87.76485011</v>
      </c>
      <c r="D611" s="36">
        <f>'Lista de Preço 02_2022'!$C611*1.0325</f>
        <v>90.61720774</v>
      </c>
      <c r="E611" s="37">
        <v>3.25</v>
      </c>
      <c r="F611" s="38">
        <v>0.18</v>
      </c>
      <c r="G611" s="38" t="s">
        <v>22</v>
      </c>
      <c r="H611" s="39" t="s">
        <v>1432</v>
      </c>
      <c r="I611" s="40" t="s">
        <v>1644</v>
      </c>
      <c r="J611" s="63" t="s">
        <v>1526</v>
      </c>
      <c r="K611" s="42" t="s">
        <v>95</v>
      </c>
      <c r="L611" s="43" t="s">
        <v>1645</v>
      </c>
      <c r="M611" s="44">
        <v>8.5432E7</v>
      </c>
      <c r="N611" s="44" t="s">
        <v>920</v>
      </c>
      <c r="O611" s="45">
        <v>0.112</v>
      </c>
      <c r="P611" s="44">
        <v>7.899823510468E12</v>
      </c>
      <c r="Q611" s="44">
        <v>1.0</v>
      </c>
    </row>
    <row r="612" ht="15.75" customHeight="1">
      <c r="A612" s="35" t="s">
        <v>1646</v>
      </c>
      <c r="B612" s="36">
        <v>153.2273652693369</v>
      </c>
      <c r="C612" s="36">
        <f>'Lista de Preço 02_2022'!$B612*0.9*0.9*0.9*0.9*0.9*0.97</f>
        <v>87.76485011</v>
      </c>
      <c r="D612" s="36">
        <f>'Lista de Preço 02_2022'!$C612*1.0325</f>
        <v>90.61720774</v>
      </c>
      <c r="E612" s="37">
        <v>3.25</v>
      </c>
      <c r="F612" s="38">
        <v>0.18</v>
      </c>
      <c r="G612" s="38" t="s">
        <v>22</v>
      </c>
      <c r="H612" s="39" t="s">
        <v>1432</v>
      </c>
      <c r="I612" s="40" t="s">
        <v>1647</v>
      </c>
      <c r="J612" s="63" t="s">
        <v>1438</v>
      </c>
      <c r="K612" s="42" t="s">
        <v>95</v>
      </c>
      <c r="L612" s="43" t="s">
        <v>1648</v>
      </c>
      <c r="M612" s="44">
        <v>8.5432E7</v>
      </c>
      <c r="N612" s="44" t="s">
        <v>920</v>
      </c>
      <c r="O612" s="45">
        <v>0.11</v>
      </c>
      <c r="P612" s="44">
        <v>7.899823510475E12</v>
      </c>
      <c r="Q612" s="44">
        <v>1.0</v>
      </c>
    </row>
    <row r="613" ht="15.75" customHeight="1">
      <c r="A613" s="35" t="s">
        <v>1649</v>
      </c>
      <c r="B613" s="36">
        <v>183.87283832320426</v>
      </c>
      <c r="C613" s="36">
        <f>'Lista de Preço 02_2022'!$B613*0.9*0.9*0.9*0.9*0.9*0.97</f>
        <v>105.3178201</v>
      </c>
      <c r="D613" s="36">
        <f>'Lista de Preço 02_2022'!$C613*1.0325</f>
        <v>108.7406493</v>
      </c>
      <c r="E613" s="37">
        <v>3.25</v>
      </c>
      <c r="F613" s="38">
        <v>0.18</v>
      </c>
      <c r="G613" s="38" t="s">
        <v>22</v>
      </c>
      <c r="H613" s="39" t="s">
        <v>1432</v>
      </c>
      <c r="I613" s="40" t="s">
        <v>1650</v>
      </c>
      <c r="J613" s="63" t="s">
        <v>1438</v>
      </c>
      <c r="K613" s="42" t="s">
        <v>95</v>
      </c>
      <c r="L613" s="43" t="s">
        <v>1651</v>
      </c>
      <c r="M613" s="44">
        <v>8.5432E7</v>
      </c>
      <c r="N613" s="44" t="s">
        <v>920</v>
      </c>
      <c r="O613" s="45">
        <v>0.094</v>
      </c>
      <c r="P613" s="44">
        <v>7.899823510482E12</v>
      </c>
      <c r="Q613" s="44">
        <v>1.0</v>
      </c>
    </row>
    <row r="614" ht="15.75" customHeight="1">
      <c r="A614" s="35" t="s">
        <v>1652</v>
      </c>
      <c r="B614" s="36">
        <v>157.0580494010703</v>
      </c>
      <c r="C614" s="36">
        <f>'Lista de Preço 02_2022'!$B614*0.9*0.9*0.9*0.9*0.9*0.97</f>
        <v>89.95897136</v>
      </c>
      <c r="D614" s="36">
        <f>'Lista de Preço 02_2022'!$C614*1.0325</f>
        <v>92.88263793</v>
      </c>
      <c r="E614" s="37">
        <v>3.25</v>
      </c>
      <c r="F614" s="38">
        <v>0.18</v>
      </c>
      <c r="G614" s="38" t="s">
        <v>22</v>
      </c>
      <c r="H614" s="39" t="s">
        <v>1432</v>
      </c>
      <c r="I614" s="40" t="s">
        <v>1653</v>
      </c>
      <c r="J614" s="63" t="s">
        <v>1438</v>
      </c>
      <c r="K614" s="42" t="s">
        <v>95</v>
      </c>
      <c r="L614" s="43" t="s">
        <v>1654</v>
      </c>
      <c r="M614" s="44">
        <v>8.5432E7</v>
      </c>
      <c r="N614" s="44" t="s">
        <v>920</v>
      </c>
      <c r="O614" s="45">
        <v>0.143</v>
      </c>
      <c r="P614" s="44">
        <v>7.899823510499E12</v>
      </c>
      <c r="Q614" s="44">
        <v>1.0</v>
      </c>
    </row>
    <row r="615" ht="15.75" customHeight="1">
      <c r="A615" s="50" t="s">
        <v>1655</v>
      </c>
      <c r="B615" s="36">
        <v>132.676154</v>
      </c>
      <c r="C615" s="51">
        <f>'Lista de Preço 02_2022'!$B615*0.9*0.9*0.9*0.9*0.9*0.97</f>
        <v>75.99362391</v>
      </c>
      <c r="D615" s="36">
        <f>'Lista de Preço 02_2022'!$C615*1.0325</f>
        <v>78.46341669</v>
      </c>
      <c r="E615" s="52">
        <v>3.25</v>
      </c>
      <c r="F615" s="53">
        <v>0.18</v>
      </c>
      <c r="G615" s="53" t="s">
        <v>22</v>
      </c>
      <c r="H615" s="54" t="s">
        <v>1432</v>
      </c>
      <c r="I615" s="55" t="s">
        <v>1656</v>
      </c>
      <c r="J615" s="64" t="s">
        <v>1438</v>
      </c>
      <c r="K615" s="57" t="s">
        <v>95</v>
      </c>
      <c r="L615" s="58" t="s">
        <v>1657</v>
      </c>
      <c r="M615" s="59">
        <v>8.5432E7</v>
      </c>
      <c r="N615" s="59" t="s">
        <v>920</v>
      </c>
      <c r="O615" s="60">
        <v>0.091</v>
      </c>
      <c r="P615" s="59">
        <v>7.899823510048E12</v>
      </c>
      <c r="Q615" s="59">
        <v>1.0</v>
      </c>
    </row>
    <row r="616" ht="15.75" customHeight="1">
      <c r="A616" s="35" t="s">
        <v>1658</v>
      </c>
      <c r="B616" s="36">
        <v>141.7289592665125</v>
      </c>
      <c r="C616" s="36">
        <f>'Lista de Preço 02_2022'!$B616*0.9*0.9*0.9*0.9*0.9*0.97</f>
        <v>81.17884716</v>
      </c>
      <c r="D616" s="36">
        <f>'Lista de Preço 02_2022'!$C616*1.1712</f>
        <v>95.0766658</v>
      </c>
      <c r="E616" s="37">
        <v>3.25</v>
      </c>
      <c r="F616" s="38">
        <v>0.18</v>
      </c>
      <c r="G616" s="38" t="s">
        <v>37</v>
      </c>
      <c r="H616" s="39" t="s">
        <v>559</v>
      </c>
      <c r="I616" s="40" t="s">
        <v>1044</v>
      </c>
      <c r="J616" s="41" t="s">
        <v>40</v>
      </c>
      <c r="K616" s="42" t="s">
        <v>303</v>
      </c>
      <c r="L616" s="43">
        <v>3.520100416E9</v>
      </c>
      <c r="M616" s="42">
        <v>8.4099999E7</v>
      </c>
      <c r="N616" s="44" t="s">
        <v>1407</v>
      </c>
      <c r="O616" s="45">
        <v>1.93</v>
      </c>
      <c r="P616" s="44">
        <v>7.898233431912E12</v>
      </c>
      <c r="Q616" s="44">
        <v>1.0</v>
      </c>
    </row>
    <row r="617" ht="15.75" customHeight="1">
      <c r="A617" s="50" t="s">
        <v>1659</v>
      </c>
      <c r="B617" s="36">
        <v>132.676154</v>
      </c>
      <c r="C617" s="51">
        <f>'Lista de Preço 02_2022'!$B617*0.9*0.9*0.9*0.9*0.9*0.97</f>
        <v>75.99362391</v>
      </c>
      <c r="D617" s="36">
        <f>'Lista de Preço 02_2022'!$C617*1.0325</f>
        <v>78.46341669</v>
      </c>
      <c r="E617" s="52">
        <v>3.25</v>
      </c>
      <c r="F617" s="53">
        <v>0.18</v>
      </c>
      <c r="G617" s="53" t="s">
        <v>22</v>
      </c>
      <c r="H617" s="54" t="s">
        <v>1432</v>
      </c>
      <c r="I617" s="55" t="s">
        <v>1660</v>
      </c>
      <c r="J617" s="64" t="s">
        <v>1438</v>
      </c>
      <c r="K617" s="57" t="s">
        <v>95</v>
      </c>
      <c r="L617" s="58" t="s">
        <v>1661</v>
      </c>
      <c r="M617" s="59">
        <v>8.5432E7</v>
      </c>
      <c r="N617" s="59" t="s">
        <v>920</v>
      </c>
      <c r="O617" s="60">
        <v>0.085</v>
      </c>
      <c r="P617" s="59">
        <v>7.899823511014E12</v>
      </c>
      <c r="Q617" s="59">
        <v>1.0</v>
      </c>
    </row>
    <row r="618" ht="15.75" customHeight="1">
      <c r="A618" s="35" t="s">
        <v>1662</v>
      </c>
      <c r="B618" s="36">
        <v>168.55010179627064</v>
      </c>
      <c r="C618" s="36">
        <f>'Lista de Preço 02_2022'!$B618*0.9*0.9*0.9*0.9*0.9*0.97</f>
        <v>96.54133512</v>
      </c>
      <c r="D618" s="36">
        <f>'Lista de Preço 02_2022'!$C618*1.0325</f>
        <v>99.67892851</v>
      </c>
      <c r="E618" s="37">
        <v>3.25</v>
      </c>
      <c r="F618" s="38">
        <v>0.18</v>
      </c>
      <c r="G618" s="38" t="s">
        <v>22</v>
      </c>
      <c r="H618" s="39" t="s">
        <v>1432</v>
      </c>
      <c r="I618" s="40" t="s">
        <v>1663</v>
      </c>
      <c r="J618" s="63" t="s">
        <v>1438</v>
      </c>
      <c r="K618" s="42" t="s">
        <v>95</v>
      </c>
      <c r="L618" s="43" t="s">
        <v>1664</v>
      </c>
      <c r="M618" s="44">
        <v>8.5432E7</v>
      </c>
      <c r="N618" s="44" t="s">
        <v>920</v>
      </c>
      <c r="O618" s="45">
        <v>0.087</v>
      </c>
      <c r="P618" s="44">
        <v>7.899823510505E12</v>
      </c>
      <c r="Q618" s="44">
        <v>1.0</v>
      </c>
    </row>
    <row r="619" ht="15.75" customHeight="1">
      <c r="A619" s="50" t="s">
        <v>1665</v>
      </c>
      <c r="B619" s="36">
        <v>135.51936600000002</v>
      </c>
      <c r="C619" s="51">
        <f>'Lista de Preço 02_2022'!$B619*0.9*0.9*0.9*0.9*0.9*0.97</f>
        <v>77.62214552</v>
      </c>
      <c r="D619" s="36">
        <f>'Lista de Preço 02_2022'!$C619*1.0325</f>
        <v>80.14486525</v>
      </c>
      <c r="E619" s="52">
        <v>3.25</v>
      </c>
      <c r="F619" s="53">
        <v>0.18</v>
      </c>
      <c r="G619" s="53" t="s">
        <v>22</v>
      </c>
      <c r="H619" s="54" t="s">
        <v>1432</v>
      </c>
      <c r="I619" s="55" t="s">
        <v>1656</v>
      </c>
      <c r="J619" s="64" t="s">
        <v>1438</v>
      </c>
      <c r="K619" s="57" t="s">
        <v>95</v>
      </c>
      <c r="L619" s="58" t="s">
        <v>1666</v>
      </c>
      <c r="M619" s="59">
        <v>8.5432E7</v>
      </c>
      <c r="N619" s="59" t="s">
        <v>920</v>
      </c>
      <c r="O619" s="60">
        <v>0.107</v>
      </c>
      <c r="P619" s="59">
        <v>7.899823510055E12</v>
      </c>
      <c r="Q619" s="59">
        <v>1.0</v>
      </c>
    </row>
    <row r="620" ht="15.75" customHeight="1">
      <c r="A620" s="50" t="s">
        <v>1667</v>
      </c>
      <c r="B620" s="36">
        <v>163.739306</v>
      </c>
      <c r="C620" s="51">
        <f>'Lista de Preço 02_2022'!$B620*0.9*0.9*0.9*0.9*0.9*0.97</f>
        <v>93.78583012</v>
      </c>
      <c r="D620" s="36">
        <f>'Lista de Preço 02_2022'!$C620*1.0325</f>
        <v>96.83386959</v>
      </c>
      <c r="E620" s="52">
        <v>3.25</v>
      </c>
      <c r="F620" s="53">
        <v>0.18</v>
      </c>
      <c r="G620" s="53" t="s">
        <v>22</v>
      </c>
      <c r="H620" s="54" t="s">
        <v>1432</v>
      </c>
      <c r="I620" s="55" t="s">
        <v>1668</v>
      </c>
      <c r="J620" s="64" t="s">
        <v>1447</v>
      </c>
      <c r="K620" s="57" t="s">
        <v>26</v>
      </c>
      <c r="L620" s="58" t="s">
        <v>1669</v>
      </c>
      <c r="M620" s="59">
        <v>8.5432E7</v>
      </c>
      <c r="N620" s="59" t="s">
        <v>920</v>
      </c>
      <c r="O620" s="60">
        <v>0.213</v>
      </c>
      <c r="P620" s="59">
        <v>7.899823510062E12</v>
      </c>
      <c r="Q620" s="59">
        <v>1.0</v>
      </c>
    </row>
    <row r="621" ht="15.75" customHeight="1">
      <c r="A621" s="50" t="s">
        <v>1670</v>
      </c>
      <c r="B621" s="36">
        <v>155.24149700000004</v>
      </c>
      <c r="C621" s="51">
        <f>'Lista de Preço 02_2022'!$B621*0.9*0.9*0.9*0.9*0.9*0.97</f>
        <v>88.91849502</v>
      </c>
      <c r="D621" s="36">
        <f>'Lista de Preço 02_2022'!$C621*1.0325</f>
        <v>91.8083461</v>
      </c>
      <c r="E621" s="52">
        <v>3.25</v>
      </c>
      <c r="F621" s="53">
        <v>0.18</v>
      </c>
      <c r="G621" s="53" t="s">
        <v>22</v>
      </c>
      <c r="H621" s="54" t="s">
        <v>1432</v>
      </c>
      <c r="I621" s="55" t="s">
        <v>1671</v>
      </c>
      <c r="J621" s="64" t="s">
        <v>1438</v>
      </c>
      <c r="K621" s="57" t="s">
        <v>26</v>
      </c>
      <c r="L621" s="58" t="s">
        <v>1672</v>
      </c>
      <c r="M621" s="59">
        <v>8.5432E7</v>
      </c>
      <c r="N621" s="59" t="s">
        <v>920</v>
      </c>
      <c r="O621" s="60">
        <v>0.09</v>
      </c>
      <c r="P621" s="59">
        <v>7.899823510079E12</v>
      </c>
      <c r="Q621" s="59">
        <v>1.0</v>
      </c>
    </row>
    <row r="622" ht="15.75" customHeight="1">
      <c r="A622" s="35" t="s">
        <v>1673</v>
      </c>
      <c r="B622" s="36">
        <v>95.76710329333555</v>
      </c>
      <c r="C622" s="36">
        <f>'Lista de Preço 02_2022'!$B622*0.9*0.9*0.9*0.9*0.9*0.97</f>
        <v>54.85303132</v>
      </c>
      <c r="D622" s="36">
        <f>'Lista de Preço 02_2022'!$C622*1.0325</f>
        <v>56.63575484</v>
      </c>
      <c r="E622" s="37">
        <v>3.25</v>
      </c>
      <c r="F622" s="38">
        <v>0.18</v>
      </c>
      <c r="G622" s="38" t="s">
        <v>22</v>
      </c>
      <c r="H622" s="39" t="s">
        <v>1432</v>
      </c>
      <c r="I622" s="40" t="s">
        <v>1674</v>
      </c>
      <c r="J622" s="63" t="s">
        <v>1438</v>
      </c>
      <c r="K622" s="42" t="s">
        <v>26</v>
      </c>
      <c r="L622" s="43" t="s">
        <v>1675</v>
      </c>
      <c r="M622" s="44">
        <v>8.5432E7</v>
      </c>
      <c r="N622" s="44" t="s">
        <v>920</v>
      </c>
      <c r="O622" s="45">
        <v>0.017</v>
      </c>
      <c r="P622" s="44">
        <v>7.899823510512E12</v>
      </c>
      <c r="Q622" s="44">
        <v>1.0</v>
      </c>
    </row>
    <row r="623" ht="15.75" customHeight="1">
      <c r="A623" s="35" t="s">
        <v>1676</v>
      </c>
      <c r="B623" s="36">
        <v>79.94656075082732</v>
      </c>
      <c r="C623" s="36">
        <f>'Lista de Preço 02_2022'!$B623*0.9*0.9*0.9*0.9*0.9*0.97</f>
        <v>45.79141532</v>
      </c>
      <c r="D623" s="36">
        <f>'Lista de Preço 02_2022'!$C623*1.1627</f>
        <v>53.24167859</v>
      </c>
      <c r="E623" s="37">
        <v>2.6</v>
      </c>
      <c r="F623" s="38">
        <v>0.18</v>
      </c>
      <c r="G623" s="38" t="s">
        <v>37</v>
      </c>
      <c r="H623" s="39" t="s">
        <v>38</v>
      </c>
      <c r="I623" s="40" t="s">
        <v>985</v>
      </c>
      <c r="J623" s="41" t="s">
        <v>40</v>
      </c>
      <c r="K623" s="42" t="s">
        <v>303</v>
      </c>
      <c r="L623" s="43" t="s">
        <v>1677</v>
      </c>
      <c r="M623" s="42">
        <v>8.70893E7</v>
      </c>
      <c r="N623" s="44" t="s">
        <v>28</v>
      </c>
      <c r="O623" s="45">
        <v>0.86</v>
      </c>
      <c r="P623" s="44">
        <v>7.898233431929E12</v>
      </c>
      <c r="Q623" s="44">
        <v>1.0</v>
      </c>
    </row>
    <row r="624" ht="15.75" customHeight="1">
      <c r="A624" s="35" t="s">
        <v>1678</v>
      </c>
      <c r="B624" s="36">
        <v>137.90462874240322</v>
      </c>
      <c r="C624" s="36">
        <f>'Lista de Preço 02_2022'!$B624*0.9*0.9*0.9*0.9*0.9*0.97</f>
        <v>78.9883651</v>
      </c>
      <c r="D624" s="36">
        <f>'Lista de Preço 02_2022'!$C624*1.0325</f>
        <v>81.55548697</v>
      </c>
      <c r="E624" s="37">
        <v>3.25</v>
      </c>
      <c r="F624" s="38">
        <v>0.18</v>
      </c>
      <c r="G624" s="38" t="s">
        <v>22</v>
      </c>
      <c r="H624" s="39" t="s">
        <v>1432</v>
      </c>
      <c r="I624" s="40" t="s">
        <v>1679</v>
      </c>
      <c r="J624" s="63" t="s">
        <v>1526</v>
      </c>
      <c r="K624" s="42" t="s">
        <v>26</v>
      </c>
      <c r="L624" s="43" t="s">
        <v>1680</v>
      </c>
      <c r="M624" s="44">
        <v>8.5432E7</v>
      </c>
      <c r="N624" s="44" t="s">
        <v>920</v>
      </c>
      <c r="O624" s="45">
        <v>0.132</v>
      </c>
      <c r="P624" s="44">
        <v>7.899823510529E12</v>
      </c>
      <c r="Q624" s="44">
        <v>1.0</v>
      </c>
    </row>
    <row r="625" ht="15.75" customHeight="1">
      <c r="A625" s="35" t="s">
        <v>1681</v>
      </c>
      <c r="B625" s="36">
        <v>137.90462874240322</v>
      </c>
      <c r="C625" s="36">
        <f>'Lista de Preço 02_2022'!$B625*0.9*0.9*0.9*0.9*0.9*0.97</f>
        <v>78.9883651</v>
      </c>
      <c r="D625" s="36">
        <f>'Lista de Preço 02_2022'!$C625*1.0325</f>
        <v>81.55548697</v>
      </c>
      <c r="E625" s="37">
        <v>3.25</v>
      </c>
      <c r="F625" s="38">
        <v>0.18</v>
      </c>
      <c r="G625" s="38" t="s">
        <v>22</v>
      </c>
      <c r="H625" s="39" t="s">
        <v>1432</v>
      </c>
      <c r="I625" s="40" t="s">
        <v>1679</v>
      </c>
      <c r="J625" s="63" t="s">
        <v>1526</v>
      </c>
      <c r="K625" s="42" t="s">
        <v>26</v>
      </c>
      <c r="L625" s="43" t="s">
        <v>1682</v>
      </c>
      <c r="M625" s="44">
        <v>8.5432E7</v>
      </c>
      <c r="N625" s="44" t="s">
        <v>920</v>
      </c>
      <c r="O625" s="45">
        <v>0.115</v>
      </c>
      <c r="P625" s="44">
        <v>7.899823510536E12</v>
      </c>
      <c r="Q625" s="44">
        <v>1.0</v>
      </c>
    </row>
    <row r="626" ht="15.75" customHeight="1">
      <c r="A626" s="35" t="s">
        <v>1683</v>
      </c>
      <c r="B626" s="36">
        <v>137.90462874240322</v>
      </c>
      <c r="C626" s="36">
        <f>'Lista de Preço 02_2022'!$B626*0.9*0.9*0.9*0.9*0.9*0.97</f>
        <v>78.9883651</v>
      </c>
      <c r="D626" s="36">
        <f>'Lista de Preço 02_2022'!$C626*1.0325</f>
        <v>81.55548697</v>
      </c>
      <c r="E626" s="37">
        <v>3.25</v>
      </c>
      <c r="F626" s="38">
        <v>0.18</v>
      </c>
      <c r="G626" s="38" t="s">
        <v>22</v>
      </c>
      <c r="H626" s="39" t="s">
        <v>1432</v>
      </c>
      <c r="I626" s="40" t="s">
        <v>1679</v>
      </c>
      <c r="J626" s="63" t="s">
        <v>1526</v>
      </c>
      <c r="K626" s="42" t="s">
        <v>26</v>
      </c>
      <c r="L626" s="43" t="s">
        <v>1684</v>
      </c>
      <c r="M626" s="44">
        <v>8.5432E7</v>
      </c>
      <c r="N626" s="44" t="s">
        <v>920</v>
      </c>
      <c r="O626" s="45">
        <v>0.124</v>
      </c>
      <c r="P626" s="44">
        <v>7.899823510543E12</v>
      </c>
      <c r="Q626" s="44">
        <v>1.0</v>
      </c>
    </row>
    <row r="627" ht="15.75" customHeight="1">
      <c r="A627" s="35" t="s">
        <v>1685</v>
      </c>
      <c r="B627" s="36">
        <v>306.4547305386738</v>
      </c>
      <c r="C627" s="36">
        <f>'Lista de Preço 02_2022'!$B627*0.9*0.9*0.9*0.9*0.9*0.97</f>
        <v>175.5297002</v>
      </c>
      <c r="D627" s="36">
        <f>'Lista de Preço 02_2022'!$C627*1.0325</f>
        <v>181.2344155</v>
      </c>
      <c r="E627" s="37">
        <v>3.25</v>
      </c>
      <c r="F627" s="38">
        <v>0.18</v>
      </c>
      <c r="G627" s="38" t="s">
        <v>22</v>
      </c>
      <c r="H627" s="39" t="s">
        <v>1432</v>
      </c>
      <c r="I627" s="40" t="s">
        <v>1686</v>
      </c>
      <c r="J627" s="63" t="s">
        <v>1434</v>
      </c>
      <c r="K627" s="42" t="s">
        <v>26</v>
      </c>
      <c r="L627" s="43" t="s">
        <v>1687</v>
      </c>
      <c r="M627" s="44">
        <v>8.5432E7</v>
      </c>
      <c r="N627" s="44" t="s">
        <v>920</v>
      </c>
      <c r="O627" s="45">
        <v>0.232</v>
      </c>
      <c r="P627" s="44">
        <v>7.89982351055E12</v>
      </c>
      <c r="Q627" s="44">
        <v>1.0</v>
      </c>
    </row>
    <row r="628" ht="15.75" customHeight="1">
      <c r="A628" s="35" t="s">
        <v>1688</v>
      </c>
      <c r="B628" s="36">
        <v>306.4547305386738</v>
      </c>
      <c r="C628" s="36">
        <f>'Lista de Preço 02_2022'!$B628*0.9*0.9*0.9*0.9*0.9*0.97</f>
        <v>175.5297002</v>
      </c>
      <c r="D628" s="36">
        <f>'Lista de Preço 02_2022'!$C628*1.0325</f>
        <v>181.2344155</v>
      </c>
      <c r="E628" s="37">
        <v>3.25</v>
      </c>
      <c r="F628" s="38">
        <v>0.18</v>
      </c>
      <c r="G628" s="38" t="s">
        <v>22</v>
      </c>
      <c r="H628" s="39" t="s">
        <v>1432</v>
      </c>
      <c r="I628" s="40" t="s">
        <v>1686</v>
      </c>
      <c r="J628" s="63" t="s">
        <v>1434</v>
      </c>
      <c r="K628" s="42" t="s">
        <v>26</v>
      </c>
      <c r="L628" s="43" t="s">
        <v>1689</v>
      </c>
      <c r="M628" s="44">
        <v>8.5432E7</v>
      </c>
      <c r="N628" s="44" t="s">
        <v>920</v>
      </c>
      <c r="O628" s="45">
        <v>0.23</v>
      </c>
      <c r="P628" s="44">
        <v>7.899823510567E12</v>
      </c>
      <c r="Q628" s="44">
        <v>1.0</v>
      </c>
    </row>
    <row r="629" ht="15.75" customHeight="1">
      <c r="A629" s="35" t="s">
        <v>1690</v>
      </c>
      <c r="B629" s="36">
        <v>245.1637844309391</v>
      </c>
      <c r="C629" s="36">
        <f>'Lista de Preço 02_2022'!$B629*0.9*0.9*0.9*0.9*0.9*0.97</f>
        <v>140.4237602</v>
      </c>
      <c r="D629" s="36">
        <f>'Lista de Preço 02_2022'!$C629*1.0325</f>
        <v>144.9875324</v>
      </c>
      <c r="E629" s="37">
        <v>3.25</v>
      </c>
      <c r="F629" s="38">
        <v>0.18</v>
      </c>
      <c r="G629" s="38" t="s">
        <v>22</v>
      </c>
      <c r="H629" s="39" t="s">
        <v>1432</v>
      </c>
      <c r="I629" s="40" t="s">
        <v>1686</v>
      </c>
      <c r="J629" s="63" t="s">
        <v>1434</v>
      </c>
      <c r="K629" s="42" t="s">
        <v>26</v>
      </c>
      <c r="L629" s="43" t="s">
        <v>1691</v>
      </c>
      <c r="M629" s="44">
        <v>8.5432E7</v>
      </c>
      <c r="N629" s="44" t="s">
        <v>920</v>
      </c>
      <c r="O629" s="45">
        <v>0.09</v>
      </c>
      <c r="P629" s="44">
        <v>7.899823510574E12</v>
      </c>
      <c r="Q629" s="44">
        <v>1.0</v>
      </c>
    </row>
    <row r="630" ht="15.75" customHeight="1">
      <c r="A630" s="35" t="s">
        <v>1692</v>
      </c>
      <c r="B630" s="36">
        <v>245.1637844309391</v>
      </c>
      <c r="C630" s="36">
        <f>'Lista de Preço 02_2022'!$B630*0.9*0.9*0.9*0.9*0.9*0.97</f>
        <v>140.4237602</v>
      </c>
      <c r="D630" s="36">
        <f>'Lista de Preço 02_2022'!$C630*1.0325</f>
        <v>144.9875324</v>
      </c>
      <c r="E630" s="37">
        <v>3.25</v>
      </c>
      <c r="F630" s="38">
        <v>0.18</v>
      </c>
      <c r="G630" s="38" t="s">
        <v>22</v>
      </c>
      <c r="H630" s="39" t="s">
        <v>1432</v>
      </c>
      <c r="I630" s="40" t="s">
        <v>1686</v>
      </c>
      <c r="J630" s="63" t="s">
        <v>1434</v>
      </c>
      <c r="K630" s="42" t="s">
        <v>26</v>
      </c>
      <c r="L630" s="43" t="s">
        <v>1693</v>
      </c>
      <c r="M630" s="44">
        <v>8.5432E7</v>
      </c>
      <c r="N630" s="44" t="s">
        <v>920</v>
      </c>
      <c r="O630" s="45">
        <v>0.084</v>
      </c>
      <c r="P630" s="44">
        <v>7.899823510581E12</v>
      </c>
      <c r="Q630" s="44">
        <v>1.0</v>
      </c>
    </row>
    <row r="631" ht="15.75" customHeight="1">
      <c r="A631" s="35" t="s">
        <v>1694</v>
      </c>
      <c r="B631" s="36">
        <v>100.23150900103722</v>
      </c>
      <c r="C631" s="36">
        <f>'Lista de Preço 02_2022'!$B631*0.9*0.9*0.9*0.9*0.9*0.97</f>
        <v>57.41013264</v>
      </c>
      <c r="D631" s="36">
        <f>'Lista de Preço 02_2022'!$C631*1.1627</f>
        <v>66.75076122</v>
      </c>
      <c r="E631" s="37">
        <v>2.6</v>
      </c>
      <c r="F631" s="38">
        <v>0.18</v>
      </c>
      <c r="G631" s="38" t="s">
        <v>37</v>
      </c>
      <c r="H631" s="39" t="s">
        <v>38</v>
      </c>
      <c r="I631" s="40" t="s">
        <v>1310</v>
      </c>
      <c r="J631" s="41" t="s">
        <v>40</v>
      </c>
      <c r="K631" s="42" t="s">
        <v>303</v>
      </c>
      <c r="L631" s="43" t="s">
        <v>1695</v>
      </c>
      <c r="M631" s="42">
        <v>8.70893E7</v>
      </c>
      <c r="N631" s="44" t="s">
        <v>28</v>
      </c>
      <c r="O631" s="45">
        <v>0.86</v>
      </c>
      <c r="P631" s="44">
        <v>7.898233431936E12</v>
      </c>
      <c r="Q631" s="44">
        <v>1.0</v>
      </c>
    </row>
    <row r="632" ht="15.75" customHeight="1">
      <c r="A632" s="50" t="s">
        <v>1696</v>
      </c>
      <c r="B632" s="36">
        <v>132.676154</v>
      </c>
      <c r="C632" s="51">
        <f>'Lista de Preço 02_2022'!$B632*0.9*0.9*0.9*0.9*0.9*0.97</f>
        <v>75.99362391</v>
      </c>
      <c r="D632" s="36">
        <f>'Lista de Preço 02_2022'!$C632*1.0325</f>
        <v>78.46341669</v>
      </c>
      <c r="E632" s="52">
        <v>3.25</v>
      </c>
      <c r="F632" s="53">
        <v>0.18</v>
      </c>
      <c r="G632" s="53" t="s">
        <v>22</v>
      </c>
      <c r="H632" s="54" t="s">
        <v>1432</v>
      </c>
      <c r="I632" s="55" t="s">
        <v>1697</v>
      </c>
      <c r="J632" s="64" t="s">
        <v>1438</v>
      </c>
      <c r="K632" s="57" t="s">
        <v>26</v>
      </c>
      <c r="L632" s="58" t="s">
        <v>1698</v>
      </c>
      <c r="M632" s="59">
        <v>8.5432E7</v>
      </c>
      <c r="N632" s="59" t="s">
        <v>920</v>
      </c>
      <c r="O632" s="60">
        <v>0.084</v>
      </c>
      <c r="P632" s="59">
        <v>7.899823510086E12</v>
      </c>
      <c r="Q632" s="59">
        <v>1.0</v>
      </c>
    </row>
    <row r="633" ht="15.75" customHeight="1">
      <c r="A633" s="50" t="s">
        <v>1699</v>
      </c>
      <c r="B633" s="36">
        <v>172.205288</v>
      </c>
      <c r="C633" s="51">
        <f>'Lista de Preço 02_2022'!$B633*0.9*0.9*0.9*0.9*0.9*0.97</f>
        <v>98.6349355</v>
      </c>
      <c r="D633" s="36">
        <f>'Lista de Preço 02_2022'!$C633*1.0325</f>
        <v>101.8405709</v>
      </c>
      <c r="E633" s="52">
        <v>3.25</v>
      </c>
      <c r="F633" s="53">
        <v>0.18</v>
      </c>
      <c r="G633" s="53" t="s">
        <v>22</v>
      </c>
      <c r="H633" s="54" t="s">
        <v>1432</v>
      </c>
      <c r="I633" s="55" t="s">
        <v>1700</v>
      </c>
      <c r="J633" s="64" t="s">
        <v>1438</v>
      </c>
      <c r="K633" s="57" t="s">
        <v>26</v>
      </c>
      <c r="L633" s="58" t="s">
        <v>1701</v>
      </c>
      <c r="M633" s="59">
        <v>8.5432E7</v>
      </c>
      <c r="N633" s="59" t="s">
        <v>920</v>
      </c>
      <c r="O633" s="60">
        <v>0.201</v>
      </c>
      <c r="P633" s="59">
        <v>7.899823511212E12</v>
      </c>
      <c r="Q633" s="59">
        <v>1.0</v>
      </c>
    </row>
    <row r="634" ht="15.75" customHeight="1">
      <c r="A634" s="50" t="s">
        <v>1702</v>
      </c>
      <c r="B634" s="36">
        <v>172.205288</v>
      </c>
      <c r="C634" s="51">
        <f>'Lista de Preço 02_2022'!$B634*0.9*0.9*0.9*0.9*0.9*0.97</f>
        <v>98.6349355</v>
      </c>
      <c r="D634" s="36">
        <f>'Lista de Preço 02_2022'!$C634*1.0325</f>
        <v>101.8405709</v>
      </c>
      <c r="E634" s="52">
        <v>3.25</v>
      </c>
      <c r="F634" s="53">
        <v>0.18</v>
      </c>
      <c r="G634" s="53" t="s">
        <v>22</v>
      </c>
      <c r="H634" s="54" t="s">
        <v>1432</v>
      </c>
      <c r="I634" s="55" t="s">
        <v>1700</v>
      </c>
      <c r="J634" s="64" t="s">
        <v>1438</v>
      </c>
      <c r="K634" s="57" t="s">
        <v>26</v>
      </c>
      <c r="L634" s="58" t="s">
        <v>1701</v>
      </c>
      <c r="M634" s="59">
        <v>8.5432E7</v>
      </c>
      <c r="N634" s="59" t="s">
        <v>920</v>
      </c>
      <c r="O634" s="60">
        <v>0.197</v>
      </c>
      <c r="P634" s="59">
        <v>7.899823511212E12</v>
      </c>
      <c r="Q634" s="59">
        <v>1.0</v>
      </c>
    </row>
    <row r="635" ht="15.75" customHeight="1">
      <c r="A635" s="50" t="s">
        <v>1703</v>
      </c>
      <c r="B635" s="36">
        <v>172.205288</v>
      </c>
      <c r="C635" s="51">
        <f>'Lista de Preço 02_2022'!$B635*0.9*0.9*0.9*0.9*0.9*0.97</f>
        <v>98.6349355</v>
      </c>
      <c r="D635" s="36">
        <f>'Lista de Preço 02_2022'!$C635*1.0325</f>
        <v>101.8405709</v>
      </c>
      <c r="E635" s="52">
        <v>3.25</v>
      </c>
      <c r="F635" s="53">
        <v>0.18</v>
      </c>
      <c r="G635" s="53" t="s">
        <v>22</v>
      </c>
      <c r="H635" s="54" t="s">
        <v>1432</v>
      </c>
      <c r="I635" s="55" t="s">
        <v>1704</v>
      </c>
      <c r="J635" s="64" t="s">
        <v>1438</v>
      </c>
      <c r="K635" s="57" t="s">
        <v>26</v>
      </c>
      <c r="L635" s="58" t="s">
        <v>1705</v>
      </c>
      <c r="M635" s="59">
        <v>8.5432E7</v>
      </c>
      <c r="N635" s="59" t="s">
        <v>920</v>
      </c>
      <c r="O635" s="60">
        <v>0.125</v>
      </c>
      <c r="P635" s="59">
        <v>7.899823510093E12</v>
      </c>
      <c r="Q635" s="59">
        <v>1.0</v>
      </c>
    </row>
    <row r="636" ht="15.75" customHeight="1">
      <c r="A636" s="50" t="s">
        <v>1706</v>
      </c>
      <c r="B636" s="36">
        <v>172.205288</v>
      </c>
      <c r="C636" s="51">
        <f>'Lista de Preço 02_2022'!$B636*0.9*0.9*0.9*0.9*0.9*0.97</f>
        <v>98.6349355</v>
      </c>
      <c r="D636" s="36">
        <f>'Lista de Preço 02_2022'!$C636*1.0325</f>
        <v>101.8405709</v>
      </c>
      <c r="E636" s="52">
        <v>3.25</v>
      </c>
      <c r="F636" s="53">
        <v>0.18</v>
      </c>
      <c r="G636" s="53" t="s">
        <v>22</v>
      </c>
      <c r="H636" s="54" t="s">
        <v>1432</v>
      </c>
      <c r="I636" s="55" t="s">
        <v>1704</v>
      </c>
      <c r="J636" s="64" t="s">
        <v>1438</v>
      </c>
      <c r="K636" s="57" t="s">
        <v>26</v>
      </c>
      <c r="L636" s="58" t="s">
        <v>1707</v>
      </c>
      <c r="M636" s="59">
        <v>8.5432E7</v>
      </c>
      <c r="N636" s="59" t="s">
        <v>920</v>
      </c>
      <c r="O636" s="60">
        <v>0.127</v>
      </c>
      <c r="P636" s="59">
        <v>7.899823510109E12</v>
      </c>
      <c r="Q636" s="59">
        <v>1.0</v>
      </c>
    </row>
    <row r="637" ht="15.75" customHeight="1">
      <c r="A637" s="50" t="s">
        <v>1708</v>
      </c>
      <c r="B637" s="36">
        <v>423.46884400000005</v>
      </c>
      <c r="C637" s="51">
        <f>'Lista de Preço 02_2022'!$B637*0.9*0.9*0.9*0.9*0.9*0.97</f>
        <v>242.5524942</v>
      </c>
      <c r="D637" s="36">
        <f>'Lista de Preço 02_2022'!$C637*1.0325</f>
        <v>250.4354502</v>
      </c>
      <c r="E637" s="52">
        <v>3.25</v>
      </c>
      <c r="F637" s="53">
        <v>0.18</v>
      </c>
      <c r="G637" s="53" t="s">
        <v>22</v>
      </c>
      <c r="H637" s="54" t="s">
        <v>1432</v>
      </c>
      <c r="I637" s="55" t="s">
        <v>1709</v>
      </c>
      <c r="J637" s="64" t="s">
        <v>1438</v>
      </c>
      <c r="K637" s="57" t="s">
        <v>26</v>
      </c>
      <c r="L637" s="58" t="s">
        <v>1710</v>
      </c>
      <c r="M637" s="59">
        <v>8.5432E7</v>
      </c>
      <c r="N637" s="59" t="s">
        <v>920</v>
      </c>
      <c r="O637" s="60">
        <v>0.3</v>
      </c>
      <c r="P637" s="59">
        <v>7.899823510116E12</v>
      </c>
      <c r="Q637" s="59">
        <v>1.0</v>
      </c>
    </row>
    <row r="638" ht="15.75" customHeight="1">
      <c r="A638" s="35" t="s">
        <v>1711</v>
      </c>
      <c r="B638" s="36">
        <v>69.19650546029222</v>
      </c>
      <c r="C638" s="36">
        <f>'Lista de Preço 02_2022'!$B638*0.9*0.9*0.9*0.9*0.9*0.97</f>
        <v>39.63404917</v>
      </c>
      <c r="D638" s="36">
        <f>'Lista de Preço 02_2022'!$C638*1.1627</f>
        <v>46.08250897</v>
      </c>
      <c r="E638" s="37">
        <v>2.6</v>
      </c>
      <c r="F638" s="38">
        <v>0.18</v>
      </c>
      <c r="G638" s="38" t="s">
        <v>37</v>
      </c>
      <c r="H638" s="39" t="s">
        <v>38</v>
      </c>
      <c r="I638" s="40" t="s">
        <v>1712</v>
      </c>
      <c r="J638" s="41" t="s">
        <v>40</v>
      </c>
      <c r="K638" s="42" t="s">
        <v>303</v>
      </c>
      <c r="L638" s="43" t="s">
        <v>1713</v>
      </c>
      <c r="M638" s="42">
        <v>8.70893E7</v>
      </c>
      <c r="N638" s="44" t="s">
        <v>28</v>
      </c>
      <c r="O638" s="45">
        <v>0.85</v>
      </c>
      <c r="P638" s="44">
        <v>7.898233431943E12</v>
      </c>
      <c r="Q638" s="44">
        <v>1.0</v>
      </c>
    </row>
    <row r="639" ht="15.75" customHeight="1">
      <c r="A639" s="50" t="s">
        <v>1714</v>
      </c>
      <c r="B639" s="36">
        <v>132.676154</v>
      </c>
      <c r="C639" s="51">
        <f>'Lista de Preço 02_2022'!$B639*0.9*0.9*0.9*0.9*0.9*0.97</f>
        <v>75.99362391</v>
      </c>
      <c r="D639" s="36">
        <f>'Lista de Preço 02_2022'!$C639*1.0325</f>
        <v>78.46341669</v>
      </c>
      <c r="E639" s="52">
        <v>3.25</v>
      </c>
      <c r="F639" s="53">
        <v>0.18</v>
      </c>
      <c r="G639" s="53" t="s">
        <v>22</v>
      </c>
      <c r="H639" s="54" t="s">
        <v>1432</v>
      </c>
      <c r="I639" s="55" t="s">
        <v>1715</v>
      </c>
      <c r="J639" s="64" t="s">
        <v>1438</v>
      </c>
      <c r="K639" s="57" t="s">
        <v>26</v>
      </c>
      <c r="L639" s="58" t="s">
        <v>1716</v>
      </c>
      <c r="M639" s="59">
        <v>8.5432E7</v>
      </c>
      <c r="N639" s="59" t="s">
        <v>920</v>
      </c>
      <c r="O639" s="60">
        <v>0.088</v>
      </c>
      <c r="P639" s="59">
        <v>7.899823510123E12</v>
      </c>
      <c r="Q639" s="59">
        <v>1.0</v>
      </c>
    </row>
    <row r="640" ht="15.75" customHeight="1">
      <c r="A640" s="50" t="s">
        <v>1717</v>
      </c>
      <c r="B640" s="36">
        <v>146.78612400000003</v>
      </c>
      <c r="C640" s="51">
        <f>'Lista de Preço 02_2022'!$B640*0.9*0.9*0.9*0.9*0.9*0.97</f>
        <v>84.07546621</v>
      </c>
      <c r="D640" s="36">
        <f>'Lista de Preço 02_2022'!$C640*1.0325</f>
        <v>86.80791886</v>
      </c>
      <c r="E640" s="52">
        <v>3.25</v>
      </c>
      <c r="F640" s="53">
        <v>0.18</v>
      </c>
      <c r="G640" s="53" t="s">
        <v>22</v>
      </c>
      <c r="H640" s="54" t="s">
        <v>1432</v>
      </c>
      <c r="I640" s="55" t="s">
        <v>1718</v>
      </c>
      <c r="J640" s="64" t="s">
        <v>1438</v>
      </c>
      <c r="K640" s="57" t="s">
        <v>68</v>
      </c>
      <c r="L640" s="58" t="s">
        <v>501</v>
      </c>
      <c r="M640" s="59">
        <v>8.5432E7</v>
      </c>
      <c r="N640" s="59" t="s">
        <v>920</v>
      </c>
      <c r="O640" s="60">
        <v>0.072</v>
      </c>
      <c r="P640" s="59">
        <v>7.89982351013E12</v>
      </c>
      <c r="Q640" s="59">
        <v>1.0</v>
      </c>
    </row>
    <row r="641" ht="15.75" customHeight="1">
      <c r="A641" s="35" t="s">
        <v>1719</v>
      </c>
      <c r="B641" s="36">
        <v>206.71315214458775</v>
      </c>
      <c r="C641" s="36">
        <f>'Lista de Preço 02_2022'!$B641*0.9*0.9*0.9*0.9*0.9*0.97</f>
        <v>118.4001877</v>
      </c>
      <c r="D641" s="36">
        <f>'Lista de Preço 02_2022'!$C641*1.1712</f>
        <v>138.6702999</v>
      </c>
      <c r="E641" s="37">
        <v>3.25</v>
      </c>
      <c r="F641" s="38">
        <v>0.18</v>
      </c>
      <c r="G641" s="38" t="s">
        <v>37</v>
      </c>
      <c r="H641" s="39" t="s">
        <v>919</v>
      </c>
      <c r="I641" s="40" t="s">
        <v>894</v>
      </c>
      <c r="J641" s="41" t="s">
        <v>40</v>
      </c>
      <c r="K641" s="42" t="s">
        <v>303</v>
      </c>
      <c r="L641" s="43">
        <v>3.023500421E9</v>
      </c>
      <c r="M641" s="42">
        <v>8.7085099E7</v>
      </c>
      <c r="N641" s="44" t="s">
        <v>28</v>
      </c>
      <c r="O641" s="45">
        <v>2.294</v>
      </c>
      <c r="P641" s="44">
        <v>7.89823343195E12</v>
      </c>
      <c r="Q641" s="44">
        <v>1.0</v>
      </c>
    </row>
    <row r="642" ht="15.75" customHeight="1">
      <c r="A642" s="50" t="s">
        <v>1720</v>
      </c>
      <c r="B642" s="36">
        <v>143.97473900000003</v>
      </c>
      <c r="C642" s="51">
        <f>'Lista de Preço 02_2022'!$B642*0.9*0.9*0.9*0.9*0.9*0.97</f>
        <v>82.46517432</v>
      </c>
      <c r="D642" s="36">
        <f>'Lista de Preço 02_2022'!$C642*1.0325</f>
        <v>85.14529249</v>
      </c>
      <c r="E642" s="52">
        <v>3.25</v>
      </c>
      <c r="F642" s="53">
        <v>0.18</v>
      </c>
      <c r="G642" s="53" t="s">
        <v>22</v>
      </c>
      <c r="H642" s="54" t="s">
        <v>1432</v>
      </c>
      <c r="I642" s="55" t="s">
        <v>1721</v>
      </c>
      <c r="J642" s="64" t="s">
        <v>1438</v>
      </c>
      <c r="K642" s="57" t="s">
        <v>68</v>
      </c>
      <c r="L642" s="58" t="s">
        <v>1722</v>
      </c>
      <c r="M642" s="59">
        <v>8.5432E7</v>
      </c>
      <c r="N642" s="59" t="s">
        <v>920</v>
      </c>
      <c r="O642" s="60">
        <v>0.087</v>
      </c>
      <c r="P642" s="59">
        <v>7.899823510147E12</v>
      </c>
      <c r="Q642" s="59">
        <v>1.0</v>
      </c>
    </row>
    <row r="643" ht="15.75" customHeight="1">
      <c r="A643" s="50" t="s">
        <v>1723</v>
      </c>
      <c r="B643" s="36">
        <v>143.97473900000003</v>
      </c>
      <c r="C643" s="51">
        <f>'Lista de Preço 02_2022'!$B643*0.9*0.9*0.9*0.9*0.9*0.97</f>
        <v>82.46517432</v>
      </c>
      <c r="D643" s="36">
        <f>'Lista de Preço 02_2022'!$C643*1.0325</f>
        <v>85.14529249</v>
      </c>
      <c r="E643" s="52">
        <v>3.25</v>
      </c>
      <c r="F643" s="53">
        <v>0.18</v>
      </c>
      <c r="G643" s="53" t="s">
        <v>22</v>
      </c>
      <c r="H643" s="54" t="s">
        <v>1432</v>
      </c>
      <c r="I643" s="55" t="s">
        <v>1721</v>
      </c>
      <c r="J643" s="64" t="s">
        <v>1438</v>
      </c>
      <c r="K643" s="57" t="s">
        <v>68</v>
      </c>
      <c r="L643" s="58" t="s">
        <v>1724</v>
      </c>
      <c r="M643" s="59">
        <v>8.5432E7</v>
      </c>
      <c r="N643" s="59" t="s">
        <v>920</v>
      </c>
      <c r="O643" s="60">
        <v>0.088</v>
      </c>
      <c r="P643" s="59">
        <v>7.899823510154E12</v>
      </c>
      <c r="Q643" s="59">
        <v>1.0</v>
      </c>
    </row>
    <row r="644" ht="15.75" customHeight="1">
      <c r="A644" s="50" t="s">
        <v>1725</v>
      </c>
      <c r="B644" s="36">
        <v>299.25</v>
      </c>
      <c r="C644" s="51">
        <f>'Lista de Preço 02_2022'!$B644*0.9*0.9*0.9*0.9*0.9*0.97</f>
        <v>171.4030085</v>
      </c>
      <c r="D644" s="36">
        <f>'Lista de Preço 02_2022'!$C644*1.0325</f>
        <v>176.9736063</v>
      </c>
      <c r="E644" s="52">
        <v>3.25</v>
      </c>
      <c r="F644" s="53">
        <v>0.18</v>
      </c>
      <c r="G644" s="53" t="s">
        <v>22</v>
      </c>
      <c r="H644" s="54" t="s">
        <v>1432</v>
      </c>
      <c r="I644" s="55" t="s">
        <v>1726</v>
      </c>
      <c r="J644" s="64" t="s">
        <v>1434</v>
      </c>
      <c r="K644" s="57" t="s">
        <v>68</v>
      </c>
      <c r="L644" s="58" t="s">
        <v>1727</v>
      </c>
      <c r="M644" s="59">
        <v>8.5432E7</v>
      </c>
      <c r="N644" s="59" t="s">
        <v>920</v>
      </c>
      <c r="O644" s="60">
        <v>0.345</v>
      </c>
      <c r="P644" s="59">
        <v>7.899823511601E12</v>
      </c>
      <c r="Q644" s="59">
        <v>1.0</v>
      </c>
    </row>
    <row r="645" ht="15.75" customHeight="1">
      <c r="A645" s="50" t="s">
        <v>1728</v>
      </c>
      <c r="B645" s="36">
        <v>143.97473900000003</v>
      </c>
      <c r="C645" s="51">
        <f>'Lista de Preço 02_2022'!$B645*0.9*0.9*0.9*0.9*0.9*0.97</f>
        <v>82.46517432</v>
      </c>
      <c r="D645" s="36">
        <f>'Lista de Preço 02_2022'!$C645*1.0325</f>
        <v>85.14529249</v>
      </c>
      <c r="E645" s="52">
        <v>3.25</v>
      </c>
      <c r="F645" s="53">
        <v>0.18</v>
      </c>
      <c r="G645" s="53" t="s">
        <v>22</v>
      </c>
      <c r="H645" s="54" t="s">
        <v>1432</v>
      </c>
      <c r="I645" s="55" t="s">
        <v>1729</v>
      </c>
      <c r="J645" s="64" t="s">
        <v>1438</v>
      </c>
      <c r="K645" s="57" t="s">
        <v>68</v>
      </c>
      <c r="L645" s="58" t="s">
        <v>1730</v>
      </c>
      <c r="M645" s="59">
        <v>8.5432E7</v>
      </c>
      <c r="N645" s="59" t="s">
        <v>920</v>
      </c>
      <c r="O645" s="60">
        <v>0.087</v>
      </c>
      <c r="P645" s="59">
        <v>7.899823510161E12</v>
      </c>
      <c r="Q645" s="59">
        <v>1.0</v>
      </c>
    </row>
    <row r="646" ht="15.75" customHeight="1">
      <c r="A646" s="35" t="s">
        <v>1731</v>
      </c>
      <c r="B646" s="36">
        <v>164.26739624883956</v>
      </c>
      <c r="C646" s="36">
        <f>'Lista de Preço 02_2022'!$B646*0.9*0.9*0.9*0.9*0.9*0.97</f>
        <v>94.08830717</v>
      </c>
      <c r="D646" s="36">
        <f>'Lista de Preço 02_2022'!$C646*1.1712</f>
        <v>110.1962254</v>
      </c>
      <c r="E646" s="37">
        <v>3.25</v>
      </c>
      <c r="F646" s="38">
        <v>0.18</v>
      </c>
      <c r="G646" s="38" t="s">
        <v>37</v>
      </c>
      <c r="H646" s="39" t="s">
        <v>919</v>
      </c>
      <c r="I646" s="40" t="s">
        <v>1732</v>
      </c>
      <c r="J646" s="41" t="s">
        <v>40</v>
      </c>
      <c r="K646" s="42" t="s">
        <v>303</v>
      </c>
      <c r="L646" s="43">
        <v>3.223500421E9</v>
      </c>
      <c r="M646" s="42">
        <v>8.7085099E7</v>
      </c>
      <c r="N646" s="44" t="s">
        <v>28</v>
      </c>
      <c r="O646" s="45">
        <v>1.686</v>
      </c>
      <c r="P646" s="44">
        <v>7.898233431967E12</v>
      </c>
      <c r="Q646" s="44">
        <v>1.0</v>
      </c>
    </row>
    <row r="647" ht="15.75" customHeight="1">
      <c r="A647" s="35" t="s">
        <v>1733</v>
      </c>
      <c r="B647" s="36">
        <v>552.3683860456033</v>
      </c>
      <c r="C647" s="36">
        <f>'Lista de Preço 02_2022'!$B647*0.9*0.9*0.9*0.9*0.9*0.97</f>
        <v>316.382968</v>
      </c>
      <c r="D647" s="36">
        <f>'Lista de Preço 02_2022'!$C647*1.1712</f>
        <v>370.5477322</v>
      </c>
      <c r="E647" s="37">
        <v>3.25</v>
      </c>
      <c r="F647" s="38">
        <v>0.18</v>
      </c>
      <c r="G647" s="38" t="s">
        <v>22</v>
      </c>
      <c r="H647" s="39" t="s">
        <v>23</v>
      </c>
      <c r="I647" s="40" t="s">
        <v>1734</v>
      </c>
      <c r="J647" s="41" t="s">
        <v>500</v>
      </c>
      <c r="K647" s="42" t="s">
        <v>68</v>
      </c>
      <c r="L647" s="43" t="s">
        <v>1735</v>
      </c>
      <c r="M647" s="44">
        <v>8.708999E7</v>
      </c>
      <c r="N647" s="44" t="s">
        <v>28</v>
      </c>
      <c r="O647" s="45">
        <v>6.16</v>
      </c>
      <c r="P647" s="44">
        <v>7.899823507093E12</v>
      </c>
      <c r="Q647" s="44">
        <v>1.0</v>
      </c>
    </row>
    <row r="648" ht="15.75" customHeight="1">
      <c r="A648" s="50" t="s">
        <v>1736</v>
      </c>
      <c r="B648" s="36">
        <v>901.5122578146252</v>
      </c>
      <c r="C648" s="51">
        <f>'Lista de Preço 02_2022'!$B648*0.9*0.9*0.9*0.9*0.9*0.97</f>
        <v>516.3639539</v>
      </c>
      <c r="D648" s="36">
        <f>'Lista de Preço 02_2022'!$C648*1.1712</f>
        <v>604.7654628</v>
      </c>
      <c r="E648" s="52">
        <v>3.25</v>
      </c>
      <c r="F648" s="53">
        <v>0.18</v>
      </c>
      <c r="G648" s="53" t="s">
        <v>22</v>
      </c>
      <c r="H648" s="54" t="s">
        <v>23</v>
      </c>
      <c r="I648" s="55" t="s">
        <v>1737</v>
      </c>
      <c r="J648" s="56" t="s">
        <v>372</v>
      </c>
      <c r="K648" s="57" t="s">
        <v>625</v>
      </c>
      <c r="L648" s="58"/>
      <c r="M648" s="59">
        <v>8.708999E7</v>
      </c>
      <c r="N648" s="59" t="s">
        <v>28</v>
      </c>
      <c r="O648" s="60">
        <v>4.38</v>
      </c>
      <c r="P648" s="59">
        <v>7.899823511052E12</v>
      </c>
      <c r="Q648" s="59">
        <v>1.0</v>
      </c>
    </row>
    <row r="649" ht="15.75" customHeight="1">
      <c r="A649" s="35" t="s">
        <v>1738</v>
      </c>
      <c r="B649" s="36">
        <v>191.5342065866711</v>
      </c>
      <c r="C649" s="36">
        <f>'Lista de Preço 02_2022'!$B649*0.9*0.9*0.9*0.9*0.9*0.97</f>
        <v>109.7060626</v>
      </c>
      <c r="D649" s="36">
        <f>'Lista de Preço 02_2022'!$C649*1.0325</f>
        <v>113.2715097</v>
      </c>
      <c r="E649" s="37">
        <v>3.25</v>
      </c>
      <c r="F649" s="38">
        <v>0.18</v>
      </c>
      <c r="G649" s="38" t="s">
        <v>22</v>
      </c>
      <c r="H649" s="39" t="s">
        <v>1432</v>
      </c>
      <c r="I649" s="40" t="s">
        <v>1739</v>
      </c>
      <c r="J649" s="63" t="s">
        <v>1438</v>
      </c>
      <c r="K649" s="42" t="s">
        <v>507</v>
      </c>
      <c r="L649" s="43" t="s">
        <v>1740</v>
      </c>
      <c r="M649" s="44">
        <v>8.5432E7</v>
      </c>
      <c r="N649" s="44" t="s">
        <v>920</v>
      </c>
      <c r="O649" s="45">
        <v>0.196</v>
      </c>
      <c r="P649" s="44">
        <v>7.899823510598E12</v>
      </c>
      <c r="Q649" s="44">
        <v>1.0</v>
      </c>
    </row>
    <row r="650" ht="15.75" customHeight="1">
      <c r="A650" s="35" t="s">
        <v>1741</v>
      </c>
      <c r="B650" s="36">
        <v>191.5342065866711</v>
      </c>
      <c r="C650" s="36">
        <f>'Lista de Preço 02_2022'!$B650*0.9*0.9*0.9*0.9*0.9*0.97</f>
        <v>109.7060626</v>
      </c>
      <c r="D650" s="36">
        <f>'Lista de Preço 02_2022'!$C650*1.0325</f>
        <v>113.2715097</v>
      </c>
      <c r="E650" s="37">
        <v>3.25</v>
      </c>
      <c r="F650" s="38">
        <v>0.18</v>
      </c>
      <c r="G650" s="38" t="s">
        <v>22</v>
      </c>
      <c r="H650" s="39" t="s">
        <v>1432</v>
      </c>
      <c r="I650" s="40" t="s">
        <v>1739</v>
      </c>
      <c r="J650" s="63" t="s">
        <v>1438</v>
      </c>
      <c r="K650" s="42" t="s">
        <v>507</v>
      </c>
      <c r="L650" s="43" t="s">
        <v>1742</v>
      </c>
      <c r="M650" s="44">
        <v>8.5432E7</v>
      </c>
      <c r="N650" s="44" t="s">
        <v>920</v>
      </c>
      <c r="O650" s="45">
        <v>0.196</v>
      </c>
      <c r="P650" s="44">
        <v>7.899823510604E12</v>
      </c>
      <c r="Q650" s="44">
        <v>1.0</v>
      </c>
    </row>
    <row r="651" ht="15.75" customHeight="1">
      <c r="A651" s="50" t="s">
        <v>1743</v>
      </c>
      <c r="B651" s="36">
        <v>152.440721</v>
      </c>
      <c r="C651" s="51">
        <f>'Lista de Preço 02_2022'!$B651*0.9*0.9*0.9*0.9*0.9*0.97</f>
        <v>87.3142797</v>
      </c>
      <c r="D651" s="36">
        <f>'Lista de Preço 02_2022'!$C651*1.0325</f>
        <v>90.15199379</v>
      </c>
      <c r="E651" s="52">
        <v>3.25</v>
      </c>
      <c r="F651" s="53">
        <v>0.18</v>
      </c>
      <c r="G651" s="53" t="s">
        <v>22</v>
      </c>
      <c r="H651" s="54" t="s">
        <v>1432</v>
      </c>
      <c r="I651" s="55" t="s">
        <v>1744</v>
      </c>
      <c r="J651" s="64" t="s">
        <v>1447</v>
      </c>
      <c r="K651" s="57" t="s">
        <v>507</v>
      </c>
      <c r="L651" s="58" t="s">
        <v>1745</v>
      </c>
      <c r="M651" s="59">
        <v>8.5432E7</v>
      </c>
      <c r="N651" s="59" t="s">
        <v>920</v>
      </c>
      <c r="O651" s="60">
        <v>0.15</v>
      </c>
      <c r="P651" s="59">
        <v>7.899823510178E12</v>
      </c>
      <c r="Q651" s="59">
        <v>1.0</v>
      </c>
    </row>
    <row r="652" ht="15.75" customHeight="1">
      <c r="A652" s="50" t="s">
        <v>1746</v>
      </c>
      <c r="B652" s="36">
        <v>152.440721</v>
      </c>
      <c r="C652" s="51">
        <f>'Lista de Preço 02_2022'!$B652*0.9*0.9*0.9*0.9*0.9*0.97</f>
        <v>87.3142797</v>
      </c>
      <c r="D652" s="36">
        <f>'Lista de Preço 02_2022'!$C652*1.0325</f>
        <v>90.15199379</v>
      </c>
      <c r="E652" s="52">
        <v>3.25</v>
      </c>
      <c r="F652" s="53">
        <v>0.18</v>
      </c>
      <c r="G652" s="53" t="s">
        <v>22</v>
      </c>
      <c r="H652" s="54" t="s">
        <v>1432</v>
      </c>
      <c r="I652" s="55" t="s">
        <v>1744</v>
      </c>
      <c r="J652" s="64" t="s">
        <v>1447</v>
      </c>
      <c r="K652" s="57" t="s">
        <v>507</v>
      </c>
      <c r="L652" s="58" t="s">
        <v>1747</v>
      </c>
      <c r="M652" s="59">
        <v>8.5432E7</v>
      </c>
      <c r="N652" s="59" t="s">
        <v>920</v>
      </c>
      <c r="O652" s="60">
        <v>0.147</v>
      </c>
      <c r="P652" s="59">
        <v>7.899823511229E12</v>
      </c>
      <c r="Q652" s="59">
        <v>1.0</v>
      </c>
    </row>
    <row r="653" ht="15.75" customHeight="1">
      <c r="A653" s="50" t="s">
        <v>1748</v>
      </c>
      <c r="B653" s="36">
        <v>365.827844847</v>
      </c>
      <c r="C653" s="51">
        <f>'Lista de Preço 02_2022'!$B653*0.9*0.9*0.9*0.9*0.9*0.97</f>
        <v>209.5371536</v>
      </c>
      <c r="D653" s="36">
        <f>'Lista de Preço 02_2022'!$C653*1.1712</f>
        <v>245.4099143</v>
      </c>
      <c r="E653" s="52">
        <v>3.25</v>
      </c>
      <c r="F653" s="53">
        <v>0.18</v>
      </c>
      <c r="G653" s="53" t="s">
        <v>22</v>
      </c>
      <c r="H653" s="54" t="s">
        <v>23</v>
      </c>
      <c r="I653" s="55" t="s">
        <v>1749</v>
      </c>
      <c r="J653" s="56" t="s">
        <v>500</v>
      </c>
      <c r="K653" s="57" t="s">
        <v>95</v>
      </c>
      <c r="L653" s="58" t="s">
        <v>1750</v>
      </c>
      <c r="M653" s="57">
        <v>8.708999E7</v>
      </c>
      <c r="N653" s="59" t="s">
        <v>28</v>
      </c>
      <c r="O653" s="60">
        <v>2.3</v>
      </c>
      <c r="P653" s="59">
        <v>7.899823509752E12</v>
      </c>
      <c r="Q653" s="59">
        <v>1.0</v>
      </c>
    </row>
    <row r="654" ht="15.75" customHeight="1">
      <c r="A654" s="35" t="s">
        <v>1751</v>
      </c>
      <c r="B654" s="36">
        <v>199.19557485013794</v>
      </c>
      <c r="C654" s="36">
        <f>'Lista de Preço 02_2022'!$B654*0.9*0.9*0.9*0.9*0.9*0.97</f>
        <v>114.0943051</v>
      </c>
      <c r="D654" s="36">
        <f>'Lista de Preço 02_2022'!$C654*1.0325</f>
        <v>117.8023701</v>
      </c>
      <c r="E654" s="37">
        <v>3.25</v>
      </c>
      <c r="F654" s="38">
        <v>0.18</v>
      </c>
      <c r="G654" s="38" t="s">
        <v>22</v>
      </c>
      <c r="H654" s="39" t="s">
        <v>1432</v>
      </c>
      <c r="I654" s="40" t="s">
        <v>1752</v>
      </c>
      <c r="J654" s="63" t="s">
        <v>1447</v>
      </c>
      <c r="K654" s="42" t="s">
        <v>507</v>
      </c>
      <c r="L654" s="43" t="s">
        <v>1753</v>
      </c>
      <c r="M654" s="44">
        <v>8.5432E7</v>
      </c>
      <c r="N654" s="44" t="s">
        <v>920</v>
      </c>
      <c r="O654" s="45">
        <v>0.136</v>
      </c>
      <c r="P654" s="44">
        <v>7.899823510611E12</v>
      </c>
      <c r="Q654" s="44">
        <v>1.0</v>
      </c>
    </row>
    <row r="655" ht="15.75" customHeight="1">
      <c r="A655" s="35" t="s">
        <v>1754</v>
      </c>
      <c r="B655" s="36">
        <v>199.19557485013794</v>
      </c>
      <c r="C655" s="36">
        <f>'Lista de Preço 02_2022'!$B655*0.9*0.9*0.9*0.9*0.9*0.97</f>
        <v>114.0943051</v>
      </c>
      <c r="D655" s="36">
        <f>'Lista de Preço 02_2022'!$C655*1.0325</f>
        <v>117.8023701</v>
      </c>
      <c r="E655" s="37">
        <v>3.25</v>
      </c>
      <c r="F655" s="38">
        <v>0.18</v>
      </c>
      <c r="G655" s="38" t="s">
        <v>22</v>
      </c>
      <c r="H655" s="39" t="s">
        <v>1432</v>
      </c>
      <c r="I655" s="40" t="s">
        <v>1752</v>
      </c>
      <c r="J655" s="63" t="s">
        <v>1447</v>
      </c>
      <c r="K655" s="42" t="s">
        <v>507</v>
      </c>
      <c r="L655" s="43" t="s">
        <v>1755</v>
      </c>
      <c r="M655" s="44">
        <v>8.5432E7</v>
      </c>
      <c r="N655" s="44" t="s">
        <v>920</v>
      </c>
      <c r="O655" s="45">
        <v>0.137</v>
      </c>
      <c r="P655" s="44">
        <v>7.899823510628E12</v>
      </c>
      <c r="Q655" s="44">
        <v>1.0</v>
      </c>
    </row>
    <row r="656" ht="15.75" customHeight="1">
      <c r="A656" s="35" t="s">
        <v>1756</v>
      </c>
      <c r="B656" s="36">
        <v>199.19557485013794</v>
      </c>
      <c r="C656" s="36">
        <f>'Lista de Preço 02_2022'!$B656*0.9*0.9*0.9*0.9*0.9*0.97</f>
        <v>114.0943051</v>
      </c>
      <c r="D656" s="36">
        <f>'Lista de Preço 02_2022'!$C656*1.0325</f>
        <v>117.8023701</v>
      </c>
      <c r="E656" s="37">
        <v>3.25</v>
      </c>
      <c r="F656" s="38">
        <v>0.18</v>
      </c>
      <c r="G656" s="38" t="s">
        <v>22</v>
      </c>
      <c r="H656" s="39" t="s">
        <v>1432</v>
      </c>
      <c r="I656" s="40" t="s">
        <v>1757</v>
      </c>
      <c r="J656" s="63" t="s">
        <v>1447</v>
      </c>
      <c r="K656" s="42" t="s">
        <v>507</v>
      </c>
      <c r="L656" s="43" t="s">
        <v>1758</v>
      </c>
      <c r="M656" s="44">
        <v>8.5432E7</v>
      </c>
      <c r="N656" s="44" t="s">
        <v>920</v>
      </c>
      <c r="O656" s="45">
        <v>0.163</v>
      </c>
      <c r="P656" s="44">
        <v>7.899823510635E12</v>
      </c>
      <c r="Q656" s="44">
        <v>1.0</v>
      </c>
    </row>
    <row r="657" ht="15.75" customHeight="1">
      <c r="A657" s="35" t="s">
        <v>1759</v>
      </c>
      <c r="B657" s="36">
        <v>199.19557485013794</v>
      </c>
      <c r="C657" s="36">
        <f>'Lista de Preço 02_2022'!$B657*0.9*0.9*0.9*0.9*0.9*0.97</f>
        <v>114.0943051</v>
      </c>
      <c r="D657" s="36">
        <f>'Lista de Preço 02_2022'!$C657*1.0325</f>
        <v>117.8023701</v>
      </c>
      <c r="E657" s="37">
        <v>3.25</v>
      </c>
      <c r="F657" s="38">
        <v>0.18</v>
      </c>
      <c r="G657" s="38" t="s">
        <v>22</v>
      </c>
      <c r="H657" s="39" t="s">
        <v>1432</v>
      </c>
      <c r="I657" s="40" t="s">
        <v>1757</v>
      </c>
      <c r="J657" s="63" t="s">
        <v>1447</v>
      </c>
      <c r="K657" s="42" t="s">
        <v>507</v>
      </c>
      <c r="L657" s="43" t="s">
        <v>1760</v>
      </c>
      <c r="M657" s="44">
        <v>8.5432E7</v>
      </c>
      <c r="N657" s="44" t="s">
        <v>920</v>
      </c>
      <c r="O657" s="45">
        <v>0.162</v>
      </c>
      <c r="P657" s="44">
        <v>7.899823510642E12</v>
      </c>
      <c r="Q657" s="44">
        <v>1.0</v>
      </c>
    </row>
    <row r="658" ht="15.75" customHeight="1">
      <c r="A658" s="35" t="s">
        <v>1761</v>
      </c>
      <c r="B658" s="36">
        <v>493.93245519000004</v>
      </c>
      <c r="C658" s="36">
        <f>'Lista de Preço 02_2022'!$B658*0.9*0.9*0.9*0.9*0.9*0.97</f>
        <v>282.9123102</v>
      </c>
      <c r="D658" s="36">
        <f>'Lista de Preço 02_2022'!$C658*1.1712</f>
        <v>331.3468977</v>
      </c>
      <c r="E658" s="37">
        <v>3.25</v>
      </c>
      <c r="F658" s="38">
        <v>0.18</v>
      </c>
      <c r="G658" s="38" t="s">
        <v>22</v>
      </c>
      <c r="H658" s="39" t="s">
        <v>23</v>
      </c>
      <c r="I658" s="40" t="s">
        <v>1762</v>
      </c>
      <c r="J658" s="41" t="s">
        <v>1391</v>
      </c>
      <c r="K658" s="42" t="s">
        <v>507</v>
      </c>
      <c r="L658" s="43" t="s">
        <v>1763</v>
      </c>
      <c r="M658" s="42">
        <v>8.708999E7</v>
      </c>
      <c r="N658" s="44" t="s">
        <v>28</v>
      </c>
      <c r="O658" s="45">
        <v>3.76</v>
      </c>
      <c r="P658" s="44">
        <v>7.899823510239E12</v>
      </c>
      <c r="Q658" s="44">
        <v>1.0</v>
      </c>
    </row>
    <row r="659" ht="15.75" customHeight="1">
      <c r="A659" s="50" t="s">
        <v>1764</v>
      </c>
      <c r="B659" s="36">
        <v>146.78612400000003</v>
      </c>
      <c r="C659" s="51">
        <f>'Lista de Preço 02_2022'!$B659*0.9*0.9*0.9*0.9*0.9*0.97</f>
        <v>84.07546621</v>
      </c>
      <c r="D659" s="36">
        <f>'Lista de Preço 02_2022'!$C659*1.0325</f>
        <v>86.80791886</v>
      </c>
      <c r="E659" s="52">
        <v>3.25</v>
      </c>
      <c r="F659" s="53">
        <v>0.18</v>
      </c>
      <c r="G659" s="53" t="s">
        <v>22</v>
      </c>
      <c r="H659" s="54" t="s">
        <v>1432</v>
      </c>
      <c r="I659" s="55" t="s">
        <v>1765</v>
      </c>
      <c r="J659" s="64" t="s">
        <v>1438</v>
      </c>
      <c r="K659" s="57" t="s">
        <v>507</v>
      </c>
      <c r="L659" s="58" t="s">
        <v>1766</v>
      </c>
      <c r="M659" s="59">
        <v>8.5432E7</v>
      </c>
      <c r="N659" s="59" t="s">
        <v>920</v>
      </c>
      <c r="O659" s="60">
        <v>0.142</v>
      </c>
      <c r="P659" s="59">
        <v>7.899823510185E12</v>
      </c>
      <c r="Q659" s="59">
        <v>1.0</v>
      </c>
    </row>
    <row r="660" ht="15.75" customHeight="1">
      <c r="A660" s="35" t="s">
        <v>1767</v>
      </c>
      <c r="B660" s="36">
        <v>35.49661155643141</v>
      </c>
      <c r="C660" s="36">
        <f>'Lista de Preço 02_2022'!$B660*0.9*0.9*0.9*0.9*0.9*0.97</f>
        <v>20.33158233</v>
      </c>
      <c r="D660" s="36">
        <f>'Lista de Preço 02_2022'!$C660*1.065</f>
        <v>21.65313518</v>
      </c>
      <c r="E660" s="37">
        <v>6.5</v>
      </c>
      <c r="F660" s="38">
        <v>0.18</v>
      </c>
      <c r="G660" s="38" t="s">
        <v>37</v>
      </c>
      <c r="H660" s="39" t="s">
        <v>919</v>
      </c>
      <c r="I660" s="40" t="s">
        <v>1768</v>
      </c>
      <c r="J660" s="41" t="s">
        <v>40</v>
      </c>
      <c r="K660" s="42" t="s">
        <v>303</v>
      </c>
      <c r="L660" s="43">
        <v>9.463510072E9</v>
      </c>
      <c r="M660" s="42">
        <v>7.31816E7</v>
      </c>
      <c r="N660" s="44" t="s">
        <v>920</v>
      </c>
      <c r="O660" s="45">
        <v>0.25</v>
      </c>
      <c r="P660" s="44">
        <v>7.898233438058E12</v>
      </c>
      <c r="Q660" s="48">
        <v>5.0</v>
      </c>
    </row>
    <row r="661" ht="15.75" customHeight="1">
      <c r="A661" s="50" t="s">
        <v>1769</v>
      </c>
      <c r="B661" s="36">
        <v>132.676154</v>
      </c>
      <c r="C661" s="51">
        <f>'Lista de Preço 02_2022'!$B661*0.9*0.9*0.9*0.9*0.9*0.97</f>
        <v>75.99362391</v>
      </c>
      <c r="D661" s="36">
        <f>'Lista de Preço 02_2022'!$C661*1.0325</f>
        <v>78.46341669</v>
      </c>
      <c r="E661" s="52">
        <v>3.25</v>
      </c>
      <c r="F661" s="53">
        <v>0.18</v>
      </c>
      <c r="G661" s="53" t="s">
        <v>22</v>
      </c>
      <c r="H661" s="54" t="s">
        <v>1432</v>
      </c>
      <c r="I661" s="55" t="s">
        <v>1770</v>
      </c>
      <c r="J661" s="64" t="s">
        <v>1438</v>
      </c>
      <c r="K661" s="57" t="s">
        <v>1771</v>
      </c>
      <c r="L661" s="58" t="s">
        <v>1772</v>
      </c>
      <c r="M661" s="59">
        <v>8.5432E7</v>
      </c>
      <c r="N661" s="59" t="s">
        <v>920</v>
      </c>
      <c r="O661" s="60">
        <v>0.134</v>
      </c>
      <c r="P661" s="59">
        <v>7.899823510192E12</v>
      </c>
      <c r="Q661" s="59">
        <v>1.0</v>
      </c>
    </row>
    <row r="662" ht="15.75" customHeight="1">
      <c r="A662" s="50" t="s">
        <v>1773</v>
      </c>
      <c r="B662" s="36">
        <v>132.676154</v>
      </c>
      <c r="C662" s="51">
        <f>'Lista de Preço 02_2022'!$B662*0.9*0.9*0.9*0.9*0.9*0.97</f>
        <v>75.99362391</v>
      </c>
      <c r="D662" s="36">
        <f>'Lista de Preço 02_2022'!$C662*1.0325</f>
        <v>78.46341669</v>
      </c>
      <c r="E662" s="52">
        <v>3.25</v>
      </c>
      <c r="F662" s="53">
        <v>0.18</v>
      </c>
      <c r="G662" s="53" t="s">
        <v>22</v>
      </c>
      <c r="H662" s="54" t="s">
        <v>1432</v>
      </c>
      <c r="I662" s="55" t="s">
        <v>1770</v>
      </c>
      <c r="J662" s="64" t="s">
        <v>1438</v>
      </c>
      <c r="K662" s="57" t="s">
        <v>1771</v>
      </c>
      <c r="L662" s="58" t="s">
        <v>1774</v>
      </c>
      <c r="M662" s="59">
        <v>8.5432E7</v>
      </c>
      <c r="N662" s="59" t="s">
        <v>920</v>
      </c>
      <c r="O662" s="60">
        <v>0.135</v>
      </c>
      <c r="P662" s="59">
        <v>7.899823511236E12</v>
      </c>
      <c r="Q662" s="59">
        <v>1.0</v>
      </c>
    </row>
    <row r="663" ht="15.75" customHeight="1">
      <c r="A663" s="35" t="s">
        <v>1775</v>
      </c>
      <c r="B663" s="36">
        <v>13.652542906319777</v>
      </c>
      <c r="C663" s="36">
        <f>'Lista de Preço 02_2022'!$B663*0.9*0.9*0.9*0.9*0.9*0.97</f>
        <v>7.819839359</v>
      </c>
      <c r="D663" s="36">
        <f>'Lista de Preço 02_2022'!$C663*1.065</f>
        <v>8.328128917</v>
      </c>
      <c r="E663" s="37">
        <v>6.5</v>
      </c>
      <c r="F663" s="38">
        <v>0.18</v>
      </c>
      <c r="G663" s="38" t="s">
        <v>37</v>
      </c>
      <c r="H663" s="39" t="s">
        <v>919</v>
      </c>
      <c r="I663" s="40" t="s">
        <v>1776</v>
      </c>
      <c r="J663" s="41" t="s">
        <v>40</v>
      </c>
      <c r="K663" s="42" t="s">
        <v>303</v>
      </c>
      <c r="L663" s="43">
        <v>3.273530272E9</v>
      </c>
      <c r="M663" s="42">
        <v>7.31816E7</v>
      </c>
      <c r="N663" s="44" t="s">
        <v>920</v>
      </c>
      <c r="O663" s="45">
        <v>0.226</v>
      </c>
      <c r="P663" s="44">
        <v>7.898233438065E12</v>
      </c>
      <c r="Q663" s="48">
        <v>5.0</v>
      </c>
    </row>
    <row r="664" ht="15.75" customHeight="1">
      <c r="A664" s="35" t="s">
        <v>1777</v>
      </c>
      <c r="B664" s="36">
        <v>15.33863195525027</v>
      </c>
      <c r="C664" s="36">
        <f>'Lista de Preço 02_2022'!$B664*0.9*0.9*0.9*0.9*0.9*0.97</f>
        <v>8.78558952</v>
      </c>
      <c r="D664" s="36">
        <f>'Lista de Preço 02_2022'!$C664*1.065</f>
        <v>9.356652839</v>
      </c>
      <c r="E664" s="37">
        <v>6.5</v>
      </c>
      <c r="F664" s="38">
        <v>0.18</v>
      </c>
      <c r="G664" s="38" t="s">
        <v>37</v>
      </c>
      <c r="H664" s="39" t="s">
        <v>919</v>
      </c>
      <c r="I664" s="40" t="s">
        <v>1778</v>
      </c>
      <c r="J664" s="41" t="s">
        <v>40</v>
      </c>
      <c r="K664" s="42" t="s">
        <v>303</v>
      </c>
      <c r="L664" s="43">
        <v>3.663530072E9</v>
      </c>
      <c r="M664" s="42">
        <v>7.31816E7</v>
      </c>
      <c r="N664" s="44" t="s">
        <v>920</v>
      </c>
      <c r="O664" s="45">
        <v>0.214</v>
      </c>
      <c r="P664" s="44">
        <v>7.898233438072E12</v>
      </c>
      <c r="Q664" s="48">
        <v>5.0</v>
      </c>
    </row>
    <row r="665" ht="15.75" customHeight="1">
      <c r="A665" s="35" t="s">
        <v>1779</v>
      </c>
      <c r="B665" s="36">
        <v>157.0580494010703</v>
      </c>
      <c r="C665" s="36">
        <f>'Lista de Preço 02_2022'!$B665*0.9*0.9*0.9*0.9*0.9*0.97</f>
        <v>89.95897136</v>
      </c>
      <c r="D665" s="36">
        <f>'Lista de Preço 02_2022'!$C665*1.0325</f>
        <v>92.88263793</v>
      </c>
      <c r="E665" s="37">
        <v>3.25</v>
      </c>
      <c r="F665" s="38">
        <v>0.18</v>
      </c>
      <c r="G665" s="38" t="s">
        <v>22</v>
      </c>
      <c r="H665" s="39" t="s">
        <v>1432</v>
      </c>
      <c r="I665" s="40" t="s">
        <v>1780</v>
      </c>
      <c r="J665" s="63" t="s">
        <v>1447</v>
      </c>
      <c r="K665" s="42" t="s">
        <v>1781</v>
      </c>
      <c r="L665" s="43" t="s">
        <v>1782</v>
      </c>
      <c r="M665" s="44">
        <v>8.5432E7</v>
      </c>
      <c r="N665" s="44" t="s">
        <v>920</v>
      </c>
      <c r="O665" s="45">
        <v>0.101</v>
      </c>
      <c r="P665" s="44">
        <v>7.899823510659E12</v>
      </c>
      <c r="Q665" s="44">
        <v>1.0</v>
      </c>
    </row>
    <row r="666" ht="15.75" customHeight="1">
      <c r="A666" s="35" t="s">
        <v>1783</v>
      </c>
      <c r="B666" s="36">
        <v>191.5342065866711</v>
      </c>
      <c r="C666" s="36">
        <f>'Lista de Preço 02_2022'!$B666*0.9*0.9*0.9*0.9*0.9*0.97</f>
        <v>109.7060626</v>
      </c>
      <c r="D666" s="36">
        <f>'Lista de Preço 02_2022'!$C666*1.0325</f>
        <v>113.2715097</v>
      </c>
      <c r="E666" s="37">
        <v>3.25</v>
      </c>
      <c r="F666" s="38">
        <v>0.18</v>
      </c>
      <c r="G666" s="38" t="s">
        <v>22</v>
      </c>
      <c r="H666" s="39" t="s">
        <v>1432</v>
      </c>
      <c r="I666" s="40" t="s">
        <v>1784</v>
      </c>
      <c r="J666" s="63" t="s">
        <v>1447</v>
      </c>
      <c r="K666" s="42" t="s">
        <v>1781</v>
      </c>
      <c r="L666" s="43" t="s">
        <v>1785</v>
      </c>
      <c r="M666" s="44">
        <v>8.5432E7</v>
      </c>
      <c r="N666" s="44" t="s">
        <v>920</v>
      </c>
      <c r="O666" s="45">
        <v>0.094</v>
      </c>
      <c r="P666" s="44">
        <v>7.899823510666E12</v>
      </c>
      <c r="Q666" s="44">
        <v>1.0</v>
      </c>
    </row>
    <row r="667" ht="15.75" customHeight="1">
      <c r="A667" s="35" t="s">
        <v>1786</v>
      </c>
      <c r="B667" s="36">
        <v>191.5342065866711</v>
      </c>
      <c r="C667" s="36">
        <f>'Lista de Preço 02_2022'!$B667*0.9*0.9*0.9*0.9*0.9*0.97</f>
        <v>109.7060626</v>
      </c>
      <c r="D667" s="36">
        <f>'Lista de Preço 02_2022'!$C667*1.0325</f>
        <v>113.2715097</v>
      </c>
      <c r="E667" s="37">
        <v>3.25</v>
      </c>
      <c r="F667" s="38">
        <v>0.18</v>
      </c>
      <c r="G667" s="38" t="s">
        <v>22</v>
      </c>
      <c r="H667" s="39" t="s">
        <v>1432</v>
      </c>
      <c r="I667" s="40" t="s">
        <v>1787</v>
      </c>
      <c r="J667" s="63" t="s">
        <v>1447</v>
      </c>
      <c r="K667" s="42" t="s">
        <v>1781</v>
      </c>
      <c r="L667" s="43" t="s">
        <v>1788</v>
      </c>
      <c r="M667" s="44">
        <v>8.5432E7</v>
      </c>
      <c r="N667" s="44" t="s">
        <v>920</v>
      </c>
      <c r="O667" s="45">
        <v>0.105</v>
      </c>
      <c r="P667" s="44">
        <v>7.899823510673E12</v>
      </c>
      <c r="Q667" s="44">
        <v>1.0</v>
      </c>
    </row>
    <row r="668" ht="15.75" customHeight="1">
      <c r="A668" s="35" t="s">
        <v>1789</v>
      </c>
      <c r="B668" s="36">
        <v>210.68762724533823</v>
      </c>
      <c r="C668" s="36">
        <f>'Lista de Preço 02_2022'!$B668*0.9*0.9*0.9*0.9*0.9*0.97</f>
        <v>120.6766689</v>
      </c>
      <c r="D668" s="36">
        <f>'Lista de Preço 02_2022'!$C668*1.0325</f>
        <v>124.5986606</v>
      </c>
      <c r="E668" s="37">
        <v>3.25</v>
      </c>
      <c r="F668" s="38">
        <v>0.18</v>
      </c>
      <c r="G668" s="38" t="s">
        <v>22</v>
      </c>
      <c r="H668" s="39" t="s">
        <v>1432</v>
      </c>
      <c r="I668" s="40" t="s">
        <v>1790</v>
      </c>
      <c r="J668" s="63" t="s">
        <v>1447</v>
      </c>
      <c r="K668" s="42" t="s">
        <v>1781</v>
      </c>
      <c r="L668" s="43" t="s">
        <v>1791</v>
      </c>
      <c r="M668" s="44">
        <v>8.5432E7</v>
      </c>
      <c r="N668" s="44" t="s">
        <v>920</v>
      </c>
      <c r="O668" s="45">
        <v>0.096</v>
      </c>
      <c r="P668" s="44">
        <v>7.89982351068E12</v>
      </c>
      <c r="Q668" s="44">
        <v>1.0</v>
      </c>
    </row>
    <row r="669" ht="15.75" customHeight="1">
      <c r="A669" s="35" t="s">
        <v>1792</v>
      </c>
      <c r="B669" s="36">
        <v>157.0580494010703</v>
      </c>
      <c r="C669" s="36">
        <f>'Lista de Preço 02_2022'!$B669*0.9*0.9*0.9*0.9*0.9*0.97</f>
        <v>89.95897136</v>
      </c>
      <c r="D669" s="36">
        <f>'Lista de Preço 02_2022'!$C669*1.0325</f>
        <v>92.88263793</v>
      </c>
      <c r="E669" s="37">
        <v>3.25</v>
      </c>
      <c r="F669" s="38">
        <v>0.18</v>
      </c>
      <c r="G669" s="38" t="s">
        <v>22</v>
      </c>
      <c r="H669" s="39" t="s">
        <v>1432</v>
      </c>
      <c r="I669" s="40" t="s">
        <v>1793</v>
      </c>
      <c r="J669" s="63" t="s">
        <v>1447</v>
      </c>
      <c r="K669" s="42" t="s">
        <v>1781</v>
      </c>
      <c r="L669" s="43" t="s">
        <v>1794</v>
      </c>
      <c r="M669" s="44">
        <v>8.5432E7</v>
      </c>
      <c r="N669" s="44" t="s">
        <v>920</v>
      </c>
      <c r="O669" s="45">
        <v>0.111</v>
      </c>
      <c r="P669" s="44">
        <v>7.899823510697E12</v>
      </c>
      <c r="Q669" s="44">
        <v>1.0</v>
      </c>
    </row>
    <row r="670" ht="15.75" customHeight="1">
      <c r="A670" s="35" t="s">
        <v>1795</v>
      </c>
      <c r="B670" s="36">
        <v>157.0580494010703</v>
      </c>
      <c r="C670" s="36">
        <f>'Lista de Preço 02_2022'!$B670*0.9*0.9*0.9*0.9*0.9*0.97</f>
        <v>89.95897136</v>
      </c>
      <c r="D670" s="36">
        <f>'Lista de Preço 02_2022'!$C670*1.0325</f>
        <v>92.88263793</v>
      </c>
      <c r="E670" s="37">
        <v>3.25</v>
      </c>
      <c r="F670" s="38">
        <v>0.18</v>
      </c>
      <c r="G670" s="38" t="s">
        <v>22</v>
      </c>
      <c r="H670" s="39" t="s">
        <v>1432</v>
      </c>
      <c r="I670" s="40" t="s">
        <v>1796</v>
      </c>
      <c r="J670" s="63" t="s">
        <v>1447</v>
      </c>
      <c r="K670" s="42" t="s">
        <v>1781</v>
      </c>
      <c r="L670" s="43" t="s">
        <v>1797</v>
      </c>
      <c r="M670" s="44">
        <v>8.5432E7</v>
      </c>
      <c r="N670" s="44" t="s">
        <v>920</v>
      </c>
      <c r="O670" s="45">
        <v>0.093</v>
      </c>
      <c r="P670" s="44">
        <v>7.899823510703E12</v>
      </c>
      <c r="Q670" s="44">
        <v>1.0</v>
      </c>
    </row>
    <row r="671" ht="15.75" customHeight="1">
      <c r="A671" s="35" t="s">
        <v>1798</v>
      </c>
      <c r="B671" s="36">
        <v>191.5342065866711</v>
      </c>
      <c r="C671" s="36">
        <f>'Lista de Preço 02_2022'!$B671*0.9*0.9*0.9*0.9*0.9*0.97</f>
        <v>109.7060626</v>
      </c>
      <c r="D671" s="36">
        <f>'Lista de Preço 02_2022'!$C671*1.0325</f>
        <v>113.2715097</v>
      </c>
      <c r="E671" s="37">
        <v>3.25</v>
      </c>
      <c r="F671" s="38">
        <v>0.18</v>
      </c>
      <c r="G671" s="38" t="s">
        <v>22</v>
      </c>
      <c r="H671" s="39" t="s">
        <v>1432</v>
      </c>
      <c r="I671" s="40" t="s">
        <v>1799</v>
      </c>
      <c r="J671" s="63" t="s">
        <v>1447</v>
      </c>
      <c r="K671" s="42" t="s">
        <v>1781</v>
      </c>
      <c r="L671" s="43" t="s">
        <v>1800</v>
      </c>
      <c r="M671" s="44">
        <v>8.5432E7</v>
      </c>
      <c r="N671" s="44" t="s">
        <v>920</v>
      </c>
      <c r="O671" s="45">
        <v>0.121</v>
      </c>
      <c r="P671" s="44">
        <v>7.89982351071E12</v>
      </c>
      <c r="Q671" s="44">
        <v>1.0</v>
      </c>
    </row>
    <row r="672" ht="15.75" customHeight="1">
      <c r="A672" s="35" t="s">
        <v>1801</v>
      </c>
      <c r="B672" s="36">
        <v>23.001931531708877</v>
      </c>
      <c r="C672" s="36">
        <f>'Lista de Preço 02_2022'!$B672*0.9*0.9*0.9*0.9*0.9*0.97</f>
        <v>13.17493823</v>
      </c>
      <c r="D672" s="36">
        <f>'Lista de Preço 02_2022'!$C672*1.065</f>
        <v>14.03130922</v>
      </c>
      <c r="E672" s="37">
        <v>6.5</v>
      </c>
      <c r="F672" s="38">
        <v>0.18</v>
      </c>
      <c r="G672" s="38" t="s">
        <v>37</v>
      </c>
      <c r="H672" s="39" t="s">
        <v>919</v>
      </c>
      <c r="I672" s="40" t="s">
        <v>1776</v>
      </c>
      <c r="J672" s="41" t="s">
        <v>40</v>
      </c>
      <c r="K672" s="42" t="s">
        <v>303</v>
      </c>
      <c r="L672" s="43">
        <v>3.853510072E9</v>
      </c>
      <c r="M672" s="42">
        <v>7.31816E7</v>
      </c>
      <c r="N672" s="44" t="s">
        <v>920</v>
      </c>
      <c r="O672" s="45">
        <v>0.176</v>
      </c>
      <c r="P672" s="44">
        <v>7.898233431998E12</v>
      </c>
      <c r="Q672" s="48">
        <v>10.0</v>
      </c>
    </row>
    <row r="673" ht="15.75" customHeight="1">
      <c r="A673" s="35" t="s">
        <v>1802</v>
      </c>
      <c r="B673" s="36">
        <v>29.608481701239533</v>
      </c>
      <c r="C673" s="36">
        <f>'Lista de Preço 02_2022'!$B673*0.9*0.9*0.9*0.9*0.9*0.97</f>
        <v>16.95900699</v>
      </c>
      <c r="D673" s="36">
        <f>'Lista de Preço 02_2022'!$C673*1.1712</f>
        <v>19.86238899</v>
      </c>
      <c r="E673" s="37">
        <v>3.25</v>
      </c>
      <c r="F673" s="38">
        <v>0.18</v>
      </c>
      <c r="G673" s="38" t="s">
        <v>22</v>
      </c>
      <c r="H673" s="39" t="s">
        <v>48</v>
      </c>
      <c r="I673" s="40" t="s">
        <v>1803</v>
      </c>
      <c r="J673" s="41" t="s">
        <v>32</v>
      </c>
      <c r="K673" s="42" t="s">
        <v>26</v>
      </c>
      <c r="L673" s="43">
        <v>56156.0</v>
      </c>
      <c r="M673" s="44">
        <v>8.708999E7</v>
      </c>
      <c r="N673" s="44" t="s">
        <v>28</v>
      </c>
      <c r="O673" s="45">
        <v>0.66</v>
      </c>
      <c r="P673" s="44">
        <v>7.898233430205E12</v>
      </c>
      <c r="Q673" s="44">
        <v>1.0</v>
      </c>
    </row>
    <row r="674" ht="15.75" customHeight="1">
      <c r="A674" s="35" t="s">
        <v>1804</v>
      </c>
      <c r="B674" s="36">
        <v>16.85921918046639</v>
      </c>
      <c r="C674" s="36">
        <f>'Lista de Preço 02_2022'!$B674*0.9*0.9*0.9*0.9*0.9*0.97</f>
        <v>9.656544324</v>
      </c>
      <c r="D674" s="36">
        <f>'Lista de Preço 02_2022'!$C674*1.065</f>
        <v>10.2842197</v>
      </c>
      <c r="E674" s="37">
        <v>6.5</v>
      </c>
      <c r="F674" s="38">
        <v>0.18</v>
      </c>
      <c r="G674" s="38" t="s">
        <v>37</v>
      </c>
      <c r="H674" s="39" t="s">
        <v>919</v>
      </c>
      <c r="I674" s="40" t="s">
        <v>794</v>
      </c>
      <c r="J674" s="41" t="s">
        <v>40</v>
      </c>
      <c r="K674" s="42" t="s">
        <v>303</v>
      </c>
      <c r="L674" s="43">
        <v>3.222620072E9</v>
      </c>
      <c r="M674" s="42">
        <v>7.31816E7</v>
      </c>
      <c r="N674" s="44" t="s">
        <v>920</v>
      </c>
      <c r="O674" s="45">
        <v>0.146</v>
      </c>
      <c r="P674" s="44">
        <v>7.898233432001E12</v>
      </c>
      <c r="Q674" s="48">
        <v>10.0</v>
      </c>
    </row>
    <row r="675" ht="15.75" customHeight="1">
      <c r="A675" s="50" t="s">
        <v>1805</v>
      </c>
      <c r="B675" s="36">
        <v>132.676154</v>
      </c>
      <c r="C675" s="51">
        <f>'Lista de Preço 02_2022'!$B675*0.9*0.9*0.9*0.9*0.9*0.97</f>
        <v>75.99362391</v>
      </c>
      <c r="D675" s="36">
        <f>'Lista de Preço 02_2022'!$C675*1.0325</f>
        <v>78.46341669</v>
      </c>
      <c r="E675" s="52">
        <v>3.25</v>
      </c>
      <c r="F675" s="53">
        <v>0.18</v>
      </c>
      <c r="G675" s="53" t="s">
        <v>22</v>
      </c>
      <c r="H675" s="54" t="s">
        <v>1432</v>
      </c>
      <c r="I675" s="55" t="s">
        <v>1806</v>
      </c>
      <c r="J675" s="64" t="s">
        <v>1438</v>
      </c>
      <c r="K675" s="57" t="s">
        <v>618</v>
      </c>
      <c r="L675" s="58" t="s">
        <v>1807</v>
      </c>
      <c r="M675" s="59">
        <v>8.5432E7</v>
      </c>
      <c r="N675" s="59" t="s">
        <v>920</v>
      </c>
      <c r="O675" s="60">
        <v>0.104</v>
      </c>
      <c r="P675" s="59">
        <v>7.899823510208E12</v>
      </c>
      <c r="Q675" s="59">
        <v>1.0</v>
      </c>
    </row>
    <row r="676" ht="15.75" customHeight="1">
      <c r="A676" s="50" t="s">
        <v>1808</v>
      </c>
      <c r="B676" s="36">
        <v>132.676154</v>
      </c>
      <c r="C676" s="51">
        <f>'Lista de Preço 02_2022'!$B676*0.9*0.9*0.9*0.9*0.9*0.97</f>
        <v>75.99362391</v>
      </c>
      <c r="D676" s="36">
        <f>'Lista de Preço 02_2022'!$C676*1.0325</f>
        <v>78.46341669</v>
      </c>
      <c r="E676" s="52">
        <v>3.25</v>
      </c>
      <c r="F676" s="53">
        <v>0.18</v>
      </c>
      <c r="G676" s="53" t="s">
        <v>22</v>
      </c>
      <c r="H676" s="54" t="s">
        <v>1432</v>
      </c>
      <c r="I676" s="55" t="s">
        <v>1806</v>
      </c>
      <c r="J676" s="64" t="s">
        <v>1438</v>
      </c>
      <c r="K676" s="57" t="s">
        <v>618</v>
      </c>
      <c r="L676" s="58" t="s">
        <v>1809</v>
      </c>
      <c r="M676" s="59">
        <v>8.5432E7</v>
      </c>
      <c r="N676" s="59" t="s">
        <v>920</v>
      </c>
      <c r="O676" s="60">
        <v>0.098</v>
      </c>
      <c r="P676" s="59">
        <v>7.899823511243E12</v>
      </c>
      <c r="Q676" s="59">
        <v>1.0</v>
      </c>
    </row>
    <row r="677" ht="15.75" customHeight="1">
      <c r="A677" s="35" t="s">
        <v>1810</v>
      </c>
      <c r="B677" s="36">
        <v>183.87283832320426</v>
      </c>
      <c r="C677" s="36">
        <f>'Lista de Preço 02_2022'!$B677*0.9*0.9*0.9*0.9*0.9*0.97</f>
        <v>105.3178201</v>
      </c>
      <c r="D677" s="36">
        <f>'Lista de Preço 02_2022'!$C677*1.0325</f>
        <v>108.7406493</v>
      </c>
      <c r="E677" s="37">
        <v>3.25</v>
      </c>
      <c r="F677" s="38">
        <v>0.18</v>
      </c>
      <c r="G677" s="38" t="s">
        <v>22</v>
      </c>
      <c r="H677" s="39" t="s">
        <v>1432</v>
      </c>
      <c r="I677" s="40" t="s">
        <v>1811</v>
      </c>
      <c r="J677" s="63" t="s">
        <v>1526</v>
      </c>
      <c r="K677" s="42" t="s">
        <v>618</v>
      </c>
      <c r="L677" s="43" t="s">
        <v>1812</v>
      </c>
      <c r="M677" s="44">
        <v>8.5432E7</v>
      </c>
      <c r="N677" s="44" t="s">
        <v>920</v>
      </c>
      <c r="O677" s="45">
        <v>0.09</v>
      </c>
      <c r="P677" s="44">
        <v>7.899823510727E12</v>
      </c>
      <c r="Q677" s="44">
        <v>1.0</v>
      </c>
    </row>
    <row r="678" ht="15.75" customHeight="1">
      <c r="A678" s="35" t="s">
        <v>1813</v>
      </c>
      <c r="B678" s="36">
        <v>107.36</v>
      </c>
      <c r="C678" s="36">
        <f>'Lista de Preço 02_2022'!$B678*0.9*0.9*0.9*0.9*0.9*0.97</f>
        <v>61.49315621</v>
      </c>
      <c r="D678" s="36">
        <f>'Lista de Preço 02_2022'!$C678*1.1712</f>
        <v>72.02078455</v>
      </c>
      <c r="E678" s="37">
        <v>3.25</v>
      </c>
      <c r="F678" s="38">
        <v>0.18</v>
      </c>
      <c r="G678" s="38" t="s">
        <v>37</v>
      </c>
      <c r="H678" s="39" t="s">
        <v>1814</v>
      </c>
      <c r="I678" s="40" t="s">
        <v>1044</v>
      </c>
      <c r="J678" s="41" t="s">
        <v>40</v>
      </c>
      <c r="K678" s="42" t="s">
        <v>303</v>
      </c>
      <c r="L678" s="43">
        <v>3.448800128E9</v>
      </c>
      <c r="M678" s="42">
        <v>8.7082999E7</v>
      </c>
      <c r="N678" s="44" t="s">
        <v>28</v>
      </c>
      <c r="O678" s="45">
        <v>1.15</v>
      </c>
      <c r="P678" s="44">
        <v>7.898233432025E12</v>
      </c>
      <c r="Q678" s="44">
        <v>1.0</v>
      </c>
    </row>
    <row r="679" ht="15.75" customHeight="1">
      <c r="A679" s="35" t="s">
        <v>1815</v>
      </c>
      <c r="B679" s="36">
        <v>107.36</v>
      </c>
      <c r="C679" s="36">
        <f>'Lista de Preço 02_2022'!$B679*0.9*0.9*0.9*0.9*0.9*0.97</f>
        <v>61.49315621</v>
      </c>
      <c r="D679" s="36">
        <f>'Lista de Preço 02_2022'!$C679*1.1712</f>
        <v>72.02078455</v>
      </c>
      <c r="E679" s="37">
        <v>3.25</v>
      </c>
      <c r="F679" s="38">
        <v>0.18</v>
      </c>
      <c r="G679" s="38" t="s">
        <v>37</v>
      </c>
      <c r="H679" s="39" t="s">
        <v>1814</v>
      </c>
      <c r="I679" s="40" t="s">
        <v>1044</v>
      </c>
      <c r="J679" s="41" t="s">
        <v>40</v>
      </c>
      <c r="K679" s="42" t="s">
        <v>303</v>
      </c>
      <c r="L679" s="43">
        <v>3.448800028E9</v>
      </c>
      <c r="M679" s="42">
        <v>8.7082999E7</v>
      </c>
      <c r="N679" s="44" t="s">
        <v>28</v>
      </c>
      <c r="O679" s="45">
        <v>1.15</v>
      </c>
      <c r="P679" s="44">
        <v>7.898233432018E12</v>
      </c>
      <c r="Q679" s="44">
        <v>1.0</v>
      </c>
    </row>
    <row r="680" ht="15.75" customHeight="1">
      <c r="A680" s="35" t="s">
        <v>1816</v>
      </c>
      <c r="B680" s="36">
        <v>118.75120808373612</v>
      </c>
      <c r="C680" s="36">
        <f>'Lista de Preço 02_2022'!$B680*0.9*0.9*0.9*0.9*0.9*0.97</f>
        <v>68.01775884</v>
      </c>
      <c r="D680" s="36">
        <f>'Lista de Preço 02_2022'!$C680*1.0325</f>
        <v>70.228336</v>
      </c>
      <c r="E680" s="37">
        <v>3.25</v>
      </c>
      <c r="F680" s="38">
        <v>0.18</v>
      </c>
      <c r="G680" s="38" t="s">
        <v>22</v>
      </c>
      <c r="H680" s="39" t="s">
        <v>1432</v>
      </c>
      <c r="I680" s="40" t="s">
        <v>1817</v>
      </c>
      <c r="J680" s="63" t="s">
        <v>1447</v>
      </c>
      <c r="K680" s="42" t="s">
        <v>282</v>
      </c>
      <c r="L680" s="43" t="s">
        <v>1818</v>
      </c>
      <c r="M680" s="44">
        <v>8.5432E7</v>
      </c>
      <c r="N680" s="44" t="s">
        <v>920</v>
      </c>
      <c r="O680" s="45">
        <v>0.147</v>
      </c>
      <c r="P680" s="44">
        <v>7.899823510734E12</v>
      </c>
      <c r="Q680" s="44">
        <v>1.0</v>
      </c>
    </row>
    <row r="681" ht="15.75" customHeight="1">
      <c r="A681" s="35" t="s">
        <v>1819</v>
      </c>
      <c r="B681" s="36">
        <v>118.75120808373612</v>
      </c>
      <c r="C681" s="36">
        <f>'Lista de Preço 02_2022'!$B681*0.9*0.9*0.9*0.9*0.9*0.97</f>
        <v>68.01775884</v>
      </c>
      <c r="D681" s="36">
        <f>'Lista de Preço 02_2022'!$C681*1.0325</f>
        <v>70.228336</v>
      </c>
      <c r="E681" s="37">
        <v>3.25</v>
      </c>
      <c r="F681" s="38">
        <v>0.18</v>
      </c>
      <c r="G681" s="38" t="s">
        <v>22</v>
      </c>
      <c r="H681" s="39" t="s">
        <v>1432</v>
      </c>
      <c r="I681" s="40" t="s">
        <v>1817</v>
      </c>
      <c r="J681" s="63" t="s">
        <v>1447</v>
      </c>
      <c r="K681" s="42" t="s">
        <v>282</v>
      </c>
      <c r="L681" s="43" t="s">
        <v>1820</v>
      </c>
      <c r="M681" s="44">
        <v>8.5432E7</v>
      </c>
      <c r="N681" s="44" t="s">
        <v>920</v>
      </c>
      <c r="O681" s="45">
        <v>0.147</v>
      </c>
      <c r="P681" s="44">
        <v>7.899823510741E12</v>
      </c>
      <c r="Q681" s="44">
        <v>1.0</v>
      </c>
    </row>
    <row r="682" ht="15.75" customHeight="1">
      <c r="A682" s="35" t="s">
        <v>1821</v>
      </c>
      <c r="B682" s="36">
        <v>153.2273652693369</v>
      </c>
      <c r="C682" s="36">
        <f>'Lista de Preço 02_2022'!$B682*0.9*0.9*0.9*0.9*0.9*0.97</f>
        <v>87.76485011</v>
      </c>
      <c r="D682" s="36">
        <f>'Lista de Preço 02_2022'!$C682*1.0325</f>
        <v>90.61720774</v>
      </c>
      <c r="E682" s="37">
        <v>3.25</v>
      </c>
      <c r="F682" s="38">
        <v>0.18</v>
      </c>
      <c r="G682" s="38" t="s">
        <v>22</v>
      </c>
      <c r="H682" s="39" t="s">
        <v>1432</v>
      </c>
      <c r="I682" s="40" t="s">
        <v>1822</v>
      </c>
      <c r="J682" s="63" t="s">
        <v>1434</v>
      </c>
      <c r="K682" s="42" t="s">
        <v>282</v>
      </c>
      <c r="L682" s="43" t="s">
        <v>1823</v>
      </c>
      <c r="M682" s="44">
        <v>8.5432E7</v>
      </c>
      <c r="N682" s="44" t="s">
        <v>920</v>
      </c>
      <c r="O682" s="45">
        <v>0.317</v>
      </c>
      <c r="P682" s="44">
        <v>7.899823510758E12</v>
      </c>
      <c r="Q682" s="44">
        <v>1.0</v>
      </c>
    </row>
    <row r="683" ht="15.75" customHeight="1">
      <c r="A683" s="35" t="s">
        <v>1824</v>
      </c>
      <c r="B683" s="36">
        <v>153.2273652693369</v>
      </c>
      <c r="C683" s="36">
        <f>'Lista de Preço 02_2022'!$B683*0.9*0.9*0.9*0.9*0.9*0.97</f>
        <v>87.76485011</v>
      </c>
      <c r="D683" s="36">
        <f>'Lista de Preço 02_2022'!$C683*1.0325</f>
        <v>90.61720774</v>
      </c>
      <c r="E683" s="37">
        <v>3.25</v>
      </c>
      <c r="F683" s="38">
        <v>0.18</v>
      </c>
      <c r="G683" s="38" t="s">
        <v>22</v>
      </c>
      <c r="H683" s="39" t="s">
        <v>1432</v>
      </c>
      <c r="I683" s="40" t="s">
        <v>1822</v>
      </c>
      <c r="J683" s="63" t="s">
        <v>1434</v>
      </c>
      <c r="K683" s="42" t="s">
        <v>282</v>
      </c>
      <c r="L683" s="43" t="s">
        <v>1825</v>
      </c>
      <c r="M683" s="44">
        <v>8.5432E7</v>
      </c>
      <c r="N683" s="44" t="s">
        <v>920</v>
      </c>
      <c r="O683" s="45">
        <v>0.318</v>
      </c>
      <c r="P683" s="44">
        <v>7.899823510765E12</v>
      </c>
      <c r="Q683" s="44">
        <v>1.0</v>
      </c>
    </row>
    <row r="684" ht="15.75" customHeight="1">
      <c r="A684" s="35" t="s">
        <v>1826</v>
      </c>
      <c r="B684" s="36">
        <v>153.2273652693369</v>
      </c>
      <c r="C684" s="36">
        <f>'Lista de Preço 02_2022'!$B684*0.9*0.9*0.9*0.9*0.9*0.97</f>
        <v>87.76485011</v>
      </c>
      <c r="D684" s="36">
        <v>103.85</v>
      </c>
      <c r="E684" s="37">
        <v>3.25</v>
      </c>
      <c r="F684" s="38">
        <v>0.18</v>
      </c>
      <c r="G684" s="38" t="s">
        <v>22</v>
      </c>
      <c r="H684" s="39" t="s">
        <v>1432</v>
      </c>
      <c r="I684" s="40" t="s">
        <v>1822</v>
      </c>
      <c r="J684" s="63" t="s">
        <v>1434</v>
      </c>
      <c r="K684" s="42" t="s">
        <v>282</v>
      </c>
      <c r="L684" s="43" t="s">
        <v>1827</v>
      </c>
      <c r="M684" s="44">
        <v>8.5432E7</v>
      </c>
      <c r="N684" s="44" t="s">
        <v>920</v>
      </c>
      <c r="O684" s="45">
        <v>0.166</v>
      </c>
      <c r="P684" s="44">
        <v>7.899823510772E12</v>
      </c>
      <c r="Q684" s="44">
        <v>1.0</v>
      </c>
    </row>
    <row r="685" ht="15.75" customHeight="1">
      <c r="A685" s="50" t="s">
        <v>1828</v>
      </c>
      <c r="B685" s="36">
        <v>1007.66149184</v>
      </c>
      <c r="C685" s="51">
        <f>'Lista de Preço 02_2022'!$B685*0.9*0.9*0.9*0.9*0.9*0.97</f>
        <v>577.1636133</v>
      </c>
      <c r="D685" s="36">
        <f>'Lista de Preço 02_2022'!$C685*1.1712</f>
        <v>675.9740239</v>
      </c>
      <c r="E685" s="52">
        <v>3.25</v>
      </c>
      <c r="F685" s="53">
        <v>0.18</v>
      </c>
      <c r="G685" s="53" t="s">
        <v>22</v>
      </c>
      <c r="H685" s="54" t="s">
        <v>23</v>
      </c>
      <c r="I685" s="55" t="s">
        <v>1829</v>
      </c>
      <c r="J685" s="56" t="s">
        <v>500</v>
      </c>
      <c r="K685" s="57" t="s">
        <v>95</v>
      </c>
      <c r="L685" s="58" t="s">
        <v>1830</v>
      </c>
      <c r="M685" s="57">
        <v>8.708999E7</v>
      </c>
      <c r="N685" s="59" t="s">
        <v>28</v>
      </c>
      <c r="O685" s="60">
        <v>4.14</v>
      </c>
      <c r="P685" s="59">
        <v>7.899823509769E12</v>
      </c>
      <c r="Q685" s="59">
        <v>1.0</v>
      </c>
    </row>
    <row r="686" ht="15.75" customHeight="1">
      <c r="A686" s="35" t="s">
        <v>1831</v>
      </c>
      <c r="B686" s="36">
        <v>153.2273652693369</v>
      </c>
      <c r="C686" s="36">
        <f>'Lista de Preço 02_2022'!$B686*0.9*0.9*0.9*0.9*0.9*0.97</f>
        <v>87.76485011</v>
      </c>
      <c r="D686" s="36">
        <f>'Lista de Preço 02_2022'!$C686*1.0325</f>
        <v>90.61720774</v>
      </c>
      <c r="E686" s="37">
        <v>3.25</v>
      </c>
      <c r="F686" s="38">
        <v>0.18</v>
      </c>
      <c r="G686" s="38" t="s">
        <v>22</v>
      </c>
      <c r="H686" s="39" t="s">
        <v>1432</v>
      </c>
      <c r="I686" s="40" t="s">
        <v>1822</v>
      </c>
      <c r="J686" s="63" t="s">
        <v>1434</v>
      </c>
      <c r="K686" s="42" t="s">
        <v>282</v>
      </c>
      <c r="L686" s="43" t="s">
        <v>1832</v>
      </c>
      <c r="M686" s="44">
        <v>8.5432E7</v>
      </c>
      <c r="N686" s="44" t="s">
        <v>920</v>
      </c>
      <c r="O686" s="45">
        <v>0.136</v>
      </c>
      <c r="P686" s="44">
        <v>7.899823510789E12</v>
      </c>
      <c r="Q686" s="44">
        <v>1.0</v>
      </c>
    </row>
    <row r="687" ht="15.75" customHeight="1">
      <c r="A687" s="35" t="s">
        <v>1833</v>
      </c>
      <c r="B687" s="36">
        <v>183.87283832320426</v>
      </c>
      <c r="C687" s="36">
        <f>'Lista de Preço 02_2022'!$B687*0.9*0.9*0.9*0.9*0.9*0.97</f>
        <v>105.3178201</v>
      </c>
      <c r="D687" s="36">
        <f>'Lista de Preço 02_2022'!$C687*1.0325</f>
        <v>108.7406493</v>
      </c>
      <c r="E687" s="37">
        <v>3.25</v>
      </c>
      <c r="F687" s="38">
        <v>0.18</v>
      </c>
      <c r="G687" s="38" t="s">
        <v>22</v>
      </c>
      <c r="H687" s="39" t="s">
        <v>1432</v>
      </c>
      <c r="I687" s="40" t="s">
        <v>1834</v>
      </c>
      <c r="J687" s="63" t="s">
        <v>1434</v>
      </c>
      <c r="K687" s="42" t="s">
        <v>282</v>
      </c>
      <c r="L687" s="43" t="s">
        <v>1835</v>
      </c>
      <c r="M687" s="44">
        <v>8.5432E7</v>
      </c>
      <c r="N687" s="44" t="s">
        <v>920</v>
      </c>
      <c r="O687" s="45">
        <v>0.347</v>
      </c>
      <c r="P687" s="44">
        <v>7.899823510796E12</v>
      </c>
      <c r="Q687" s="44">
        <v>1.0</v>
      </c>
    </row>
    <row r="688" ht="15.75" customHeight="1">
      <c r="A688" s="35" t="s">
        <v>1836</v>
      </c>
      <c r="B688" s="36">
        <v>183.87283832320426</v>
      </c>
      <c r="C688" s="36">
        <f>'Lista de Preço 02_2022'!$B688*0.9*0.9*0.9*0.9*0.9*0.97</f>
        <v>105.3178201</v>
      </c>
      <c r="D688" s="36">
        <f>'Lista de Preço 02_2022'!$C688*1.0325</f>
        <v>108.7406493</v>
      </c>
      <c r="E688" s="37">
        <v>3.25</v>
      </c>
      <c r="F688" s="38">
        <v>0.18</v>
      </c>
      <c r="G688" s="38" t="s">
        <v>22</v>
      </c>
      <c r="H688" s="39" t="s">
        <v>1432</v>
      </c>
      <c r="I688" s="40" t="s">
        <v>1834</v>
      </c>
      <c r="J688" s="63" t="s">
        <v>1434</v>
      </c>
      <c r="K688" s="42" t="s">
        <v>282</v>
      </c>
      <c r="L688" s="43" t="s">
        <v>1837</v>
      </c>
      <c r="M688" s="44">
        <v>8.5432E7</v>
      </c>
      <c r="N688" s="44" t="s">
        <v>920</v>
      </c>
      <c r="O688" s="45">
        <v>0.344</v>
      </c>
      <c r="P688" s="44">
        <v>7.899823510802E12</v>
      </c>
      <c r="Q688" s="44">
        <v>1.0</v>
      </c>
    </row>
    <row r="689" ht="15.75" customHeight="1">
      <c r="A689" s="50" t="s">
        <v>1838</v>
      </c>
      <c r="B689" s="36">
        <v>193.28420401000002</v>
      </c>
      <c r="C689" s="51">
        <f>'Lista de Preço 02_2022'!$B689*0.9*0.9*0.9*0.9*0.9*0.97</f>
        <v>110.7084179</v>
      </c>
      <c r="D689" s="36">
        <f>'Lista de Preço 02_2022'!$C689*1.1712</f>
        <v>129.6616991</v>
      </c>
      <c r="E689" s="52">
        <v>3.25</v>
      </c>
      <c r="F689" s="53">
        <v>0.18</v>
      </c>
      <c r="G689" s="53" t="s">
        <v>22</v>
      </c>
      <c r="H689" s="54" t="s">
        <v>23</v>
      </c>
      <c r="I689" s="55" t="s">
        <v>1839</v>
      </c>
      <c r="J689" s="56" t="s">
        <v>25</v>
      </c>
      <c r="K689" s="57" t="s">
        <v>625</v>
      </c>
      <c r="L689" s="58"/>
      <c r="M689" s="57">
        <v>8.708999E7</v>
      </c>
      <c r="N689" s="59" t="s">
        <v>28</v>
      </c>
      <c r="O689" s="60">
        <v>2.06</v>
      </c>
      <c r="P689" s="59">
        <v>7.899823511076E12</v>
      </c>
      <c r="Q689" s="59">
        <v>1.0</v>
      </c>
    </row>
    <row r="690" ht="15.75" customHeight="1">
      <c r="A690" s="35" t="s">
        <v>1840</v>
      </c>
      <c r="B690" s="36">
        <v>153.2273652693369</v>
      </c>
      <c r="C690" s="36">
        <f>'Lista de Preço 02_2022'!$B690*0.9*0.9*0.9*0.9*0.9*0.97</f>
        <v>87.76485011</v>
      </c>
      <c r="D690" s="36">
        <f>'Lista de Preço 02_2022'!$C690*1.0325</f>
        <v>90.61720774</v>
      </c>
      <c r="E690" s="37">
        <v>3.25</v>
      </c>
      <c r="F690" s="38">
        <v>0.18</v>
      </c>
      <c r="G690" s="38" t="s">
        <v>22</v>
      </c>
      <c r="H690" s="39" t="s">
        <v>1432</v>
      </c>
      <c r="I690" s="40" t="s">
        <v>1841</v>
      </c>
      <c r="J690" s="63" t="s">
        <v>1438</v>
      </c>
      <c r="K690" s="42" t="s">
        <v>294</v>
      </c>
      <c r="L690" s="43" t="s">
        <v>1842</v>
      </c>
      <c r="M690" s="44">
        <v>8.5432E7</v>
      </c>
      <c r="N690" s="44" t="s">
        <v>920</v>
      </c>
      <c r="O690" s="45">
        <v>0.107</v>
      </c>
      <c r="P690" s="44">
        <v>7.899823510819E12</v>
      </c>
      <c r="Q690" s="44">
        <v>1.0</v>
      </c>
    </row>
    <row r="691" ht="15.75" customHeight="1">
      <c r="A691" s="35" t="s">
        <v>1843</v>
      </c>
      <c r="B691" s="36">
        <v>157.0580494010703</v>
      </c>
      <c r="C691" s="36">
        <f>'Lista de Preço 02_2022'!$B691*0.9*0.9*0.9*0.9*0.9*0.97</f>
        <v>89.95897136</v>
      </c>
      <c r="D691" s="36">
        <f>'Lista de Preço 02_2022'!$C691*1.0325</f>
        <v>92.88263793</v>
      </c>
      <c r="E691" s="37">
        <v>3.25</v>
      </c>
      <c r="F691" s="38">
        <v>0.18</v>
      </c>
      <c r="G691" s="38" t="s">
        <v>22</v>
      </c>
      <c r="H691" s="39" t="s">
        <v>1432</v>
      </c>
      <c r="I691" s="40" t="s">
        <v>1844</v>
      </c>
      <c r="J691" s="63" t="s">
        <v>1438</v>
      </c>
      <c r="K691" s="42" t="s">
        <v>294</v>
      </c>
      <c r="L691" s="43" t="s">
        <v>1845</v>
      </c>
      <c r="M691" s="44">
        <v>8.5432E7</v>
      </c>
      <c r="N691" s="44" t="s">
        <v>920</v>
      </c>
      <c r="O691" s="45">
        <v>0.092</v>
      </c>
      <c r="P691" s="44">
        <v>7.899823510826E12</v>
      </c>
      <c r="Q691" s="44">
        <v>1.0</v>
      </c>
    </row>
    <row r="692" ht="15.75" customHeight="1">
      <c r="A692" s="50" t="s">
        <v>1846</v>
      </c>
      <c r="B692" s="36">
        <v>554.5503963415001</v>
      </c>
      <c r="C692" s="51">
        <f>'Lista de Preço 02_2022'!$B692*0.9*0.9*0.9*0.9*0.9*0.97</f>
        <v>317.6327696</v>
      </c>
      <c r="D692" s="36">
        <f>'Lista de Preço 02_2022'!$C692*1.1712</f>
        <v>372.0114998</v>
      </c>
      <c r="E692" s="52">
        <v>3.25</v>
      </c>
      <c r="F692" s="53">
        <v>0.18</v>
      </c>
      <c r="G692" s="53" t="s">
        <v>22</v>
      </c>
      <c r="H692" s="54" t="s">
        <v>23</v>
      </c>
      <c r="I692" s="55" t="s">
        <v>1847</v>
      </c>
      <c r="J692" s="56" t="s">
        <v>372</v>
      </c>
      <c r="K692" s="57" t="s">
        <v>625</v>
      </c>
      <c r="L692" s="58"/>
      <c r="M692" s="57">
        <v>8.708999E7</v>
      </c>
      <c r="N692" s="59" t="s">
        <v>28</v>
      </c>
      <c r="O692" s="60">
        <v>3.48</v>
      </c>
      <c r="P692" s="59">
        <v>7.899823511083E12</v>
      </c>
      <c r="Q692" s="59">
        <v>1.0</v>
      </c>
    </row>
    <row r="693" ht="15.75" customHeight="1">
      <c r="A693" s="35" t="s">
        <v>1848</v>
      </c>
      <c r="B693" s="36">
        <v>157.0580494010703</v>
      </c>
      <c r="C693" s="36">
        <f>'Lista de Preço 02_2022'!$B693*0.9*0.9*0.9*0.9*0.9*0.97</f>
        <v>89.95897136</v>
      </c>
      <c r="D693" s="36">
        <f>'Lista de Preço 02_2022'!$C693*1.0325</f>
        <v>92.88263793</v>
      </c>
      <c r="E693" s="37">
        <v>3.25</v>
      </c>
      <c r="F693" s="38">
        <v>0.18</v>
      </c>
      <c r="G693" s="38" t="s">
        <v>22</v>
      </c>
      <c r="H693" s="39" t="s">
        <v>1432</v>
      </c>
      <c r="I693" s="40" t="s">
        <v>1844</v>
      </c>
      <c r="J693" s="63" t="s">
        <v>1438</v>
      </c>
      <c r="K693" s="42" t="s">
        <v>294</v>
      </c>
      <c r="L693" s="43" t="s">
        <v>1849</v>
      </c>
      <c r="M693" s="44">
        <v>8.5432E7</v>
      </c>
      <c r="N693" s="44" t="s">
        <v>920</v>
      </c>
      <c r="O693" s="45">
        <v>0.09</v>
      </c>
      <c r="P693" s="44">
        <v>7.899823510833E12</v>
      </c>
      <c r="Q693" s="44">
        <v>1.0</v>
      </c>
    </row>
    <row r="694" ht="15.75" customHeight="1">
      <c r="A694" s="35" t="s">
        <v>1850</v>
      </c>
      <c r="B694" s="36">
        <v>126.41257634720293</v>
      </c>
      <c r="C694" s="36">
        <f>'Lista de Preço 02_2022'!$B694*0.9*0.9*0.9*0.9*0.9*0.97</f>
        <v>72.40600134</v>
      </c>
      <c r="D694" s="36">
        <f>'Lista de Preço 02_2022'!$C694*1.0325</f>
        <v>74.75919638</v>
      </c>
      <c r="E694" s="37">
        <v>3.25</v>
      </c>
      <c r="F694" s="38">
        <v>0.18</v>
      </c>
      <c r="G694" s="38" t="s">
        <v>22</v>
      </c>
      <c r="H694" s="39" t="s">
        <v>1432</v>
      </c>
      <c r="I694" s="40" t="s">
        <v>1851</v>
      </c>
      <c r="J694" s="63" t="s">
        <v>1438</v>
      </c>
      <c r="K694" s="42" t="s">
        <v>294</v>
      </c>
      <c r="L694" s="43" t="s">
        <v>1852</v>
      </c>
      <c r="M694" s="44">
        <v>8.5432E7</v>
      </c>
      <c r="N694" s="44" t="s">
        <v>920</v>
      </c>
      <c r="O694" s="45">
        <v>0.109</v>
      </c>
      <c r="P694" s="44">
        <v>7.89982351084E12</v>
      </c>
      <c r="Q694" s="44">
        <v>1.0</v>
      </c>
    </row>
    <row r="695" ht="15.75" customHeight="1">
      <c r="A695" s="35" t="s">
        <v>1853</v>
      </c>
      <c r="B695" s="36">
        <v>126.41257634720293</v>
      </c>
      <c r="C695" s="36">
        <f>'Lista de Preço 02_2022'!$B695*0.9*0.9*0.9*0.9*0.9*0.97</f>
        <v>72.40600134</v>
      </c>
      <c r="D695" s="36">
        <f>'Lista de Preço 02_2022'!$C695*1.0325</f>
        <v>74.75919638</v>
      </c>
      <c r="E695" s="37">
        <v>3.25</v>
      </c>
      <c r="F695" s="38">
        <v>0.18</v>
      </c>
      <c r="G695" s="38" t="s">
        <v>22</v>
      </c>
      <c r="H695" s="39" t="s">
        <v>1432</v>
      </c>
      <c r="I695" s="40" t="s">
        <v>1851</v>
      </c>
      <c r="J695" s="63" t="s">
        <v>1438</v>
      </c>
      <c r="K695" s="42" t="s">
        <v>294</v>
      </c>
      <c r="L695" s="43" t="s">
        <v>1854</v>
      </c>
      <c r="M695" s="44">
        <v>8.5432E7</v>
      </c>
      <c r="N695" s="44" t="s">
        <v>920</v>
      </c>
      <c r="O695" s="45">
        <v>0.085</v>
      </c>
      <c r="P695" s="44">
        <v>7.899823510857E12</v>
      </c>
      <c r="Q695" s="44">
        <v>1.0</v>
      </c>
    </row>
    <row r="696" ht="15.75" customHeight="1">
      <c r="A696" s="35" t="s">
        <v>1855</v>
      </c>
      <c r="B696" s="36">
        <v>42.948169474700755</v>
      </c>
      <c r="C696" s="36">
        <f>'Lista de Preço 02_2022'!$B696*0.9*0.9*0.9*0.9*0.9*0.97</f>
        <v>24.59965066</v>
      </c>
      <c r="D696" s="36">
        <f>'Lista de Preço 02_2022'!$C696*1.065</f>
        <v>26.19862795</v>
      </c>
      <c r="E696" s="37">
        <v>6.5</v>
      </c>
      <c r="F696" s="38">
        <v>0.18</v>
      </c>
      <c r="G696" s="38" t="s">
        <v>37</v>
      </c>
      <c r="H696" s="39" t="s">
        <v>559</v>
      </c>
      <c r="I696" s="40" t="s">
        <v>1856</v>
      </c>
      <c r="J696" s="41" t="s">
        <v>40</v>
      </c>
      <c r="K696" s="42" t="s">
        <v>303</v>
      </c>
      <c r="L696" s="43">
        <v>3.669901401E9</v>
      </c>
      <c r="M696" s="42">
        <v>7.31815E7</v>
      </c>
      <c r="N696" s="44" t="s">
        <v>920</v>
      </c>
      <c r="O696" s="45">
        <v>0.488</v>
      </c>
      <c r="P696" s="44">
        <v>7.898233438089E12</v>
      </c>
      <c r="Q696" s="48">
        <v>5.0</v>
      </c>
    </row>
    <row r="697" ht="15.75" customHeight="1">
      <c r="A697" s="35" t="s">
        <v>1857</v>
      </c>
      <c r="B697" s="36">
        <v>145.56599700587003</v>
      </c>
      <c r="C697" s="36">
        <f>'Lista de Preço 02_2022'!$B697*0.9*0.9*0.9*0.9*0.9*0.97</f>
        <v>83.3766076</v>
      </c>
      <c r="D697" s="36">
        <f>'Lista de Preço 02_2022'!$C697*1.0325</f>
        <v>86.08634735</v>
      </c>
      <c r="E697" s="37">
        <v>3.25</v>
      </c>
      <c r="F697" s="38">
        <v>0.18</v>
      </c>
      <c r="G697" s="38" t="s">
        <v>22</v>
      </c>
      <c r="H697" s="39" t="s">
        <v>1432</v>
      </c>
      <c r="I697" s="40" t="s">
        <v>1858</v>
      </c>
      <c r="J697" s="63" t="s">
        <v>1526</v>
      </c>
      <c r="K697" s="42" t="s">
        <v>153</v>
      </c>
      <c r="L697" s="43" t="s">
        <v>1859</v>
      </c>
      <c r="M697" s="44">
        <v>8.5432E7</v>
      </c>
      <c r="N697" s="44" t="s">
        <v>920</v>
      </c>
      <c r="O697" s="45">
        <v>0.114</v>
      </c>
      <c r="P697" s="44">
        <v>7.899823510864E12</v>
      </c>
      <c r="Q697" s="44">
        <v>1.0</v>
      </c>
    </row>
    <row r="698" ht="15.75" customHeight="1">
      <c r="A698" s="35" t="s">
        <v>1860</v>
      </c>
      <c r="B698" s="36">
        <v>39.71166849255733</v>
      </c>
      <c r="C698" s="36">
        <f>'Lista de Preço 02_2022'!$B698*0.9*0.9*0.9*0.9*0.9*0.97</f>
        <v>22.74586283</v>
      </c>
      <c r="D698" s="36">
        <f>'Lista de Preço 02_2022'!$C698*1.065</f>
        <v>24.22434392</v>
      </c>
      <c r="E698" s="37">
        <v>6.5</v>
      </c>
      <c r="F698" s="38">
        <v>0.18</v>
      </c>
      <c r="G698" s="38" t="s">
        <v>37</v>
      </c>
      <c r="H698" s="39" t="s">
        <v>559</v>
      </c>
      <c r="I698" s="40" t="s">
        <v>1861</v>
      </c>
      <c r="J698" s="41" t="s">
        <v>40</v>
      </c>
      <c r="K698" s="42" t="s">
        <v>303</v>
      </c>
      <c r="L698" s="43">
        <v>3.669901501E9</v>
      </c>
      <c r="M698" s="42">
        <v>7.31815E7</v>
      </c>
      <c r="N698" s="44" t="s">
        <v>920</v>
      </c>
      <c r="O698" s="45">
        <v>0.454</v>
      </c>
      <c r="P698" s="44">
        <v>7.898233438096E12</v>
      </c>
      <c r="Q698" s="48">
        <v>5.0</v>
      </c>
    </row>
    <row r="699" ht="15.75" customHeight="1">
      <c r="A699" s="35" t="s">
        <v>1862</v>
      </c>
      <c r="B699" s="36">
        <v>157.0580494010703</v>
      </c>
      <c r="C699" s="36">
        <f>'Lista de Preço 02_2022'!$B699*0.9*0.9*0.9*0.9*0.9*0.97</f>
        <v>89.95897136</v>
      </c>
      <c r="D699" s="36">
        <f>'Lista de Preço 02_2022'!$C699*1.0325</f>
        <v>92.88263793</v>
      </c>
      <c r="E699" s="37">
        <v>3.25</v>
      </c>
      <c r="F699" s="38">
        <v>0.18</v>
      </c>
      <c r="G699" s="38" t="s">
        <v>22</v>
      </c>
      <c r="H699" s="39" t="s">
        <v>1432</v>
      </c>
      <c r="I699" s="40" t="s">
        <v>1863</v>
      </c>
      <c r="J699" s="63" t="s">
        <v>1438</v>
      </c>
      <c r="K699" s="42" t="s">
        <v>153</v>
      </c>
      <c r="L699" s="43" t="s">
        <v>1864</v>
      </c>
      <c r="M699" s="44">
        <v>8.5432E7</v>
      </c>
      <c r="N699" s="44" t="s">
        <v>920</v>
      </c>
      <c r="O699" s="45">
        <v>0.084</v>
      </c>
      <c r="P699" s="44">
        <v>7.899823510871E12</v>
      </c>
      <c r="Q699" s="44">
        <v>1.0</v>
      </c>
    </row>
    <row r="700" ht="15.75" customHeight="1">
      <c r="A700" s="35" t="s">
        <v>1865</v>
      </c>
      <c r="B700" s="36">
        <v>49.08362225680085</v>
      </c>
      <c r="C700" s="36">
        <f>'Lista de Preço 02_2022'!$B700*0.9*0.9*0.9*0.9*0.9*0.97</f>
        <v>28.11388646</v>
      </c>
      <c r="D700" s="36">
        <f>'Lista de Preço 02_2022'!$C700*1.065</f>
        <v>29.94128908</v>
      </c>
      <c r="E700" s="37">
        <v>6.5</v>
      </c>
      <c r="F700" s="38">
        <v>0.18</v>
      </c>
      <c r="G700" s="38" t="s">
        <v>37</v>
      </c>
      <c r="H700" s="39" t="s">
        <v>559</v>
      </c>
      <c r="I700" s="40" t="s">
        <v>765</v>
      </c>
      <c r="J700" s="41" t="s">
        <v>40</v>
      </c>
      <c r="K700" s="42" t="s">
        <v>303</v>
      </c>
      <c r="L700" s="43">
        <v>3.149901001E9</v>
      </c>
      <c r="M700" s="42">
        <v>7.31815E7</v>
      </c>
      <c r="N700" s="44" t="s">
        <v>920</v>
      </c>
      <c r="O700" s="45">
        <v>0.524</v>
      </c>
      <c r="P700" s="44">
        <v>7.898233432032E12</v>
      </c>
      <c r="Q700" s="48">
        <v>5.0</v>
      </c>
    </row>
    <row r="701" ht="15.75" customHeight="1">
      <c r="A701" s="35" t="s">
        <v>1866</v>
      </c>
      <c r="B701" s="36">
        <v>171.6146491016574</v>
      </c>
      <c r="C701" s="36">
        <f>'Lista de Preço 02_2022'!$B701*0.9*0.9*0.9*0.9*0.9*0.97</f>
        <v>98.29663212</v>
      </c>
      <c r="D701" s="36">
        <f>'Lista de Preço 02_2022'!$C701*1.0325</f>
        <v>101.4912727</v>
      </c>
      <c r="E701" s="37">
        <v>3.25</v>
      </c>
      <c r="F701" s="38">
        <v>0.18</v>
      </c>
      <c r="G701" s="38" t="s">
        <v>22</v>
      </c>
      <c r="H701" s="39" t="s">
        <v>1432</v>
      </c>
      <c r="I701" s="40" t="s">
        <v>1858</v>
      </c>
      <c r="J701" s="63" t="s">
        <v>1526</v>
      </c>
      <c r="K701" s="42" t="s">
        <v>153</v>
      </c>
      <c r="L701" s="43">
        <v>7.700302428E9</v>
      </c>
      <c r="M701" s="44">
        <v>8.5432E7</v>
      </c>
      <c r="N701" s="44" t="s">
        <v>920</v>
      </c>
      <c r="O701" s="45">
        <v>0.093</v>
      </c>
      <c r="P701" s="44">
        <v>7.899823510888E12</v>
      </c>
      <c r="Q701" s="44">
        <v>1.0</v>
      </c>
    </row>
    <row r="702" ht="15.75" customHeight="1">
      <c r="A702" s="35" t="s">
        <v>1867</v>
      </c>
      <c r="B702" s="36">
        <v>68.5026281496614</v>
      </c>
      <c r="C702" s="36">
        <f>'Lista de Preço 02_2022'!$B702*0.9*0.9*0.9*0.9*0.9*0.97</f>
        <v>39.23661339</v>
      </c>
      <c r="D702" s="36">
        <f>'Lista de Preço 02_2022'!$C702*1.065</f>
        <v>41.78699326</v>
      </c>
      <c r="E702" s="37">
        <v>6.5</v>
      </c>
      <c r="F702" s="38">
        <v>0.18</v>
      </c>
      <c r="G702" s="38" t="s">
        <v>37</v>
      </c>
      <c r="H702" s="39" t="s">
        <v>559</v>
      </c>
      <c r="I702" s="40" t="s">
        <v>1868</v>
      </c>
      <c r="J702" s="41" t="s">
        <v>40</v>
      </c>
      <c r="K702" s="42" t="s">
        <v>303</v>
      </c>
      <c r="L702" s="43">
        <v>3.269900401E9</v>
      </c>
      <c r="M702" s="42">
        <v>7.31815E7</v>
      </c>
      <c r="N702" s="44" t="s">
        <v>920</v>
      </c>
      <c r="O702" s="45">
        <v>0.802</v>
      </c>
      <c r="P702" s="44">
        <v>7.898233438102E12</v>
      </c>
      <c r="Q702" s="48">
        <v>5.0</v>
      </c>
    </row>
    <row r="703" ht="15.75" customHeight="1">
      <c r="A703" s="35" t="s">
        <v>1869</v>
      </c>
      <c r="B703" s="36">
        <v>199.19557485013794</v>
      </c>
      <c r="C703" s="36">
        <f>'Lista de Preço 02_2022'!$B703*0.9*0.9*0.9*0.9*0.9*0.97</f>
        <v>114.0943051</v>
      </c>
      <c r="D703" s="36">
        <f>'Lista de Preço 02_2022'!$C703*1.0325</f>
        <v>117.8023701</v>
      </c>
      <c r="E703" s="37">
        <v>3.25</v>
      </c>
      <c r="F703" s="38">
        <v>0.18</v>
      </c>
      <c r="G703" s="38" t="s">
        <v>22</v>
      </c>
      <c r="H703" s="39" t="s">
        <v>1432</v>
      </c>
      <c r="I703" s="40" t="s">
        <v>1870</v>
      </c>
      <c r="J703" s="63" t="s">
        <v>1434</v>
      </c>
      <c r="K703" s="42" t="s">
        <v>86</v>
      </c>
      <c r="L703" s="43" t="s">
        <v>1871</v>
      </c>
      <c r="M703" s="44">
        <v>8.5432E7</v>
      </c>
      <c r="N703" s="44" t="s">
        <v>920</v>
      </c>
      <c r="O703" s="45">
        <v>0.265</v>
      </c>
      <c r="P703" s="44">
        <v>7.899823510895E12</v>
      </c>
      <c r="Q703" s="44">
        <v>1.0</v>
      </c>
    </row>
    <row r="704" ht="15.75" customHeight="1">
      <c r="A704" s="35" t="s">
        <v>1872</v>
      </c>
      <c r="B704" s="36">
        <v>199.19557485013794</v>
      </c>
      <c r="C704" s="36">
        <f>'Lista de Preço 02_2022'!$B704*0.9*0.9*0.9*0.9*0.9*0.97</f>
        <v>114.0943051</v>
      </c>
      <c r="D704" s="36">
        <f>'Lista de Preço 02_2022'!$C704*1.0325</f>
        <v>117.8023701</v>
      </c>
      <c r="E704" s="37">
        <v>3.25</v>
      </c>
      <c r="F704" s="38">
        <v>0.18</v>
      </c>
      <c r="G704" s="38" t="s">
        <v>22</v>
      </c>
      <c r="H704" s="39" t="s">
        <v>1432</v>
      </c>
      <c r="I704" s="40" t="s">
        <v>1870</v>
      </c>
      <c r="J704" s="63" t="s">
        <v>1434</v>
      </c>
      <c r="K704" s="42" t="s">
        <v>86</v>
      </c>
      <c r="L704" s="43" t="s">
        <v>1873</v>
      </c>
      <c r="M704" s="44">
        <v>8.5432E7</v>
      </c>
      <c r="N704" s="44" t="s">
        <v>920</v>
      </c>
      <c r="O704" s="45">
        <v>0.318</v>
      </c>
      <c r="P704" s="44">
        <v>7.899823510901E12</v>
      </c>
      <c r="Q704" s="44">
        <v>1.0</v>
      </c>
    </row>
    <row r="705" ht="15.75" customHeight="1">
      <c r="A705" s="50" t="s">
        <v>1874</v>
      </c>
      <c r="B705" s="36">
        <v>523.81016577</v>
      </c>
      <c r="C705" s="51">
        <f>'Lista de Preço 02_2022'!$B705*0.9*0.9*0.9*0.9*0.9*0.97</f>
        <v>300.0255248</v>
      </c>
      <c r="D705" s="36">
        <f>'Lista de Preço 02_2022'!$C705*1.1712</f>
        <v>351.3898947</v>
      </c>
      <c r="E705" s="52">
        <v>3.25</v>
      </c>
      <c r="F705" s="53">
        <v>0.18</v>
      </c>
      <c r="G705" s="53" t="s">
        <v>22</v>
      </c>
      <c r="H705" s="54" t="s">
        <v>23</v>
      </c>
      <c r="I705" s="55" t="s">
        <v>1875</v>
      </c>
      <c r="J705" s="56" t="s">
        <v>1391</v>
      </c>
      <c r="K705" s="57" t="s">
        <v>1876</v>
      </c>
      <c r="L705" s="58" t="s">
        <v>1877</v>
      </c>
      <c r="M705" s="57">
        <v>8.708999E7</v>
      </c>
      <c r="N705" s="59" t="s">
        <v>28</v>
      </c>
      <c r="O705" s="60">
        <v>3.28</v>
      </c>
      <c r="P705" s="59">
        <v>7.89982351109E12</v>
      </c>
      <c r="Q705" s="59">
        <v>1.0</v>
      </c>
    </row>
    <row r="706" ht="15.75" customHeight="1">
      <c r="A706" s="35" t="s">
        <v>1878</v>
      </c>
      <c r="B706" s="36">
        <v>245.1637844309391</v>
      </c>
      <c r="C706" s="36">
        <f>'Lista de Preço 02_2022'!$B706*0.9*0.9*0.9*0.9*0.9*0.97</f>
        <v>140.4237602</v>
      </c>
      <c r="D706" s="36">
        <f>'Lista de Preço 02_2022'!$C706*1.0325</f>
        <v>144.9875324</v>
      </c>
      <c r="E706" s="37">
        <v>3.25</v>
      </c>
      <c r="F706" s="38">
        <v>0.18</v>
      </c>
      <c r="G706" s="38" t="s">
        <v>22</v>
      </c>
      <c r="H706" s="39" t="s">
        <v>1432</v>
      </c>
      <c r="I706" s="40" t="s">
        <v>1879</v>
      </c>
      <c r="J706" s="63" t="s">
        <v>1434</v>
      </c>
      <c r="K706" s="42" t="s">
        <v>86</v>
      </c>
      <c r="L706" s="43" t="s">
        <v>1880</v>
      </c>
      <c r="M706" s="44">
        <v>8.5432E7</v>
      </c>
      <c r="N706" s="44" t="s">
        <v>920</v>
      </c>
      <c r="O706" s="45">
        <v>0.127</v>
      </c>
      <c r="P706" s="44">
        <v>7.899823510918E12</v>
      </c>
      <c r="Q706" s="44">
        <v>1.0</v>
      </c>
    </row>
    <row r="707" ht="15.75" customHeight="1">
      <c r="A707" s="35" t="s">
        <v>1881</v>
      </c>
      <c r="B707" s="36">
        <v>245.1637844309391</v>
      </c>
      <c r="C707" s="36">
        <f>'Lista de Preço 02_2022'!$B707*0.9*0.9*0.9*0.9*0.9*0.97</f>
        <v>140.4237602</v>
      </c>
      <c r="D707" s="36">
        <f>'Lista de Preço 02_2022'!$C707*1.0325</f>
        <v>144.9875324</v>
      </c>
      <c r="E707" s="37">
        <v>3.25</v>
      </c>
      <c r="F707" s="38">
        <v>0.18</v>
      </c>
      <c r="G707" s="38" t="s">
        <v>22</v>
      </c>
      <c r="H707" s="39" t="s">
        <v>1432</v>
      </c>
      <c r="I707" s="40" t="s">
        <v>1879</v>
      </c>
      <c r="J707" s="63" t="s">
        <v>1434</v>
      </c>
      <c r="K707" s="42" t="s">
        <v>86</v>
      </c>
      <c r="L707" s="43" t="s">
        <v>1882</v>
      </c>
      <c r="M707" s="44">
        <v>8.5432E7</v>
      </c>
      <c r="N707" s="44" t="s">
        <v>920</v>
      </c>
      <c r="O707" s="45">
        <v>0.113</v>
      </c>
      <c r="P707" s="44">
        <v>7.899823510925E12</v>
      </c>
      <c r="Q707" s="44">
        <v>1.0</v>
      </c>
    </row>
    <row r="708" ht="15.75" customHeight="1">
      <c r="A708" s="35" t="s">
        <v>1883</v>
      </c>
      <c r="B708" s="36">
        <v>191.5342065866711</v>
      </c>
      <c r="C708" s="36">
        <f>'Lista de Preço 02_2022'!$B708*0.9*0.9*0.9*0.9*0.9*0.97</f>
        <v>109.7060626</v>
      </c>
      <c r="D708" s="36">
        <f>'Lista de Preço 02_2022'!$C708*1.0325</f>
        <v>113.2715097</v>
      </c>
      <c r="E708" s="37">
        <v>3.25</v>
      </c>
      <c r="F708" s="38">
        <v>0.18</v>
      </c>
      <c r="G708" s="38" t="s">
        <v>22</v>
      </c>
      <c r="H708" s="39" t="s">
        <v>1432</v>
      </c>
      <c r="I708" s="40" t="s">
        <v>1884</v>
      </c>
      <c r="J708" s="63" t="s">
        <v>1434</v>
      </c>
      <c r="K708" s="42" t="s">
        <v>86</v>
      </c>
      <c r="L708" s="43">
        <v>8.95437101E9</v>
      </c>
      <c r="M708" s="44">
        <v>8.5432E7</v>
      </c>
      <c r="N708" s="44" t="s">
        <v>920</v>
      </c>
      <c r="O708" s="45">
        <v>0.3</v>
      </c>
      <c r="P708" s="44">
        <v>7.899823510932E12</v>
      </c>
      <c r="Q708" s="44">
        <v>1.0</v>
      </c>
    </row>
    <row r="709" ht="15.75" customHeight="1">
      <c r="A709" s="35" t="s">
        <v>1885</v>
      </c>
      <c r="B709" s="36">
        <v>191.5342065866711</v>
      </c>
      <c r="C709" s="36">
        <f>'Lista de Preço 02_2022'!$B709*0.9*0.9*0.9*0.9*0.9*0.97</f>
        <v>109.7060626</v>
      </c>
      <c r="D709" s="36">
        <f>'Lista de Preço 02_2022'!$C709*1.0325</f>
        <v>113.2715097</v>
      </c>
      <c r="E709" s="37">
        <v>3.25</v>
      </c>
      <c r="F709" s="38">
        <v>0.18</v>
      </c>
      <c r="G709" s="38" t="s">
        <v>22</v>
      </c>
      <c r="H709" s="39" t="s">
        <v>1432</v>
      </c>
      <c r="I709" s="40" t="s">
        <v>1884</v>
      </c>
      <c r="J709" s="63" t="s">
        <v>1434</v>
      </c>
      <c r="K709" s="42" t="s">
        <v>86</v>
      </c>
      <c r="L709" s="43" t="s">
        <v>1886</v>
      </c>
      <c r="M709" s="44">
        <v>8.5432E7</v>
      </c>
      <c r="N709" s="44" t="s">
        <v>920</v>
      </c>
      <c r="O709" s="45">
        <v>0.253</v>
      </c>
      <c r="P709" s="44">
        <v>7.899823510949E12</v>
      </c>
      <c r="Q709" s="44">
        <v>1.0</v>
      </c>
    </row>
    <row r="710" ht="15.75" customHeight="1">
      <c r="A710" s="35" t="s">
        <v>1887</v>
      </c>
      <c r="B710" s="36">
        <v>531.8650068930002</v>
      </c>
      <c r="C710" s="36">
        <f>'Lista de Preço 02_2022'!$B710*0.9*0.9*0.9*0.9*0.9*0.97</f>
        <v>304.6391389</v>
      </c>
      <c r="D710" s="36">
        <f>'Lista de Preço 02_2022'!$C710*1.1712</f>
        <v>356.7933595</v>
      </c>
      <c r="E710" s="37">
        <v>3.25</v>
      </c>
      <c r="F710" s="38">
        <v>0.18</v>
      </c>
      <c r="G710" s="38" t="s">
        <v>22</v>
      </c>
      <c r="H710" s="39" t="s">
        <v>23</v>
      </c>
      <c r="I710" s="40" t="s">
        <v>1888</v>
      </c>
      <c r="J710" s="41" t="s">
        <v>1391</v>
      </c>
      <c r="K710" s="42" t="s">
        <v>277</v>
      </c>
      <c r="L710" s="43" t="s">
        <v>1889</v>
      </c>
      <c r="M710" s="42">
        <v>8.708999E7</v>
      </c>
      <c r="N710" s="44" t="s">
        <v>28</v>
      </c>
      <c r="O710" s="45">
        <v>3.44</v>
      </c>
      <c r="P710" s="44">
        <v>7.899823511106E12</v>
      </c>
      <c r="Q710" s="44">
        <v>1.0</v>
      </c>
    </row>
    <row r="711" ht="15.75" customHeight="1">
      <c r="A711" s="35" t="s">
        <v>1890</v>
      </c>
      <c r="B711" s="36">
        <v>5.423490376710959</v>
      </c>
      <c r="C711" s="36">
        <f>'Lista de Preço 02_2022'!$B711*0.9*0.9*0.9*0.9*0.9*0.97</f>
        <v>3.106441328</v>
      </c>
      <c r="D711" s="36">
        <f>'Lista de Preço 02_2022'!$C711*1.1712</f>
        <v>3.638264083</v>
      </c>
      <c r="E711" s="37">
        <v>3.25</v>
      </c>
      <c r="F711" s="38">
        <v>0.18</v>
      </c>
      <c r="G711" s="38" t="s">
        <v>37</v>
      </c>
      <c r="H711" s="39" t="s">
        <v>559</v>
      </c>
      <c r="I711" s="40" t="s">
        <v>1044</v>
      </c>
      <c r="J711" s="41" t="s">
        <v>40</v>
      </c>
      <c r="K711" s="42" t="s">
        <v>303</v>
      </c>
      <c r="L711" s="43">
        <v>3.52997032E9</v>
      </c>
      <c r="M711" s="42">
        <v>8.4099999E7</v>
      </c>
      <c r="N711" s="44" t="s">
        <v>1407</v>
      </c>
      <c r="O711" s="45">
        <v>0.066</v>
      </c>
      <c r="P711" s="44">
        <v>7.898233432056E12</v>
      </c>
      <c r="Q711" s="48">
        <v>10.0</v>
      </c>
    </row>
    <row r="712" ht="15.75" customHeight="1">
      <c r="A712" s="50" t="s">
        <v>1891</v>
      </c>
      <c r="B712" s="36">
        <v>221.592898904</v>
      </c>
      <c r="C712" s="51">
        <f>'Lista de Preço 02_2022'!$B712*0.9*0.9*0.9*0.9*0.9*0.97</f>
        <v>126.9229391</v>
      </c>
      <c r="D712" s="36">
        <f>'Lista de Preço 02_2022'!$C712*1.1712</f>
        <v>148.6521463</v>
      </c>
      <c r="E712" s="52">
        <v>3.25</v>
      </c>
      <c r="F712" s="53">
        <v>0.18</v>
      </c>
      <c r="G712" s="53" t="s">
        <v>22</v>
      </c>
      <c r="H712" s="54" t="s">
        <v>23</v>
      </c>
      <c r="I712" s="55" t="s">
        <v>1892</v>
      </c>
      <c r="J712" s="56" t="s">
        <v>1391</v>
      </c>
      <c r="K712" s="57" t="s">
        <v>68</v>
      </c>
      <c r="L712" s="58"/>
      <c r="M712" s="57">
        <v>8.708999E7</v>
      </c>
      <c r="N712" s="59" t="s">
        <v>28</v>
      </c>
      <c r="O712" s="60">
        <v>2.02</v>
      </c>
      <c r="P712" s="59">
        <v>7.899823509776E12</v>
      </c>
      <c r="Q712" s="59">
        <v>1.0</v>
      </c>
    </row>
    <row r="713" ht="15.75" customHeight="1">
      <c r="A713" s="35" t="s">
        <v>1893</v>
      </c>
      <c r="B713" s="36">
        <v>37.113708871548916</v>
      </c>
      <c r="C713" s="36">
        <f>'Lista de Preço 02_2022'!$B713*0.9*0.9*0.9*0.9*0.9*0.97</f>
        <v>21.25781573</v>
      </c>
      <c r="D713" s="36">
        <f>'Lista de Preço 02_2022'!$C713*1.1712</f>
        <v>24.89715379</v>
      </c>
      <c r="E713" s="37">
        <v>3.25</v>
      </c>
      <c r="F713" s="38">
        <v>0.18</v>
      </c>
      <c r="G713" s="38" t="s">
        <v>37</v>
      </c>
      <c r="H713" s="39" t="s">
        <v>793</v>
      </c>
      <c r="I713" s="40" t="s">
        <v>1894</v>
      </c>
      <c r="J713" s="41" t="s">
        <v>40</v>
      </c>
      <c r="K713" s="42" t="s">
        <v>303</v>
      </c>
      <c r="L713" s="43">
        <v>3.024260405E9</v>
      </c>
      <c r="M713" s="42">
        <v>8.708309E7</v>
      </c>
      <c r="N713" s="44" t="s">
        <v>28</v>
      </c>
      <c r="O713" s="45">
        <v>0.79</v>
      </c>
      <c r="P713" s="44">
        <v>7.898233432063E12</v>
      </c>
      <c r="Q713" s="44">
        <v>1.0</v>
      </c>
    </row>
    <row r="714" ht="15.75" customHeight="1">
      <c r="A714" s="35" t="s">
        <v>1895</v>
      </c>
      <c r="B714" s="36">
        <v>70.55770699415125</v>
      </c>
      <c r="C714" s="36">
        <f>'Lista de Preço 02_2022'!$B714*0.9*0.9*0.9*0.9*0.9*0.97</f>
        <v>40.41371179</v>
      </c>
      <c r="D714" s="36">
        <f>'Lista de Preço 02_2022'!$C714*1.1712</f>
        <v>47.33253925</v>
      </c>
      <c r="E714" s="37">
        <v>3.25</v>
      </c>
      <c r="F714" s="38">
        <v>0.18</v>
      </c>
      <c r="G714" s="38" t="s">
        <v>37</v>
      </c>
      <c r="H714" s="39" t="s">
        <v>48</v>
      </c>
      <c r="I714" s="40" t="s">
        <v>794</v>
      </c>
      <c r="J714" s="41" t="s">
        <v>40</v>
      </c>
      <c r="K714" s="42" t="s">
        <v>303</v>
      </c>
      <c r="L714" s="43">
        <v>3.122511006E9</v>
      </c>
      <c r="M714" s="42">
        <v>8.708999E7</v>
      </c>
      <c r="N714" s="44" t="s">
        <v>28</v>
      </c>
      <c r="O714" s="45">
        <v>0.794</v>
      </c>
      <c r="P714" s="44">
        <v>7.89823343207E12</v>
      </c>
      <c r="Q714" s="44">
        <v>1.0</v>
      </c>
    </row>
    <row r="715" ht="15.75" customHeight="1">
      <c r="A715" s="35" t="s">
        <v>1896</v>
      </c>
      <c r="B715" s="36">
        <v>484.558598745</v>
      </c>
      <c r="C715" s="36">
        <f>'Lista de Preço 02_2022'!$B715*0.9*0.9*0.9*0.9*0.9*0.97</f>
        <v>277.5431968</v>
      </c>
      <c r="D715" s="36">
        <f>'Lista de Preço 02_2022'!$C715*1.1712</f>
        <v>325.058592</v>
      </c>
      <c r="E715" s="37">
        <v>3.25</v>
      </c>
      <c r="F715" s="38">
        <v>0.18</v>
      </c>
      <c r="G715" s="38" t="s">
        <v>22</v>
      </c>
      <c r="H715" s="39" t="s">
        <v>23</v>
      </c>
      <c r="I715" s="40" t="s">
        <v>1892</v>
      </c>
      <c r="J715" s="41" t="s">
        <v>1391</v>
      </c>
      <c r="K715" s="42"/>
      <c r="L715" s="43" t="s">
        <v>1897</v>
      </c>
      <c r="M715" s="42">
        <v>8.708999E7</v>
      </c>
      <c r="N715" s="44" t="s">
        <v>28</v>
      </c>
      <c r="O715" s="45">
        <v>3.66</v>
      </c>
      <c r="P715" s="44">
        <v>7.899823509783E12</v>
      </c>
      <c r="Q715" s="44">
        <v>1.0</v>
      </c>
    </row>
    <row r="716" ht="15.75" customHeight="1">
      <c r="A716" s="35" t="s">
        <v>1898</v>
      </c>
      <c r="B716" s="36">
        <v>16.485445559381127</v>
      </c>
      <c r="C716" s="36">
        <f>'Lista de Preço 02_2022'!$B716*0.9*0.9*0.9*0.9*0.9*0.97</f>
        <v>9.442456026</v>
      </c>
      <c r="D716" s="36">
        <f>'Lista de Preço 02_2022'!$C716*1.1627</f>
        <v>10.97874362</v>
      </c>
      <c r="E716" s="37">
        <v>2.6</v>
      </c>
      <c r="F716" s="38">
        <v>0.18</v>
      </c>
      <c r="G716" s="38" t="s">
        <v>37</v>
      </c>
      <c r="H716" s="39" t="s">
        <v>38</v>
      </c>
      <c r="I716" s="40" t="s">
        <v>1044</v>
      </c>
      <c r="J716" s="41" t="s">
        <v>40</v>
      </c>
      <c r="K716" s="42" t="s">
        <v>303</v>
      </c>
      <c r="L716" s="43">
        <v>3.522510106E9</v>
      </c>
      <c r="M716" s="42">
        <v>8.70893E7</v>
      </c>
      <c r="N716" s="44" t="s">
        <v>28</v>
      </c>
      <c r="O716" s="45">
        <v>0.188</v>
      </c>
      <c r="P716" s="44">
        <v>7.898233432087E12</v>
      </c>
      <c r="Q716" s="44">
        <v>1.0</v>
      </c>
    </row>
    <row r="717" ht="15.75" customHeight="1">
      <c r="A717" s="50" t="s">
        <v>1899</v>
      </c>
      <c r="B717" s="36">
        <v>901.7644058960001</v>
      </c>
      <c r="C717" s="51">
        <f>'Lista de Preço 02_2022'!$B717*0.9*0.9*0.9*0.9*0.9*0.97</f>
        <v>516.5083781</v>
      </c>
      <c r="D717" s="36">
        <f>'Lista de Preço 02_2022'!$C717*1.1712</f>
        <v>604.9346124</v>
      </c>
      <c r="E717" s="52">
        <v>3.25</v>
      </c>
      <c r="F717" s="53">
        <v>0.18</v>
      </c>
      <c r="G717" s="53" t="s">
        <v>37</v>
      </c>
      <c r="H717" s="54" t="s">
        <v>23</v>
      </c>
      <c r="I717" s="55" t="s">
        <v>1900</v>
      </c>
      <c r="J717" s="56" t="s">
        <v>302</v>
      </c>
      <c r="K717" s="57" t="s">
        <v>1901</v>
      </c>
      <c r="L717" s="58"/>
      <c r="M717" s="57">
        <v>8.708999E7</v>
      </c>
      <c r="N717" s="59" t="s">
        <v>28</v>
      </c>
      <c r="O717" s="60">
        <v>6.92</v>
      </c>
      <c r="P717" s="59">
        <v>7.899823511113E12</v>
      </c>
      <c r="Q717" s="59">
        <v>1.0</v>
      </c>
    </row>
    <row r="718" ht="15.75" customHeight="1">
      <c r="A718" s="35" t="s">
        <v>1902</v>
      </c>
      <c r="B718" s="36">
        <v>191.5342065866711</v>
      </c>
      <c r="C718" s="36">
        <f>'Lista de Preço 02_2022'!$B718*0.9*0.9*0.9*0.9*0.9*0.97</f>
        <v>109.7060626</v>
      </c>
      <c r="D718" s="36">
        <f>'Lista de Preço 02_2022'!$C718*1.0325</f>
        <v>113.2715097</v>
      </c>
      <c r="E718" s="37">
        <v>3.25</v>
      </c>
      <c r="F718" s="38">
        <v>0.18</v>
      </c>
      <c r="G718" s="38" t="s">
        <v>22</v>
      </c>
      <c r="H718" s="39" t="s">
        <v>1432</v>
      </c>
      <c r="I718" s="40" t="s">
        <v>1903</v>
      </c>
      <c r="J718" s="63" t="s">
        <v>1438</v>
      </c>
      <c r="K718" s="42" t="s">
        <v>1904</v>
      </c>
      <c r="L718" s="43" t="s">
        <v>1905</v>
      </c>
      <c r="M718" s="44">
        <v>8.5432E7</v>
      </c>
      <c r="N718" s="44" t="s">
        <v>920</v>
      </c>
      <c r="O718" s="45">
        <v>0.126</v>
      </c>
      <c r="P718" s="44">
        <v>7.899823510956E12</v>
      </c>
      <c r="Q718" s="44">
        <v>1.0</v>
      </c>
    </row>
    <row r="719" ht="15.75" customHeight="1">
      <c r="A719" s="35" t="s">
        <v>1906</v>
      </c>
      <c r="B719" s="36">
        <v>191.5342065866711</v>
      </c>
      <c r="C719" s="36">
        <f>'Lista de Preço 02_2022'!$B719*0.9*0.9*0.9*0.9*0.9*0.97</f>
        <v>109.7060626</v>
      </c>
      <c r="D719" s="36">
        <f>'Lista de Preço 02_2022'!$C719*1.0325</f>
        <v>113.2715097</v>
      </c>
      <c r="E719" s="37">
        <v>3.25</v>
      </c>
      <c r="F719" s="38">
        <v>0.18</v>
      </c>
      <c r="G719" s="38" t="s">
        <v>22</v>
      </c>
      <c r="H719" s="39" t="s">
        <v>1432</v>
      </c>
      <c r="I719" s="40" t="s">
        <v>1903</v>
      </c>
      <c r="J719" s="63" t="s">
        <v>1438</v>
      </c>
      <c r="K719" s="42" t="s">
        <v>1904</v>
      </c>
      <c r="L719" s="43" t="s">
        <v>1907</v>
      </c>
      <c r="M719" s="44">
        <v>8.5432E7</v>
      </c>
      <c r="N719" s="44" t="s">
        <v>920</v>
      </c>
      <c r="O719" s="45">
        <v>0.124</v>
      </c>
      <c r="P719" s="44">
        <v>7.899823510963E12</v>
      </c>
      <c r="Q719" s="44">
        <v>1.0</v>
      </c>
    </row>
    <row r="720" ht="15.75" customHeight="1">
      <c r="A720" s="35" t="s">
        <v>1908</v>
      </c>
      <c r="B720" s="36">
        <v>23.827001095534392</v>
      </c>
      <c r="C720" s="36">
        <f>'Lista de Preço 02_2022'!$B720*0.9*0.9*0.9*0.9*0.9*0.97</f>
        <v>13.6475177</v>
      </c>
      <c r="D720" s="36">
        <f>'Lista de Preço 02_2022'!$C720*1.1712</f>
        <v>15.98397273</v>
      </c>
      <c r="E720" s="37">
        <v>3.25</v>
      </c>
      <c r="F720" s="38">
        <v>0.18</v>
      </c>
      <c r="G720" s="38" t="s">
        <v>37</v>
      </c>
      <c r="H720" s="39" t="s">
        <v>559</v>
      </c>
      <c r="I720" s="40" t="s">
        <v>1909</v>
      </c>
      <c r="J720" s="41" t="s">
        <v>40</v>
      </c>
      <c r="K720" s="42" t="s">
        <v>303</v>
      </c>
      <c r="L720" s="43">
        <v>3.520701023E9</v>
      </c>
      <c r="M720" s="42">
        <v>8.708999E7</v>
      </c>
      <c r="N720" s="44" t="s">
        <v>28</v>
      </c>
      <c r="O720" s="45">
        <v>0.451</v>
      </c>
      <c r="P720" s="44">
        <v>7.898233432094E12</v>
      </c>
      <c r="Q720" s="44">
        <v>1.0</v>
      </c>
    </row>
    <row r="721" ht="15.75" customHeight="1">
      <c r="A721" s="35" t="s">
        <v>1910</v>
      </c>
      <c r="B721" s="36">
        <v>23.373153455619452</v>
      </c>
      <c r="C721" s="36">
        <f>'Lista de Preço 02_2022'!$B721*0.9*0.9*0.9*0.9*0.9*0.97</f>
        <v>13.38756498</v>
      </c>
      <c r="D721" s="36">
        <f>'Lista de Preço 02_2022'!$C721*1.1712</f>
        <v>15.67951611</v>
      </c>
      <c r="E721" s="37">
        <v>3.25</v>
      </c>
      <c r="F721" s="38">
        <v>0.18</v>
      </c>
      <c r="G721" s="38" t="s">
        <v>37</v>
      </c>
      <c r="H721" s="39" t="s">
        <v>559</v>
      </c>
      <c r="I721" s="40" t="s">
        <v>1911</v>
      </c>
      <c r="J721" s="41" t="s">
        <v>40</v>
      </c>
      <c r="K721" s="42" t="s">
        <v>303</v>
      </c>
      <c r="L721" s="43">
        <v>3.520700423E9</v>
      </c>
      <c r="M721" s="42">
        <v>8.708999E7</v>
      </c>
      <c r="N721" s="44" t="s">
        <v>28</v>
      </c>
      <c r="O721" s="45">
        <v>0.31</v>
      </c>
      <c r="P721" s="44">
        <v>7.8982334321E12</v>
      </c>
      <c r="Q721" s="44">
        <v>1.0</v>
      </c>
    </row>
    <row r="722" ht="15.75" customHeight="1">
      <c r="A722" s="35" t="s">
        <v>1912</v>
      </c>
      <c r="B722" s="36">
        <v>138.3811145067752</v>
      </c>
      <c r="C722" s="36">
        <f>'Lista de Preço 02_2022'!$B722*0.9*0.9*0.9*0.9*0.9*0.97</f>
        <v>79.26128438</v>
      </c>
      <c r="D722" s="36">
        <f>'Lista de Preço 02_2022'!$C722*1.1712</f>
        <v>92.83081626</v>
      </c>
      <c r="E722" s="37">
        <v>3.25</v>
      </c>
      <c r="F722" s="38">
        <v>0.18</v>
      </c>
      <c r="G722" s="38" t="s">
        <v>37</v>
      </c>
      <c r="H722" s="39" t="s">
        <v>793</v>
      </c>
      <c r="I722" s="40" t="s">
        <v>1913</v>
      </c>
      <c r="J722" s="41" t="s">
        <v>40</v>
      </c>
      <c r="K722" s="42" t="s">
        <v>303</v>
      </c>
      <c r="L722" s="43">
        <v>3.224620501E9</v>
      </c>
      <c r="M722" s="42">
        <v>8.7089482E7</v>
      </c>
      <c r="N722" s="44" t="s">
        <v>28</v>
      </c>
      <c r="O722" s="45">
        <v>1.634</v>
      </c>
      <c r="P722" s="44">
        <v>7.898233432117E12</v>
      </c>
      <c r="Q722" s="44">
        <v>1.0</v>
      </c>
    </row>
    <row r="723" ht="15.75" customHeight="1">
      <c r="A723" s="50" t="s">
        <v>1914</v>
      </c>
      <c r="B723" s="36">
        <v>143.28515400000003</v>
      </c>
      <c r="C723" s="51">
        <f>'Lista de Preço 02_2022'!$B723*0.9*0.9*0.9*0.9*0.9*0.97</f>
        <v>82.07019707</v>
      </c>
      <c r="D723" s="36">
        <f>'Lista de Preço 02_2022'!$C723*1.0325</f>
        <v>84.73747847</v>
      </c>
      <c r="E723" s="52">
        <v>3.25</v>
      </c>
      <c r="F723" s="53">
        <v>0.18</v>
      </c>
      <c r="G723" s="53" t="s">
        <v>37</v>
      </c>
      <c r="H723" s="54" t="s">
        <v>1432</v>
      </c>
      <c r="I723" s="55" t="s">
        <v>1915</v>
      </c>
      <c r="J723" s="64" t="s">
        <v>1916</v>
      </c>
      <c r="K723" s="57" t="s">
        <v>1917</v>
      </c>
      <c r="L723" s="58" t="s">
        <v>1918</v>
      </c>
      <c r="M723" s="59">
        <v>8.5432E7</v>
      </c>
      <c r="N723" s="59" t="s">
        <v>920</v>
      </c>
      <c r="O723" s="60">
        <v>0.128</v>
      </c>
      <c r="P723" s="59">
        <v>7.899823510215E12</v>
      </c>
      <c r="Q723" s="59">
        <v>1.0</v>
      </c>
    </row>
    <row r="724" ht="15.75" customHeight="1">
      <c r="A724" s="35" t="s">
        <v>1919</v>
      </c>
      <c r="B724" s="36">
        <v>104.93344477797382</v>
      </c>
      <c r="C724" s="36">
        <f>'Lista de Preço 02_2022'!$B724*0.9*0.9*0.9*0.9*0.9*0.97</f>
        <v>60.10328531</v>
      </c>
      <c r="D724" s="36">
        <f>'Lista de Preço 02_2022'!$C724*1.1712</f>
        <v>70.39296776</v>
      </c>
      <c r="E724" s="37">
        <v>3.25</v>
      </c>
      <c r="F724" s="38">
        <v>0.18</v>
      </c>
      <c r="G724" s="38" t="s">
        <v>37</v>
      </c>
      <c r="H724" s="39" t="s">
        <v>793</v>
      </c>
      <c r="I724" s="40" t="s">
        <v>1920</v>
      </c>
      <c r="J724" s="41" t="s">
        <v>40</v>
      </c>
      <c r="K724" s="42" t="s">
        <v>303</v>
      </c>
      <c r="L724" s="43">
        <v>3.524620001E9</v>
      </c>
      <c r="M724" s="42">
        <v>8.7089482E7</v>
      </c>
      <c r="N724" s="44" t="s">
        <v>28</v>
      </c>
      <c r="O724" s="45">
        <v>0.694</v>
      </c>
      <c r="P724" s="44">
        <v>7.898233432124E12</v>
      </c>
      <c r="Q724" s="44">
        <v>1.0</v>
      </c>
    </row>
    <row r="725" ht="15.75" customHeight="1">
      <c r="A725" s="35" t="s">
        <v>1921</v>
      </c>
      <c r="B725" s="36">
        <v>87.37627460044655</v>
      </c>
      <c r="C725" s="36">
        <f>'Lista de Preço 02_2022'!$B725*0.9*0.9*0.9*0.9*0.9*0.97</f>
        <v>50.0469719</v>
      </c>
      <c r="D725" s="36">
        <f>'Lista de Preço 02_2022'!$C725*1.1712</f>
        <v>58.61501349</v>
      </c>
      <c r="E725" s="37">
        <v>3.25</v>
      </c>
      <c r="F725" s="38">
        <v>0.18</v>
      </c>
      <c r="G725" s="38" t="s">
        <v>37</v>
      </c>
      <c r="H725" s="39" t="s">
        <v>793</v>
      </c>
      <c r="I725" s="40" t="s">
        <v>1920</v>
      </c>
      <c r="J725" s="41" t="s">
        <v>40</v>
      </c>
      <c r="K725" s="42" t="s">
        <v>303</v>
      </c>
      <c r="L725" s="43">
        <v>3.454627201E9</v>
      </c>
      <c r="M725" s="42">
        <v>8.7089482E7</v>
      </c>
      <c r="N725" s="44" t="s">
        <v>28</v>
      </c>
      <c r="O725" s="45">
        <v>0.682</v>
      </c>
      <c r="P725" s="44">
        <v>7.898233434227E12</v>
      </c>
      <c r="Q725" s="44">
        <v>1.0</v>
      </c>
    </row>
    <row r="726" ht="15.75" customHeight="1">
      <c r="A726" s="35" t="s">
        <v>1922</v>
      </c>
      <c r="B726" s="36">
        <v>73.6254333852013</v>
      </c>
      <c r="C726" s="36">
        <f>'Lista de Preço 02_2022'!$B726*0.9*0.9*0.9*0.9*0.9*0.97</f>
        <v>42.17082969</v>
      </c>
      <c r="D726" s="36">
        <f>'Lista de Preço 02_2022'!$C726*1.1712</f>
        <v>49.39047574</v>
      </c>
      <c r="E726" s="37">
        <v>3.25</v>
      </c>
      <c r="F726" s="38">
        <v>0.18</v>
      </c>
      <c r="G726" s="38" t="s">
        <v>37</v>
      </c>
      <c r="H726" s="39" t="s">
        <v>793</v>
      </c>
      <c r="I726" s="40" t="s">
        <v>1920</v>
      </c>
      <c r="J726" s="41" t="s">
        <v>40</v>
      </c>
      <c r="K726" s="42" t="s">
        <v>303</v>
      </c>
      <c r="L726" s="43">
        <v>3.524620001E9</v>
      </c>
      <c r="M726" s="42">
        <v>8.7089482E7</v>
      </c>
      <c r="N726" s="44" t="s">
        <v>28</v>
      </c>
      <c r="O726" s="45">
        <v>1.296</v>
      </c>
      <c r="P726" s="44">
        <v>7.898233432131E12</v>
      </c>
      <c r="Q726" s="44">
        <v>1.0</v>
      </c>
    </row>
    <row r="727" ht="15.75" customHeight="1">
      <c r="A727" s="35" t="s">
        <v>1923</v>
      </c>
      <c r="B727" s="36">
        <v>70.11946036685838</v>
      </c>
      <c r="C727" s="36">
        <f>'Lista de Preço 02_2022'!$B727*0.9*0.9*0.9*0.9*0.9*0.97</f>
        <v>40.16269495</v>
      </c>
      <c r="D727" s="36">
        <f>'Lista de Preço 02_2022'!$C727*1.1712</f>
        <v>47.03854832</v>
      </c>
      <c r="E727" s="37">
        <v>3.25</v>
      </c>
      <c r="F727" s="38">
        <v>0.18</v>
      </c>
      <c r="G727" s="38" t="s">
        <v>37</v>
      </c>
      <c r="H727" s="39" t="s">
        <v>793</v>
      </c>
      <c r="I727" s="40" t="s">
        <v>1920</v>
      </c>
      <c r="J727" s="41" t="s">
        <v>40</v>
      </c>
      <c r="K727" s="42" t="s">
        <v>303</v>
      </c>
      <c r="L727" s="43">
        <v>3.454627201E9</v>
      </c>
      <c r="M727" s="42">
        <v>8.7089482E7</v>
      </c>
      <c r="N727" s="44" t="s">
        <v>28</v>
      </c>
      <c r="O727" s="45">
        <v>1.23</v>
      </c>
      <c r="P727" s="44">
        <v>7.898233434234E12</v>
      </c>
      <c r="Q727" s="44">
        <v>1.0</v>
      </c>
    </row>
    <row r="728" ht="15.75" customHeight="1">
      <c r="A728" s="35" t="s">
        <v>1924</v>
      </c>
      <c r="B728" s="36">
        <v>71.18204360409453</v>
      </c>
      <c r="C728" s="36">
        <f>'Lista de Preço 02_2022'!$B728*0.9*0.9*0.9*0.9*0.9*0.97</f>
        <v>40.77131638</v>
      </c>
      <c r="D728" s="36">
        <f>'Lista de Preço 02_2022'!$C728*1.1712</f>
        <v>47.75136574</v>
      </c>
      <c r="E728" s="37">
        <v>3.25</v>
      </c>
      <c r="F728" s="38">
        <v>0.18</v>
      </c>
      <c r="G728" s="38" t="s">
        <v>22</v>
      </c>
      <c r="H728" s="39" t="s">
        <v>43</v>
      </c>
      <c r="I728" s="40" t="s">
        <v>1925</v>
      </c>
      <c r="J728" s="41" t="s">
        <v>45</v>
      </c>
      <c r="K728" s="42" t="s">
        <v>26</v>
      </c>
      <c r="L728" s="43" t="s">
        <v>1926</v>
      </c>
      <c r="M728" s="44">
        <v>8.708999E7</v>
      </c>
      <c r="N728" s="44" t="s">
        <v>28</v>
      </c>
      <c r="O728" s="45">
        <v>0.308</v>
      </c>
      <c r="P728" s="44">
        <v>7.898233433442E12</v>
      </c>
      <c r="Q728" s="44">
        <v>1.0</v>
      </c>
    </row>
    <row r="729" ht="15.75" customHeight="1">
      <c r="A729" s="35" t="s">
        <v>1927</v>
      </c>
      <c r="B729" s="36">
        <v>4.724567563053735</v>
      </c>
      <c r="C729" s="36">
        <f>'Lista de Preço 02_2022'!$B729*0.9*0.9*0.9*0.9*0.9*0.97</f>
        <v>2.706115603</v>
      </c>
      <c r="D729" s="36">
        <f>'Lista de Preço 02_2022'!$C729*1.1712</f>
        <v>3.169402595</v>
      </c>
      <c r="E729" s="37">
        <v>3.25</v>
      </c>
      <c r="F729" s="38">
        <v>0.18</v>
      </c>
      <c r="G729" s="38" t="s">
        <v>37</v>
      </c>
      <c r="H729" s="39" t="s">
        <v>559</v>
      </c>
      <c r="I729" s="40" t="s">
        <v>1928</v>
      </c>
      <c r="J729" s="41" t="s">
        <v>40</v>
      </c>
      <c r="K729" s="42" t="s">
        <v>303</v>
      </c>
      <c r="L729" s="43">
        <v>3.159900043E9</v>
      </c>
      <c r="M729" s="42">
        <v>8.708999E7</v>
      </c>
      <c r="N729" s="44" t="s">
        <v>28</v>
      </c>
      <c r="O729" s="45">
        <v>0.058</v>
      </c>
      <c r="P729" s="44">
        <v>7.898233432148E12</v>
      </c>
      <c r="Q729" s="48">
        <v>10.0</v>
      </c>
    </row>
    <row r="730" ht="15.75" customHeight="1">
      <c r="A730" s="35" t="s">
        <v>1929</v>
      </c>
      <c r="B730" s="36">
        <v>41.01064830306154</v>
      </c>
      <c r="C730" s="36">
        <f>'Lista de Preço 02_2022'!$B730*0.9*0.9*0.9*0.9*0.9*0.97</f>
        <v>23.48988638</v>
      </c>
      <c r="D730" s="36">
        <f>'Lista de Preço 02_2022'!$C730*1.1712</f>
        <v>27.51135493</v>
      </c>
      <c r="E730" s="37">
        <v>3.25</v>
      </c>
      <c r="F730" s="38">
        <v>0.18</v>
      </c>
      <c r="G730" s="38" t="s">
        <v>37</v>
      </c>
      <c r="H730" s="39" t="s">
        <v>1814</v>
      </c>
      <c r="I730" s="40" t="s">
        <v>1044</v>
      </c>
      <c r="J730" s="41" t="s">
        <v>40</v>
      </c>
      <c r="K730" s="42" t="s">
        <v>303</v>
      </c>
      <c r="L730" s="43">
        <v>3.448307642E9</v>
      </c>
      <c r="M730" s="42">
        <v>8.7082999E7</v>
      </c>
      <c r="N730" s="44" t="s">
        <v>28</v>
      </c>
      <c r="O730" s="45">
        <v>0.458</v>
      </c>
      <c r="P730" s="44">
        <v>7.898233432162E12</v>
      </c>
      <c r="Q730" s="44">
        <v>1.0</v>
      </c>
    </row>
    <row r="731" ht="15.75" customHeight="1">
      <c r="A731" s="35" t="s">
        <v>1930</v>
      </c>
      <c r="B731" s="36">
        <v>41.01064830306154</v>
      </c>
      <c r="C731" s="36">
        <f>'Lista de Preço 02_2022'!$B731*0.9*0.9*0.9*0.9*0.9*0.97</f>
        <v>23.48988638</v>
      </c>
      <c r="D731" s="36">
        <f>'Lista de Preço 02_2022'!$C731*1.1712</f>
        <v>27.51135493</v>
      </c>
      <c r="E731" s="37">
        <v>3.25</v>
      </c>
      <c r="F731" s="38">
        <v>0.18</v>
      </c>
      <c r="G731" s="38" t="s">
        <v>37</v>
      </c>
      <c r="H731" s="39" t="s">
        <v>1814</v>
      </c>
      <c r="I731" s="40" t="s">
        <v>1044</v>
      </c>
      <c r="J731" s="41" t="s">
        <v>40</v>
      </c>
      <c r="K731" s="42" t="s">
        <v>303</v>
      </c>
      <c r="L731" s="43">
        <v>3.448307542E9</v>
      </c>
      <c r="M731" s="42">
        <v>8.7082999E7</v>
      </c>
      <c r="N731" s="44" t="s">
        <v>28</v>
      </c>
      <c r="O731" s="45">
        <v>0.458</v>
      </c>
      <c r="P731" s="44">
        <v>7.898233432155E12</v>
      </c>
      <c r="Q731" s="44">
        <v>1.0</v>
      </c>
    </row>
    <row r="732" ht="15.75" customHeight="1">
      <c r="A732" s="50" t="s">
        <v>1931</v>
      </c>
      <c r="B732" s="36">
        <v>883.8350738925001</v>
      </c>
      <c r="C732" s="51">
        <f>'Lista de Preço 02_2022'!$B732*0.9*0.9*0.9*0.9*0.9*0.97</f>
        <v>506.2388996</v>
      </c>
      <c r="D732" s="36">
        <f>'Lista de Preço 02_2022'!$C732*1.1712</f>
        <v>592.9069992</v>
      </c>
      <c r="E732" s="52">
        <v>3.25</v>
      </c>
      <c r="F732" s="53">
        <v>0.18</v>
      </c>
      <c r="G732" s="53" t="s">
        <v>37</v>
      </c>
      <c r="H732" s="54" t="s">
        <v>23</v>
      </c>
      <c r="I732" s="55" t="s">
        <v>1900</v>
      </c>
      <c r="J732" s="56" t="s">
        <v>302</v>
      </c>
      <c r="K732" s="57" t="s">
        <v>1901</v>
      </c>
      <c r="L732" s="58"/>
      <c r="M732" s="57">
        <v>8.708999E7</v>
      </c>
      <c r="N732" s="59" t="s">
        <v>28</v>
      </c>
      <c r="O732" s="60">
        <v>7.8</v>
      </c>
      <c r="P732" s="59">
        <v>7.89982351112E12</v>
      </c>
      <c r="Q732" s="59">
        <v>1.0</v>
      </c>
    </row>
    <row r="733" ht="15.75" customHeight="1">
      <c r="A733" s="50" t="s">
        <v>1932</v>
      </c>
      <c r="B733" s="36">
        <v>239.84166577570002</v>
      </c>
      <c r="C733" s="51">
        <f>'Lista de Preço 02_2022'!$B733*0.9*0.9*0.9*0.9*0.9*0.97</f>
        <v>137.3753821</v>
      </c>
      <c r="D733" s="36">
        <f>'Lista de Preço 02_2022'!$C733*1.1712</f>
        <v>160.8940475</v>
      </c>
      <c r="E733" s="52">
        <v>3.25</v>
      </c>
      <c r="F733" s="53">
        <v>0.18</v>
      </c>
      <c r="G733" s="53" t="s">
        <v>22</v>
      </c>
      <c r="H733" s="54" t="s">
        <v>23</v>
      </c>
      <c r="I733" s="55" t="s">
        <v>1933</v>
      </c>
      <c r="J733" s="56" t="s">
        <v>1391</v>
      </c>
      <c r="K733" s="57" t="s">
        <v>1934</v>
      </c>
      <c r="L733" s="58"/>
      <c r="M733" s="57">
        <v>8.708999E7</v>
      </c>
      <c r="N733" s="59" t="s">
        <v>28</v>
      </c>
      <c r="O733" s="60">
        <v>2.2</v>
      </c>
      <c r="P733" s="59">
        <v>7.899823511137E12</v>
      </c>
      <c r="Q733" s="59">
        <v>1.0</v>
      </c>
    </row>
    <row r="734" ht="15.75" customHeight="1">
      <c r="A734" s="50" t="s">
        <v>1935</v>
      </c>
      <c r="B734" s="36">
        <v>712.7921185415001</v>
      </c>
      <c r="C734" s="51">
        <f>'Lista de Preço 02_2022'!$B734*0.9*0.9*0.9*0.9*0.9*0.97</f>
        <v>408.2697195</v>
      </c>
      <c r="D734" s="36">
        <f>'Lista de Preço 02_2022'!$C734*1.1712</f>
        <v>478.1654955</v>
      </c>
      <c r="E734" s="52">
        <v>3.25</v>
      </c>
      <c r="F734" s="53">
        <v>0.18</v>
      </c>
      <c r="G734" s="53" t="s">
        <v>22</v>
      </c>
      <c r="H734" s="54" t="s">
        <v>23</v>
      </c>
      <c r="I734" s="55" t="s">
        <v>1936</v>
      </c>
      <c r="J734" s="56" t="s">
        <v>25</v>
      </c>
      <c r="K734" s="57" t="s">
        <v>26</v>
      </c>
      <c r="L734" s="58"/>
      <c r="M734" s="57">
        <v>8.708999E7</v>
      </c>
      <c r="N734" s="59" t="s">
        <v>28</v>
      </c>
      <c r="O734" s="60">
        <v>3.38</v>
      </c>
      <c r="P734" s="59">
        <v>7.89982350979E12</v>
      </c>
      <c r="Q734" s="59">
        <v>1.0</v>
      </c>
    </row>
    <row r="735" ht="15.75" customHeight="1">
      <c r="A735" s="35" t="s">
        <v>1937</v>
      </c>
      <c r="B735" s="36">
        <v>625.287456</v>
      </c>
      <c r="C735" s="36">
        <f>'Lista de Preço 02_2022'!$B735*0.9*0.9*0.9*0.9*0.9*0.97</f>
        <v>358.1492102</v>
      </c>
      <c r="D735" s="36">
        <f>'Lista de Preço 02_2022'!$C735*1.1712</f>
        <v>419.464355</v>
      </c>
      <c r="E735" s="37">
        <v>3.25</v>
      </c>
      <c r="F735" s="38">
        <v>0.18</v>
      </c>
      <c r="G735" s="38" t="s">
        <v>22</v>
      </c>
      <c r="H735" s="39" t="s">
        <v>23</v>
      </c>
      <c r="I735" s="40" t="s">
        <v>1938</v>
      </c>
      <c r="J735" s="41" t="s">
        <v>1391</v>
      </c>
      <c r="K735" s="42" t="s">
        <v>1934</v>
      </c>
      <c r="L735" s="43" t="s">
        <v>1939</v>
      </c>
      <c r="M735" s="42">
        <v>8.708999E7</v>
      </c>
      <c r="N735" s="44" t="s">
        <v>28</v>
      </c>
      <c r="O735" s="45">
        <v>4.2</v>
      </c>
      <c r="P735" s="44">
        <v>7.899823511144E12</v>
      </c>
      <c r="Q735" s="44">
        <v>1.0</v>
      </c>
    </row>
    <row r="736" ht="15.75" customHeight="1">
      <c r="A736" s="35" t="s">
        <v>1940</v>
      </c>
      <c r="B736" s="36">
        <v>71.18204360409453</v>
      </c>
      <c r="C736" s="36">
        <f>'Lista de Preço 02_2022'!$B736*0.9*0.9*0.9*0.9*0.9*0.97</f>
        <v>40.77131638</v>
      </c>
      <c r="D736" s="36">
        <f>'Lista de Preço 02_2022'!$C736*1.1712</f>
        <v>47.75136574</v>
      </c>
      <c r="E736" s="37">
        <v>3.25</v>
      </c>
      <c r="F736" s="38">
        <v>0.18</v>
      </c>
      <c r="G736" s="38" t="s">
        <v>22</v>
      </c>
      <c r="H736" s="39" t="s">
        <v>43</v>
      </c>
      <c r="I736" s="40" t="s">
        <v>1941</v>
      </c>
      <c r="J736" s="41" t="s">
        <v>45</v>
      </c>
      <c r="K736" s="42" t="s">
        <v>26</v>
      </c>
      <c r="L736" s="43" t="s">
        <v>1942</v>
      </c>
      <c r="M736" s="44">
        <v>8.708999E7</v>
      </c>
      <c r="N736" s="44" t="s">
        <v>28</v>
      </c>
      <c r="O736" s="45">
        <v>0.268</v>
      </c>
      <c r="P736" s="44">
        <v>7.898233433459E12</v>
      </c>
      <c r="Q736" s="44">
        <v>1.0</v>
      </c>
    </row>
    <row r="737" ht="15.75" customHeight="1">
      <c r="A737" s="35" t="s">
        <v>1943</v>
      </c>
      <c r="B737" s="36">
        <v>144.29810009258216</v>
      </c>
      <c r="C737" s="36">
        <f>'Lista de Preço 02_2022'!$B737*0.9*0.9*0.9*0.9*0.9*0.97</f>
        <v>82.65038757</v>
      </c>
      <c r="D737" s="36">
        <f>'Lista de Preço 02_2022'!$C737*1.1712</f>
        <v>96.80013392</v>
      </c>
      <c r="E737" s="37">
        <v>3.25</v>
      </c>
      <c r="F737" s="38">
        <v>0.18</v>
      </c>
      <c r="G737" s="38" t="s">
        <v>37</v>
      </c>
      <c r="H737" s="39" t="s">
        <v>919</v>
      </c>
      <c r="I737" s="40" t="s">
        <v>1944</v>
      </c>
      <c r="J737" s="41" t="s">
        <v>40</v>
      </c>
      <c r="K737" s="42" t="s">
        <v>303</v>
      </c>
      <c r="L737" s="43">
        <v>3.52410013E9</v>
      </c>
      <c r="M737" s="42">
        <v>8.708999E7</v>
      </c>
      <c r="N737" s="44" t="s">
        <v>28</v>
      </c>
      <c r="O737" s="45">
        <v>1.412</v>
      </c>
      <c r="P737" s="44">
        <v>7.898233432179E12</v>
      </c>
      <c r="Q737" s="44">
        <v>1.0</v>
      </c>
    </row>
    <row r="738" ht="15.75" customHeight="1">
      <c r="A738" s="35" t="s">
        <v>1945</v>
      </c>
      <c r="B738" s="36">
        <v>19.219599237052112</v>
      </c>
      <c r="C738" s="36">
        <f>'Lista de Preço 02_2022'!$B738*0.9*0.9*0.9*0.9*0.9*0.97</f>
        <v>11.00851172</v>
      </c>
      <c r="D738" s="36">
        <f>'Lista de Preço 02_2022'!$C738*1.1712</f>
        <v>12.89316893</v>
      </c>
      <c r="E738" s="37">
        <v>3.25</v>
      </c>
      <c r="F738" s="38">
        <v>0.18</v>
      </c>
      <c r="G738" s="38" t="s">
        <v>37</v>
      </c>
      <c r="H738" s="39" t="s">
        <v>919</v>
      </c>
      <c r="I738" s="40" t="s">
        <v>1946</v>
      </c>
      <c r="J738" s="41" t="s">
        <v>40</v>
      </c>
      <c r="K738" s="42" t="s">
        <v>303</v>
      </c>
      <c r="L738" s="43">
        <v>3.374130131E9</v>
      </c>
      <c r="M738" s="42">
        <v>8.708999E7</v>
      </c>
      <c r="N738" s="44" t="s">
        <v>28</v>
      </c>
      <c r="O738" s="45">
        <v>0.16</v>
      </c>
      <c r="P738" s="44">
        <v>7.898233432186E12</v>
      </c>
      <c r="Q738" s="44">
        <v>1.0</v>
      </c>
    </row>
    <row r="739" ht="15.75" customHeight="1">
      <c r="A739" s="35" t="s">
        <v>1947</v>
      </c>
      <c r="B739" s="36">
        <v>13.147398818785947</v>
      </c>
      <c r="C739" s="36">
        <f>'Lista de Preço 02_2022'!$B739*0.9*0.9*0.9*0.9*0.9*0.97</f>
        <v>7.530505303</v>
      </c>
      <c r="D739" s="36">
        <f>'Lista de Preço 02_2022'!$C739*1.1712</f>
        <v>8.81972781</v>
      </c>
      <c r="E739" s="37">
        <v>3.25</v>
      </c>
      <c r="F739" s="38">
        <v>0.18</v>
      </c>
      <c r="G739" s="38" t="s">
        <v>37</v>
      </c>
      <c r="H739" s="39" t="s">
        <v>919</v>
      </c>
      <c r="I739" s="40" t="s">
        <v>1948</v>
      </c>
      <c r="J739" s="41" t="s">
        <v>40</v>
      </c>
      <c r="K739" s="42" t="s">
        <v>303</v>
      </c>
      <c r="L739" s="43">
        <v>3.124131231E9</v>
      </c>
      <c r="M739" s="42">
        <v>8.708999E7</v>
      </c>
      <c r="N739" s="44" t="s">
        <v>28</v>
      </c>
      <c r="O739" s="45">
        <v>0.085</v>
      </c>
      <c r="P739" s="44">
        <v>7.898233432193E12</v>
      </c>
      <c r="Q739" s="44">
        <v>1.0</v>
      </c>
    </row>
    <row r="740" ht="15.75" customHeight="1">
      <c r="A740" s="35" t="s">
        <v>1949</v>
      </c>
      <c r="B740" s="36">
        <v>50.10350697659102</v>
      </c>
      <c r="C740" s="36">
        <f>'Lista de Preço 02_2022'!$B740*0.9*0.9*0.9*0.9*0.9*0.97</f>
        <v>28.69805124</v>
      </c>
      <c r="D740" s="36">
        <f>'Lista de Preço 02_2022'!$C740*1.1712</f>
        <v>33.61115761</v>
      </c>
      <c r="E740" s="37">
        <v>3.25</v>
      </c>
      <c r="F740" s="38">
        <v>0.18</v>
      </c>
      <c r="G740" s="38" t="s">
        <v>37</v>
      </c>
      <c r="H740" s="39" t="s">
        <v>559</v>
      </c>
      <c r="I740" s="40" t="s">
        <v>1950</v>
      </c>
      <c r="J740" s="41" t="s">
        <v>40</v>
      </c>
      <c r="K740" s="42" t="s">
        <v>303</v>
      </c>
      <c r="L740" s="43">
        <v>4.030320309E9</v>
      </c>
      <c r="M740" s="42">
        <v>8.708999E7</v>
      </c>
      <c r="N740" s="44" t="s">
        <v>28</v>
      </c>
      <c r="O740" s="45">
        <v>0.15</v>
      </c>
      <c r="P740" s="44">
        <v>7.898233438133E12</v>
      </c>
      <c r="Q740" s="44">
        <v>1.0</v>
      </c>
    </row>
    <row r="741" ht="15.75" customHeight="1">
      <c r="A741" s="35" t="s">
        <v>1951</v>
      </c>
      <c r="B741" s="36">
        <v>47.31997881122486</v>
      </c>
      <c r="C741" s="36">
        <f>'Lista de Preço 02_2022'!$B741*0.9*0.9*0.9*0.9*0.9*0.97</f>
        <v>27.10371506</v>
      </c>
      <c r="D741" s="36">
        <f>'Lista de Preço 02_2022'!$C741*1.1712</f>
        <v>31.74387108</v>
      </c>
      <c r="E741" s="37">
        <v>3.25</v>
      </c>
      <c r="F741" s="38">
        <v>0.18</v>
      </c>
      <c r="G741" s="38" t="s">
        <v>37</v>
      </c>
      <c r="H741" s="39" t="s">
        <v>559</v>
      </c>
      <c r="I741" s="40" t="s">
        <v>1950</v>
      </c>
      <c r="J741" s="41" t="s">
        <v>40</v>
      </c>
      <c r="K741" s="42" t="s">
        <v>303</v>
      </c>
      <c r="L741" s="43">
        <v>4.420310027E9</v>
      </c>
      <c r="M741" s="42">
        <v>8.708999E7</v>
      </c>
      <c r="N741" s="44" t="s">
        <v>28</v>
      </c>
      <c r="O741" s="45">
        <v>0.15</v>
      </c>
      <c r="P741" s="44">
        <v>7.89823343814E12</v>
      </c>
      <c r="Q741" s="44">
        <v>1.0</v>
      </c>
    </row>
    <row r="742" ht="15.75" customHeight="1">
      <c r="A742" s="35" t="s">
        <v>1952</v>
      </c>
      <c r="B742" s="36">
        <v>50.24135789525676</v>
      </c>
      <c r="C742" s="36">
        <f>'Lista de Preço 02_2022'!$B742*0.9*0.9*0.9*0.9*0.9*0.97</f>
        <v>28.77700884</v>
      </c>
      <c r="D742" s="36">
        <f>'Lista de Preço 02_2022'!$C742*1.065</f>
        <v>30.64751442</v>
      </c>
      <c r="E742" s="37">
        <v>6.5</v>
      </c>
      <c r="F742" s="38">
        <v>0.18</v>
      </c>
      <c r="G742" s="38" t="s">
        <v>37</v>
      </c>
      <c r="H742" s="39" t="s">
        <v>919</v>
      </c>
      <c r="I742" s="40" t="s">
        <v>1953</v>
      </c>
      <c r="J742" s="41" t="s">
        <v>40</v>
      </c>
      <c r="K742" s="42" t="s">
        <v>303</v>
      </c>
      <c r="L742" s="43">
        <v>3.543530025E9</v>
      </c>
      <c r="M742" s="42">
        <v>7.31816E7</v>
      </c>
      <c r="N742" s="44" t="s">
        <v>920</v>
      </c>
      <c r="O742" s="45">
        <v>0.526</v>
      </c>
      <c r="P742" s="44">
        <v>7.898233432209E12</v>
      </c>
      <c r="Q742" s="44">
        <v>1.0</v>
      </c>
    </row>
    <row r="743" ht="15.75" customHeight="1">
      <c r="A743" s="35" t="s">
        <v>1954</v>
      </c>
      <c r="B743" s="36">
        <v>24.541811128400425</v>
      </c>
      <c r="C743" s="36">
        <f>'Lista de Preço 02_2022'!$B743*0.9*0.9*0.9*0.9*0.9*0.97</f>
        <v>14.05694323</v>
      </c>
      <c r="D743" s="36">
        <f>'Lista de Preço 02_2022'!$C743*1.1712</f>
        <v>16.46349191</v>
      </c>
      <c r="E743" s="37">
        <v>3.25</v>
      </c>
      <c r="F743" s="38">
        <v>0.18</v>
      </c>
      <c r="G743" s="38" t="s">
        <v>37</v>
      </c>
      <c r="H743" s="39" t="s">
        <v>559</v>
      </c>
      <c r="I743" s="40" t="s">
        <v>1044</v>
      </c>
      <c r="J743" s="41" t="s">
        <v>40</v>
      </c>
      <c r="K743" s="42" t="s">
        <v>303</v>
      </c>
      <c r="L743" s="43">
        <v>3.140350214E9</v>
      </c>
      <c r="M743" s="42">
        <v>8.708999E7</v>
      </c>
      <c r="N743" s="44" t="s">
        <v>28</v>
      </c>
      <c r="O743" s="45">
        <v>0.122</v>
      </c>
      <c r="P743" s="44">
        <v>7.898233432216E12</v>
      </c>
      <c r="Q743" s="44">
        <v>1.0</v>
      </c>
    </row>
    <row r="744" ht="15.75" customHeight="1">
      <c r="A744" s="35" t="s">
        <v>1955</v>
      </c>
      <c r="B744" s="36">
        <v>18.721215146491314</v>
      </c>
      <c r="C744" s="36">
        <f>'Lista de Preço 02_2022'!$B744*0.9*0.9*0.9*0.9*0.9*0.97</f>
        <v>10.72304962</v>
      </c>
      <c r="D744" s="36">
        <f>'Lista de Preço 02_2022'!$C744*1.1712</f>
        <v>12.55883572</v>
      </c>
      <c r="E744" s="37">
        <v>3.25</v>
      </c>
      <c r="F744" s="38">
        <v>0.18</v>
      </c>
      <c r="G744" s="38" t="s">
        <v>37</v>
      </c>
      <c r="H744" s="39" t="s">
        <v>919</v>
      </c>
      <c r="I744" s="40" t="s">
        <v>1956</v>
      </c>
      <c r="J744" s="41" t="s">
        <v>40</v>
      </c>
      <c r="K744" s="42" t="s">
        <v>303</v>
      </c>
      <c r="L744" s="43">
        <v>3.213340115E9</v>
      </c>
      <c r="M744" s="42">
        <v>8.708999E7</v>
      </c>
      <c r="N744" s="44" t="s">
        <v>28</v>
      </c>
      <c r="O744" s="45">
        <v>0.355</v>
      </c>
      <c r="P744" s="44">
        <v>7.898233432223E12</v>
      </c>
      <c r="Q744" s="44">
        <v>1.0</v>
      </c>
    </row>
    <row r="745" ht="15.75" customHeight="1">
      <c r="A745" s="35" t="s">
        <v>1957</v>
      </c>
      <c r="B745" s="36">
        <v>57.79940564819541</v>
      </c>
      <c r="C745" s="36">
        <f>'Lista de Preço 02_2022'!$B745*0.9*0.9*0.9*0.9*0.9*0.97</f>
        <v>33.10607191</v>
      </c>
      <c r="D745" s="36">
        <f>'Lista de Preço 02_2022'!$C745*1.1712</f>
        <v>38.77383142</v>
      </c>
      <c r="E745" s="37">
        <v>3.25</v>
      </c>
      <c r="F745" s="38">
        <v>0.18</v>
      </c>
      <c r="G745" s="38" t="s">
        <v>37</v>
      </c>
      <c r="H745" s="39" t="s">
        <v>919</v>
      </c>
      <c r="I745" s="40" t="s">
        <v>1956</v>
      </c>
      <c r="J745" s="41" t="s">
        <v>40</v>
      </c>
      <c r="K745" s="42" t="s">
        <v>303</v>
      </c>
      <c r="L745" s="43">
        <v>3.583560015E9</v>
      </c>
      <c r="M745" s="42">
        <v>8.708999E7</v>
      </c>
      <c r="N745" s="44" t="s">
        <v>28</v>
      </c>
      <c r="O745" s="45">
        <v>0.496</v>
      </c>
      <c r="P745" s="44">
        <v>7.89823343223E12</v>
      </c>
      <c r="Q745" s="44">
        <v>1.0</v>
      </c>
    </row>
    <row r="746" ht="15.75" customHeight="1">
      <c r="A746" s="35" t="s">
        <v>1958</v>
      </c>
      <c r="B746" s="36">
        <v>70.74336832278117</v>
      </c>
      <c r="C746" s="36">
        <f>'Lista de Preço 02_2022'!$B746*0.9*0.9*0.9*0.9*0.9*0.97</f>
        <v>40.52005401</v>
      </c>
      <c r="D746" s="36">
        <f>'Lista de Preço 02_2022'!$C746*1.1712</f>
        <v>47.45708726</v>
      </c>
      <c r="E746" s="37">
        <v>3.25</v>
      </c>
      <c r="F746" s="38">
        <v>0.18</v>
      </c>
      <c r="G746" s="38" t="s">
        <v>37</v>
      </c>
      <c r="H746" s="39" t="s">
        <v>919</v>
      </c>
      <c r="I746" s="40" t="s">
        <v>1959</v>
      </c>
      <c r="J746" s="41" t="s">
        <v>40</v>
      </c>
      <c r="K746" s="42" t="s">
        <v>303</v>
      </c>
      <c r="L746" s="43">
        <v>3.523560515E9</v>
      </c>
      <c r="M746" s="42">
        <v>8.708999E7</v>
      </c>
      <c r="N746" s="44" t="s">
        <v>28</v>
      </c>
      <c r="O746" s="45">
        <v>0.671</v>
      </c>
      <c r="P746" s="44">
        <v>7.898233432247E12</v>
      </c>
      <c r="Q746" s="44">
        <v>1.0</v>
      </c>
    </row>
    <row r="747" ht="15.75" customHeight="1">
      <c r="A747" s="35" t="s">
        <v>1960</v>
      </c>
      <c r="B747" s="36">
        <v>26.509792051106363</v>
      </c>
      <c r="C747" s="36">
        <f>'Lista de Preço 02_2022'!$B747*0.9*0.9*0.9*0.9*0.9*0.97</f>
        <v>15.1841541</v>
      </c>
      <c r="D747" s="36">
        <f>'Lista de Preço 02_2022'!$C747*1.1712</f>
        <v>17.78368128</v>
      </c>
      <c r="E747" s="37">
        <v>3.25</v>
      </c>
      <c r="F747" s="38">
        <v>0.18</v>
      </c>
      <c r="G747" s="38" t="s">
        <v>37</v>
      </c>
      <c r="H747" s="39" t="s">
        <v>919</v>
      </c>
      <c r="I747" s="40" t="s">
        <v>1961</v>
      </c>
      <c r="J747" s="41" t="s">
        <v>40</v>
      </c>
      <c r="K747" s="42" t="s">
        <v>303</v>
      </c>
      <c r="L747" s="43">
        <v>3.523250062E9</v>
      </c>
      <c r="M747" s="42">
        <v>8.708999E7</v>
      </c>
      <c r="N747" s="44" t="s">
        <v>28</v>
      </c>
      <c r="O747" s="45">
        <v>0.568</v>
      </c>
      <c r="P747" s="44">
        <v>7.898233432254E12</v>
      </c>
      <c r="Q747" s="44">
        <v>1.0</v>
      </c>
    </row>
    <row r="748" ht="15.75" customHeight="1">
      <c r="A748" s="35" t="s">
        <v>1962</v>
      </c>
      <c r="B748" s="36">
        <v>21.207833640885084</v>
      </c>
      <c r="C748" s="36">
        <f>'Lista de Preço 02_2022'!$B748*0.9*0.9*0.9*0.9*0.9*0.97</f>
        <v>12.14732328</v>
      </c>
      <c r="D748" s="36">
        <f>'Lista de Preço 02_2022'!$C748*1.1712</f>
        <v>14.22694502</v>
      </c>
      <c r="E748" s="37">
        <v>3.25</v>
      </c>
      <c r="F748" s="38">
        <v>0.18</v>
      </c>
      <c r="G748" s="38" t="s">
        <v>37</v>
      </c>
      <c r="H748" s="39" t="s">
        <v>919</v>
      </c>
      <c r="I748" s="40" t="s">
        <v>1961</v>
      </c>
      <c r="J748" s="41" t="s">
        <v>40</v>
      </c>
      <c r="K748" s="42" t="s">
        <v>303</v>
      </c>
      <c r="L748" s="43">
        <v>3.453257162E9</v>
      </c>
      <c r="M748" s="42">
        <v>8.708999E7</v>
      </c>
      <c r="N748" s="44" t="s">
        <v>28</v>
      </c>
      <c r="O748" s="45">
        <v>0.311</v>
      </c>
      <c r="P748" s="44">
        <v>7.898233432261E12</v>
      </c>
      <c r="Q748" s="44">
        <v>1.0</v>
      </c>
    </row>
    <row r="749" ht="15.75" customHeight="1">
      <c r="A749" s="35" t="s">
        <v>1963</v>
      </c>
      <c r="B749" s="36">
        <v>55.63192793638808</v>
      </c>
      <c r="C749" s="36">
        <f>'Lista de Preço 02_2022'!$B749*0.9*0.9*0.9*0.9*0.9*0.97</f>
        <v>31.86459421</v>
      </c>
      <c r="D749" s="36">
        <f>'Lista de Preço 02_2022'!$C749*1.1712</f>
        <v>37.31981274</v>
      </c>
      <c r="E749" s="37">
        <v>3.25</v>
      </c>
      <c r="F749" s="38">
        <v>0.18</v>
      </c>
      <c r="G749" s="38" t="s">
        <v>37</v>
      </c>
      <c r="H749" s="39" t="s">
        <v>919</v>
      </c>
      <c r="I749" s="40" t="s">
        <v>1964</v>
      </c>
      <c r="J749" s="41" t="s">
        <v>40</v>
      </c>
      <c r="K749" s="42" t="s">
        <v>303</v>
      </c>
      <c r="L749" s="43">
        <v>3.453340015E9</v>
      </c>
      <c r="M749" s="42">
        <v>8.708999E7</v>
      </c>
      <c r="N749" s="44" t="s">
        <v>28</v>
      </c>
      <c r="O749" s="45">
        <v>0.413</v>
      </c>
      <c r="P749" s="44">
        <v>7.898233432278E12</v>
      </c>
      <c r="Q749" s="44">
        <v>1.0</v>
      </c>
    </row>
    <row r="750" ht="15.75" customHeight="1">
      <c r="A750" s="50" t="s">
        <v>1965</v>
      </c>
      <c r="B750" s="36">
        <v>700.23664818</v>
      </c>
      <c r="C750" s="51">
        <f>'Lista de Preço 02_2022'!$B750*0.9*0.9*0.9*0.9*0.9*0.97</f>
        <v>401.0782562</v>
      </c>
      <c r="D750" s="36">
        <f>'Lista de Preço 02_2022'!$C750*1.1712</f>
        <v>469.7428537</v>
      </c>
      <c r="E750" s="52">
        <v>3.25</v>
      </c>
      <c r="F750" s="53">
        <v>0.18</v>
      </c>
      <c r="G750" s="53" t="s">
        <v>22</v>
      </c>
      <c r="H750" s="54" t="s">
        <v>23</v>
      </c>
      <c r="I750" s="55" t="s">
        <v>1938</v>
      </c>
      <c r="J750" s="56" t="s">
        <v>1391</v>
      </c>
      <c r="K750" s="57" t="s">
        <v>1934</v>
      </c>
      <c r="L750" s="58" t="s">
        <v>1966</v>
      </c>
      <c r="M750" s="57">
        <v>8.708999E7</v>
      </c>
      <c r="N750" s="59" t="s">
        <v>28</v>
      </c>
      <c r="O750" s="60">
        <v>4.14</v>
      </c>
      <c r="P750" s="59">
        <v>7.899823511151E12</v>
      </c>
      <c r="Q750" s="59">
        <v>1.0</v>
      </c>
    </row>
    <row r="751" ht="15.75" customHeight="1">
      <c r="A751" s="35" t="s">
        <v>1967</v>
      </c>
      <c r="B751" s="36">
        <v>23.85881284599573</v>
      </c>
      <c r="C751" s="36">
        <f>'Lista de Preço 02_2022'!$B751*0.9*0.9*0.9*0.9*0.9*0.97</f>
        <v>13.66573869</v>
      </c>
      <c r="D751" s="36">
        <f>'Lista de Preço 02_2022'!$C751*1.1712</f>
        <v>16.00531315</v>
      </c>
      <c r="E751" s="37">
        <v>3.25</v>
      </c>
      <c r="F751" s="38">
        <v>0.18</v>
      </c>
      <c r="G751" s="38" t="s">
        <v>37</v>
      </c>
      <c r="H751" s="39" t="s">
        <v>919</v>
      </c>
      <c r="I751" s="40" t="s">
        <v>1968</v>
      </c>
      <c r="J751" s="41" t="s">
        <v>40</v>
      </c>
      <c r="K751" s="42" t="s">
        <v>303</v>
      </c>
      <c r="L751" s="43">
        <v>3.403340116E9</v>
      </c>
      <c r="M751" s="42">
        <v>8.708999E7</v>
      </c>
      <c r="N751" s="44" t="s">
        <v>28</v>
      </c>
      <c r="O751" s="45">
        <v>0.403</v>
      </c>
      <c r="P751" s="44">
        <v>7.898233432285E12</v>
      </c>
      <c r="Q751" s="44">
        <v>1.0</v>
      </c>
    </row>
    <row r="752" ht="15.75" customHeight="1">
      <c r="A752" s="35" t="s">
        <v>1969</v>
      </c>
      <c r="B752" s="36">
        <v>63.361451628230085</v>
      </c>
      <c r="C752" s="36">
        <f>'Lista de Preço 02_2022'!$B752*0.9*0.9*0.9*0.9*0.9*0.97</f>
        <v>36.29187446</v>
      </c>
      <c r="D752" s="36">
        <f>'Lista de Preço 02_2022'!$C752*1.1712</f>
        <v>42.50504337</v>
      </c>
      <c r="E752" s="37">
        <v>3.25</v>
      </c>
      <c r="F752" s="38">
        <v>0.18</v>
      </c>
      <c r="G752" s="38" t="s">
        <v>37</v>
      </c>
      <c r="H752" s="39" t="s">
        <v>919</v>
      </c>
      <c r="I752" s="40" t="s">
        <v>1970</v>
      </c>
      <c r="J752" s="41" t="s">
        <v>40</v>
      </c>
      <c r="K752" s="42" t="s">
        <v>303</v>
      </c>
      <c r="L752" s="43">
        <v>3.603560415E9</v>
      </c>
      <c r="M752" s="42">
        <v>8.708999E7</v>
      </c>
      <c r="N752" s="44" t="s">
        <v>28</v>
      </c>
      <c r="O752" s="45">
        <v>0.461</v>
      </c>
      <c r="P752" s="44">
        <v>7.898233432292E12</v>
      </c>
      <c r="Q752" s="44">
        <v>1.0</v>
      </c>
    </row>
    <row r="753" ht="15.75" customHeight="1">
      <c r="A753" s="35" t="s">
        <v>1971</v>
      </c>
      <c r="B753" s="36">
        <v>24.541811128400425</v>
      </c>
      <c r="C753" s="36">
        <f>'Lista de Preço 02_2022'!$B753*0.9*0.9*0.9*0.9*0.9*0.97</f>
        <v>14.05694323</v>
      </c>
      <c r="D753" s="36">
        <f>'Lista de Preço 02_2022'!$C753*1.1712</f>
        <v>16.46349191</v>
      </c>
      <c r="E753" s="37">
        <v>3.25</v>
      </c>
      <c r="F753" s="38">
        <v>0.18</v>
      </c>
      <c r="G753" s="38" t="s">
        <v>37</v>
      </c>
      <c r="H753" s="39" t="s">
        <v>919</v>
      </c>
      <c r="I753" s="40" t="s">
        <v>1972</v>
      </c>
      <c r="J753" s="41" t="s">
        <v>40</v>
      </c>
      <c r="K753" s="42" t="s">
        <v>303</v>
      </c>
      <c r="L753" s="43">
        <v>3.103340015E9</v>
      </c>
      <c r="M753" s="42">
        <v>8.708999E7</v>
      </c>
      <c r="N753" s="44" t="s">
        <v>28</v>
      </c>
      <c r="O753" s="45">
        <v>0.111</v>
      </c>
      <c r="P753" s="44">
        <v>7.898233432308E12</v>
      </c>
      <c r="Q753" s="44">
        <v>1.0</v>
      </c>
    </row>
    <row r="754" ht="15.75" customHeight="1">
      <c r="A754" s="35" t="s">
        <v>1973</v>
      </c>
      <c r="B754" s="36">
        <v>21.844068650111637</v>
      </c>
      <c r="C754" s="36">
        <f>'Lista de Preço 02_2022'!$B754*0.9*0.9*0.9*0.9*0.9*0.97</f>
        <v>12.51174297</v>
      </c>
      <c r="D754" s="36">
        <f>'Lista de Preço 02_2022'!$C754*1.1712</f>
        <v>14.65375337</v>
      </c>
      <c r="E754" s="37">
        <v>3.25</v>
      </c>
      <c r="F754" s="38">
        <v>0.18</v>
      </c>
      <c r="G754" s="38" t="s">
        <v>37</v>
      </c>
      <c r="H754" s="39" t="s">
        <v>919</v>
      </c>
      <c r="I754" s="40" t="s">
        <v>1972</v>
      </c>
      <c r="J754" s="41" t="s">
        <v>40</v>
      </c>
      <c r="K754" s="42" t="s">
        <v>303</v>
      </c>
      <c r="L754" s="43">
        <v>3.143560215E9</v>
      </c>
      <c r="M754" s="42">
        <v>8.708999E7</v>
      </c>
      <c r="N754" s="44" t="s">
        <v>28</v>
      </c>
      <c r="O754" s="45">
        <v>0.375</v>
      </c>
      <c r="P754" s="44">
        <v>7.898233432315E12</v>
      </c>
      <c r="Q754" s="44">
        <v>1.0</v>
      </c>
    </row>
    <row r="755" ht="15.75" customHeight="1">
      <c r="A755" s="35" t="s">
        <v>1974</v>
      </c>
      <c r="B755" s="36">
        <v>3.8169147249497257</v>
      </c>
      <c r="C755" s="36">
        <f>'Lista de Preço 02_2022'!$B755*0.9*0.9*0.9*0.9*0.9*0.97</f>
        <v>2.186234477</v>
      </c>
      <c r="D755" s="36">
        <f>'Lista de Preço 02_2022'!$C755*1.1712</f>
        <v>2.560517819</v>
      </c>
      <c r="E755" s="37">
        <v>3.25</v>
      </c>
      <c r="F755" s="38">
        <v>0.18</v>
      </c>
      <c r="G755" s="38" t="s">
        <v>22</v>
      </c>
      <c r="H755" s="39" t="s">
        <v>199</v>
      </c>
      <c r="I755" s="40" t="s">
        <v>1975</v>
      </c>
      <c r="J755" s="41" t="s">
        <v>32</v>
      </c>
      <c r="K755" s="42" t="s">
        <v>26</v>
      </c>
      <c r="L755" s="43">
        <v>62327.0</v>
      </c>
      <c r="M755" s="44">
        <v>8.708999E7</v>
      </c>
      <c r="N755" s="44" t="s">
        <v>28</v>
      </c>
      <c r="O755" s="45">
        <v>0.09</v>
      </c>
      <c r="P755" s="44">
        <v>7.898233430243E12</v>
      </c>
      <c r="Q755" s="44">
        <v>1.0</v>
      </c>
    </row>
    <row r="756" ht="15.75" customHeight="1">
      <c r="A756" s="35" t="s">
        <v>1976</v>
      </c>
      <c r="B756" s="36">
        <v>17.529865091714594</v>
      </c>
      <c r="C756" s="36">
        <f>'Lista de Preço 02_2022'!$B756*0.9*0.9*0.9*0.9*0.9*0.97</f>
        <v>10.04067374</v>
      </c>
      <c r="D756" s="36">
        <f>'Lista de Preço 02_2022'!$C756*1.1712</f>
        <v>11.75963708</v>
      </c>
      <c r="E756" s="37">
        <v>3.25</v>
      </c>
      <c r="F756" s="38">
        <v>0.18</v>
      </c>
      <c r="G756" s="38" t="s">
        <v>37</v>
      </c>
      <c r="H756" s="39" t="s">
        <v>559</v>
      </c>
      <c r="I756" s="40" t="s">
        <v>1977</v>
      </c>
      <c r="J756" s="41" t="s">
        <v>40</v>
      </c>
      <c r="K756" s="42" t="s">
        <v>303</v>
      </c>
      <c r="L756" s="43">
        <v>3.550350051E9</v>
      </c>
      <c r="M756" s="42">
        <v>8.708999E7</v>
      </c>
      <c r="N756" s="44" t="s">
        <v>28</v>
      </c>
      <c r="O756" s="45">
        <v>0.152</v>
      </c>
      <c r="P756" s="44">
        <v>7.898233432322E12</v>
      </c>
      <c r="Q756" s="44">
        <v>1.0</v>
      </c>
    </row>
    <row r="757" ht="15.75" customHeight="1">
      <c r="A757" s="50" t="s">
        <v>1978</v>
      </c>
      <c r="B757" s="36">
        <v>185.67861191</v>
      </c>
      <c r="C757" s="51">
        <f>'Lista de Preço 02_2022'!$B757*0.9*0.9*0.9*0.9*0.9*0.97</f>
        <v>106.3521226</v>
      </c>
      <c r="D757" s="36">
        <f>'Lista de Preço 02_2022'!$C757*1.1712</f>
        <v>124.559606</v>
      </c>
      <c r="E757" s="52">
        <v>3.25</v>
      </c>
      <c r="F757" s="53">
        <v>0.18</v>
      </c>
      <c r="G757" s="53" t="s">
        <v>22</v>
      </c>
      <c r="H757" s="54" t="s">
        <v>23</v>
      </c>
      <c r="I757" s="55" t="s">
        <v>1979</v>
      </c>
      <c r="J757" s="56" t="s">
        <v>1391</v>
      </c>
      <c r="K757" s="57" t="s">
        <v>1876</v>
      </c>
      <c r="L757" s="58"/>
      <c r="M757" s="57">
        <v>8.708999E7</v>
      </c>
      <c r="N757" s="59" t="s">
        <v>28</v>
      </c>
      <c r="O757" s="60">
        <v>1.72</v>
      </c>
      <c r="P757" s="59">
        <v>7.899823509806E12</v>
      </c>
      <c r="Q757" s="59">
        <v>1.0</v>
      </c>
    </row>
    <row r="758" ht="15.75" customHeight="1">
      <c r="A758" s="50" t="s">
        <v>1980</v>
      </c>
      <c r="B758" s="36">
        <v>445.76488814400005</v>
      </c>
      <c r="C758" s="51">
        <f>'Lista de Preço 02_2022'!$B758*0.9*0.9*0.9*0.9*0.9*0.97</f>
        <v>255.3231175</v>
      </c>
      <c r="D758" s="36">
        <f>'Lista de Preço 02_2022'!$C758*1.1712</f>
        <v>299.0344353</v>
      </c>
      <c r="E758" s="52">
        <v>3.25</v>
      </c>
      <c r="F758" s="53">
        <v>0.18</v>
      </c>
      <c r="G758" s="53" t="s">
        <v>22</v>
      </c>
      <c r="H758" s="54" t="s">
        <v>23</v>
      </c>
      <c r="I758" s="55" t="s">
        <v>1981</v>
      </c>
      <c r="J758" s="56" t="s">
        <v>25</v>
      </c>
      <c r="K758" s="57" t="s">
        <v>1580</v>
      </c>
      <c r="L758" s="58" t="s">
        <v>1982</v>
      </c>
      <c r="M758" s="57">
        <v>8.708999E7</v>
      </c>
      <c r="N758" s="59" t="s">
        <v>28</v>
      </c>
      <c r="O758" s="60">
        <v>4.36</v>
      </c>
      <c r="P758" s="59">
        <v>7.899823510246E12</v>
      </c>
      <c r="Q758" s="59">
        <v>1.0</v>
      </c>
    </row>
    <row r="759" ht="15.75" customHeight="1">
      <c r="A759" s="50" t="s">
        <v>1983</v>
      </c>
      <c r="B759" s="36">
        <v>270.25960704</v>
      </c>
      <c r="C759" s="51">
        <f>'Lista de Preço 02_2022'!$B759*0.9*0.9*0.9*0.9*0.9*0.97</f>
        <v>154.7980275</v>
      </c>
      <c r="D759" s="36">
        <f>'Lista de Preço 02_2022'!$C759*1.1712</f>
        <v>181.2994498</v>
      </c>
      <c r="E759" s="52">
        <v>3.25</v>
      </c>
      <c r="F759" s="53">
        <v>0.18</v>
      </c>
      <c r="G759" s="53" t="s">
        <v>22</v>
      </c>
      <c r="H759" s="54" t="s">
        <v>23</v>
      </c>
      <c r="I759" s="55" t="s">
        <v>1984</v>
      </c>
      <c r="J759" s="56" t="s">
        <v>25</v>
      </c>
      <c r="K759" s="57" t="s">
        <v>661</v>
      </c>
      <c r="L759" s="58" t="s">
        <v>1985</v>
      </c>
      <c r="M759" s="57">
        <v>8.708999E7</v>
      </c>
      <c r="N759" s="59" t="s">
        <v>28</v>
      </c>
      <c r="O759" s="60">
        <v>1.56</v>
      </c>
      <c r="P759" s="59">
        <v>7.899823510253E12</v>
      </c>
      <c r="Q759" s="59">
        <v>1.0</v>
      </c>
    </row>
    <row r="760" ht="15.75" customHeight="1">
      <c r="A760" s="35" t="s">
        <v>1986</v>
      </c>
      <c r="B760" s="36">
        <v>76.25837261012357</v>
      </c>
      <c r="C760" s="36">
        <f>'Lista de Preço 02_2022'!$B760*0.9*0.9*0.9*0.9*0.9*0.97</f>
        <v>43.67891225</v>
      </c>
      <c r="D760" s="36">
        <f>'Lista de Preço 02_2022'!$C760*1.1712</f>
        <v>51.15674203</v>
      </c>
      <c r="E760" s="37">
        <v>3.25</v>
      </c>
      <c r="F760" s="38">
        <v>0.18</v>
      </c>
      <c r="G760" s="38" t="s">
        <v>22</v>
      </c>
      <c r="H760" s="39" t="s">
        <v>43</v>
      </c>
      <c r="I760" s="40" t="s">
        <v>1987</v>
      </c>
      <c r="J760" s="41" t="s">
        <v>45</v>
      </c>
      <c r="K760" s="42" t="s">
        <v>26</v>
      </c>
      <c r="L760" s="43" t="s">
        <v>1988</v>
      </c>
      <c r="M760" s="44">
        <v>8.708999E7</v>
      </c>
      <c r="N760" s="44" t="s">
        <v>28</v>
      </c>
      <c r="O760" s="45">
        <v>0.382</v>
      </c>
      <c r="P760" s="44">
        <v>7.898233433732E12</v>
      </c>
      <c r="Q760" s="44">
        <v>1.0</v>
      </c>
    </row>
    <row r="761" ht="15.75" customHeight="1">
      <c r="A761" s="50" t="s">
        <v>1989</v>
      </c>
      <c r="B761" s="36">
        <v>623.0355747456</v>
      </c>
      <c r="C761" s="51">
        <f>'Lista de Preço 02_2022'!$B761*0.9*0.9*0.9*0.9*0.9*0.97</f>
        <v>356.8593882</v>
      </c>
      <c r="D761" s="36">
        <f>'Lista de Preço 02_2022'!$C761*1.1712</f>
        <v>417.9537155</v>
      </c>
      <c r="E761" s="52">
        <v>3.25</v>
      </c>
      <c r="F761" s="53">
        <v>0.18</v>
      </c>
      <c r="G761" s="53" t="s">
        <v>22</v>
      </c>
      <c r="H761" s="54" t="s">
        <v>23</v>
      </c>
      <c r="I761" s="55" t="s">
        <v>1990</v>
      </c>
      <c r="J761" s="56" t="s">
        <v>1391</v>
      </c>
      <c r="K761" s="57" t="s">
        <v>282</v>
      </c>
      <c r="L761" s="58"/>
      <c r="M761" s="57">
        <v>8.708999E7</v>
      </c>
      <c r="N761" s="59" t="s">
        <v>28</v>
      </c>
      <c r="O761" s="60">
        <v>3.68</v>
      </c>
      <c r="P761" s="59">
        <v>7.899823511168E12</v>
      </c>
      <c r="Q761" s="59">
        <v>1.0</v>
      </c>
    </row>
    <row r="762" ht="15.75" customHeight="1">
      <c r="A762" s="35" t="s">
        <v>1991</v>
      </c>
      <c r="B762" s="36">
        <v>460.46261497500006</v>
      </c>
      <c r="C762" s="36">
        <f>'Lista de Preço 02_2022'!$B762*0.9*0.9*0.9*0.9*0.9*0.97</f>
        <v>263.7416124</v>
      </c>
      <c r="D762" s="36">
        <f>'Lista de Preço 02_2022'!$C762*1.1712</f>
        <v>308.8941765</v>
      </c>
      <c r="E762" s="37">
        <v>3.25</v>
      </c>
      <c r="F762" s="38">
        <v>0.18</v>
      </c>
      <c r="G762" s="38" t="s">
        <v>22</v>
      </c>
      <c r="H762" s="39" t="s">
        <v>23</v>
      </c>
      <c r="I762" s="40" t="s">
        <v>1992</v>
      </c>
      <c r="J762" s="41" t="s">
        <v>1391</v>
      </c>
      <c r="K762" s="42" t="s">
        <v>282</v>
      </c>
      <c r="L762" s="43"/>
      <c r="M762" s="42">
        <v>8.708999E7</v>
      </c>
      <c r="N762" s="44" t="s">
        <v>28</v>
      </c>
      <c r="O762" s="45">
        <v>3.72</v>
      </c>
      <c r="P762" s="44">
        <v>7.899823511175E12</v>
      </c>
      <c r="Q762" s="44">
        <v>1.0</v>
      </c>
    </row>
    <row r="763" ht="15.75" customHeight="1">
      <c r="A763" s="35" t="s">
        <v>1993</v>
      </c>
      <c r="B763" s="36">
        <v>1.8556854435774452</v>
      </c>
      <c r="C763" s="36">
        <f>'Lista de Preço 02_2022'!$B763*0.9*0.9*0.9*0.9*0.9*0.97</f>
        <v>1.062890787</v>
      </c>
      <c r="D763" s="36">
        <f>'Lista de Preço 02_2022'!$C763*1.065</f>
        <v>1.131978688</v>
      </c>
      <c r="E763" s="37">
        <v>6.5</v>
      </c>
      <c r="F763" s="38">
        <v>0.18</v>
      </c>
      <c r="G763" s="38" t="s">
        <v>37</v>
      </c>
      <c r="H763" s="39" t="s">
        <v>48</v>
      </c>
      <c r="I763" s="40" t="s">
        <v>1994</v>
      </c>
      <c r="J763" s="41" t="s">
        <v>40</v>
      </c>
      <c r="K763" s="42" t="s">
        <v>303</v>
      </c>
      <c r="L763" s="43">
        <v>3.209900151E9</v>
      </c>
      <c r="M763" s="42">
        <v>7.31816E7</v>
      </c>
      <c r="N763" s="44" t="s">
        <v>920</v>
      </c>
      <c r="O763" s="45">
        <v>0.033</v>
      </c>
      <c r="P763" s="44">
        <v>7.89823343236E12</v>
      </c>
      <c r="Q763" s="44">
        <v>1.0</v>
      </c>
    </row>
    <row r="764" ht="15.75" customHeight="1">
      <c r="A764" s="35" t="s">
        <v>1995</v>
      </c>
      <c r="B764" s="36">
        <v>118.00038637788461</v>
      </c>
      <c r="C764" s="36">
        <f>'Lista de Preço 02_2022'!$B764*0.9*0.9*0.9*0.9*0.9*0.97</f>
        <v>67.58770671</v>
      </c>
      <c r="D764" s="36">
        <f>'Lista de Preço 02_2022'!$C764*1.1712</f>
        <v>79.1587221</v>
      </c>
      <c r="E764" s="37">
        <v>3.25</v>
      </c>
      <c r="F764" s="38">
        <v>0.18</v>
      </c>
      <c r="G764" s="38" t="s">
        <v>37</v>
      </c>
      <c r="H764" s="39" t="s">
        <v>793</v>
      </c>
      <c r="I764" s="40" t="s">
        <v>1920</v>
      </c>
      <c r="J764" s="41" t="s">
        <v>40</v>
      </c>
      <c r="K764" s="42" t="s">
        <v>303</v>
      </c>
      <c r="L764" s="43">
        <v>3.454620201E9</v>
      </c>
      <c r="M764" s="42">
        <v>8.7089482E7</v>
      </c>
      <c r="N764" s="44" t="s">
        <v>28</v>
      </c>
      <c r="O764" s="45">
        <v>1.227</v>
      </c>
      <c r="P764" s="44">
        <v>7.898233432377E12</v>
      </c>
      <c r="Q764" s="44">
        <v>1.0</v>
      </c>
    </row>
    <row r="765" ht="15.75" customHeight="1">
      <c r="A765" s="35" t="s">
        <v>1996</v>
      </c>
      <c r="B765" s="36">
        <v>74.6829145839851</v>
      </c>
      <c r="C765" s="36">
        <f>'Lista de Preço 02_2022'!$B765*0.9*0.9*0.9*0.9*0.9*0.97</f>
        <v>42.77652881</v>
      </c>
      <c r="D765" s="36">
        <f>'Lista de Preço 02_2022'!$C765*1.1712</f>
        <v>50.09987054</v>
      </c>
      <c r="E765" s="37">
        <v>3.25</v>
      </c>
      <c r="F765" s="38">
        <v>0.18</v>
      </c>
      <c r="G765" s="38" t="s">
        <v>37</v>
      </c>
      <c r="H765" s="39" t="s">
        <v>793</v>
      </c>
      <c r="I765" s="40" t="s">
        <v>1997</v>
      </c>
      <c r="J765" s="41" t="s">
        <v>40</v>
      </c>
      <c r="K765" s="42" t="s">
        <v>303</v>
      </c>
      <c r="L765" s="43">
        <v>3.454620001E9</v>
      </c>
      <c r="M765" s="42">
        <v>8.7089482E7</v>
      </c>
      <c r="N765" s="44" t="s">
        <v>28</v>
      </c>
      <c r="O765" s="45">
        <v>0.502</v>
      </c>
      <c r="P765" s="44">
        <v>7.898233432384E12</v>
      </c>
      <c r="Q765" s="44">
        <v>1.0</v>
      </c>
    </row>
    <row r="766" ht="15.75" customHeight="1">
      <c r="A766" s="35" t="s">
        <v>1998</v>
      </c>
      <c r="B766" s="36">
        <v>260.96239295109103</v>
      </c>
      <c r="C766" s="36">
        <f>'Lista de Preço 02_2022'!$B766*0.9*0.9*0.9*0.9*0.9*0.97</f>
        <v>149.4728129</v>
      </c>
      <c r="D766" s="36">
        <f>'Lista de Preço 02_2022'!$C766*1.1712</f>
        <v>175.0625585</v>
      </c>
      <c r="E766" s="37">
        <v>3.25</v>
      </c>
      <c r="F766" s="38">
        <v>0.18</v>
      </c>
      <c r="G766" s="38" t="s">
        <v>37</v>
      </c>
      <c r="H766" s="39" t="s">
        <v>793</v>
      </c>
      <c r="I766" s="40" t="s">
        <v>816</v>
      </c>
      <c r="J766" s="41" t="s">
        <v>40</v>
      </c>
      <c r="K766" s="42" t="s">
        <v>303</v>
      </c>
      <c r="L766" s="43">
        <v>3.094600309E9</v>
      </c>
      <c r="M766" s="42">
        <v>8.7089482E7</v>
      </c>
      <c r="N766" s="44" t="s">
        <v>28</v>
      </c>
      <c r="O766" s="45">
        <v>2.01</v>
      </c>
      <c r="P766" s="44">
        <v>7.898233432391E12</v>
      </c>
      <c r="Q766" s="44">
        <v>1.0</v>
      </c>
    </row>
    <row r="767" ht="15.75" customHeight="1">
      <c r="A767" s="35" t="s">
        <v>1999</v>
      </c>
      <c r="B767" s="36">
        <v>49.08362225680085</v>
      </c>
      <c r="C767" s="36">
        <f>'Lista de Preço 02_2022'!$B767*0.9*0.9*0.9*0.9*0.9*0.97</f>
        <v>28.11388646</v>
      </c>
      <c r="D767" s="36">
        <f>'Lista de Preço 02_2022'!$C767*1.065</f>
        <v>29.94128908</v>
      </c>
      <c r="E767" s="37">
        <v>6.5</v>
      </c>
      <c r="F767" s="38">
        <v>0.18</v>
      </c>
      <c r="G767" s="38" t="s">
        <v>37</v>
      </c>
      <c r="H767" s="39" t="s">
        <v>919</v>
      </c>
      <c r="I767" s="40" t="s">
        <v>2000</v>
      </c>
      <c r="J767" s="41" t="s">
        <v>40</v>
      </c>
      <c r="K767" s="42" t="s">
        <v>303</v>
      </c>
      <c r="L767" s="43">
        <v>3.893320072E9</v>
      </c>
      <c r="M767" s="42">
        <v>7.31816E7</v>
      </c>
      <c r="N767" s="44" t="s">
        <v>920</v>
      </c>
      <c r="O767" s="45">
        <v>0.344</v>
      </c>
      <c r="P767" s="44">
        <v>7.898233438157E12</v>
      </c>
      <c r="Q767" s="44">
        <v>1.0</v>
      </c>
    </row>
    <row r="768" ht="15.75" customHeight="1">
      <c r="A768" s="35" t="s">
        <v>2001</v>
      </c>
      <c r="B768" s="36">
        <v>18.406358346300326</v>
      </c>
      <c r="C768" s="36">
        <f>'Lista de Preço 02_2022'!$B768*0.9*0.9*0.9*0.9*0.9*0.97</f>
        <v>10.54270742</v>
      </c>
      <c r="D768" s="36">
        <f>'Lista de Preço 02_2022'!$C768*1.065</f>
        <v>11.22798341</v>
      </c>
      <c r="E768" s="37">
        <v>6.5</v>
      </c>
      <c r="F768" s="38">
        <v>0.18</v>
      </c>
      <c r="G768" s="38" t="s">
        <v>37</v>
      </c>
      <c r="H768" s="39" t="s">
        <v>919</v>
      </c>
      <c r="I768" s="40" t="s">
        <v>1732</v>
      </c>
      <c r="J768" s="41" t="s">
        <v>40</v>
      </c>
      <c r="K768" s="42" t="s">
        <v>303</v>
      </c>
      <c r="L768" s="43" t="s">
        <v>2002</v>
      </c>
      <c r="M768" s="42">
        <v>7.31816E7</v>
      </c>
      <c r="N768" s="44" t="s">
        <v>920</v>
      </c>
      <c r="O768" s="45">
        <v>0.168</v>
      </c>
      <c r="P768" s="44">
        <v>7.898233432414E12</v>
      </c>
      <c r="Q768" s="44">
        <v>1.0</v>
      </c>
    </row>
    <row r="769" ht="15.75" customHeight="1">
      <c r="A769" s="35" t="s">
        <v>2003</v>
      </c>
      <c r="B769" s="36">
        <v>16.38305148758373</v>
      </c>
      <c r="C769" s="36">
        <f>'Lista de Preço 02_2022'!$B769*0.9*0.9*0.9*0.9*0.9*0.97</f>
        <v>9.383807231</v>
      </c>
      <c r="D769" s="36">
        <f>'Lista de Preço 02_2022'!$C769*1.065</f>
        <v>9.993754701</v>
      </c>
      <c r="E769" s="37">
        <v>6.5</v>
      </c>
      <c r="F769" s="38">
        <v>0.18</v>
      </c>
      <c r="G769" s="38" t="s">
        <v>37</v>
      </c>
      <c r="H769" s="39" t="s">
        <v>919</v>
      </c>
      <c r="I769" s="40" t="s">
        <v>2004</v>
      </c>
      <c r="J769" s="41" t="s">
        <v>40</v>
      </c>
      <c r="K769" s="42" t="s">
        <v>303</v>
      </c>
      <c r="L769" s="43" t="s">
        <v>2005</v>
      </c>
      <c r="M769" s="42">
        <v>7.31816E7</v>
      </c>
      <c r="N769" s="44" t="s">
        <v>920</v>
      </c>
      <c r="O769" s="45">
        <v>0.195</v>
      </c>
      <c r="P769" s="44">
        <v>7.898233432421E12</v>
      </c>
      <c r="Q769" s="44">
        <v>1.0</v>
      </c>
    </row>
    <row r="770" ht="15.75" customHeight="1">
      <c r="A770" s="50" t="s">
        <v>2006</v>
      </c>
      <c r="B770" s="36">
        <v>425.41067769805016</v>
      </c>
      <c r="C770" s="51">
        <f>'Lista de Preço 02_2022'!$B770*0.9*0.9*0.9*0.9*0.9*0.97</f>
        <v>243.6647285</v>
      </c>
      <c r="D770" s="36">
        <f>'Lista de Preço 02_2022'!$C770*1.1712</f>
        <v>285.3801301</v>
      </c>
      <c r="E770" s="52">
        <v>3.25</v>
      </c>
      <c r="F770" s="53">
        <v>0.18</v>
      </c>
      <c r="G770" s="53" t="s">
        <v>22</v>
      </c>
      <c r="H770" s="54" t="s">
        <v>23</v>
      </c>
      <c r="I770" s="55" t="s">
        <v>2007</v>
      </c>
      <c r="J770" s="56" t="s">
        <v>1391</v>
      </c>
      <c r="K770" s="57" t="s">
        <v>282</v>
      </c>
      <c r="L770" s="58" t="s">
        <v>2008</v>
      </c>
      <c r="M770" s="57">
        <v>8.708999E7</v>
      </c>
      <c r="N770" s="59" t="s">
        <v>28</v>
      </c>
      <c r="O770" s="60">
        <v>3.38</v>
      </c>
      <c r="P770" s="59">
        <v>7.89982351026E12</v>
      </c>
      <c r="Q770" s="59">
        <v>1.0</v>
      </c>
    </row>
    <row r="771" ht="15.75" customHeight="1">
      <c r="A771" s="35" t="s">
        <v>2009</v>
      </c>
      <c r="B771" s="36">
        <v>24.541811128400425</v>
      </c>
      <c r="C771" s="36">
        <f>'Lista de Preço 02_2022'!$B771*0.9*0.9*0.9*0.9*0.9*0.97</f>
        <v>14.05694323</v>
      </c>
      <c r="D771" s="36">
        <f>'Lista de Preço 02_2022'!$C771*1.1712</f>
        <v>16.46349191</v>
      </c>
      <c r="E771" s="37">
        <v>3.25</v>
      </c>
      <c r="F771" s="38">
        <v>0.18</v>
      </c>
      <c r="G771" s="38" t="s">
        <v>37</v>
      </c>
      <c r="H771" s="39" t="s">
        <v>559</v>
      </c>
      <c r="I771" s="40" t="s">
        <v>816</v>
      </c>
      <c r="J771" s="41" t="s">
        <v>40</v>
      </c>
      <c r="K771" s="42" t="s">
        <v>303</v>
      </c>
      <c r="L771" s="43">
        <v>3.140700323E9</v>
      </c>
      <c r="M771" s="42">
        <v>8.708999E7</v>
      </c>
      <c r="N771" s="44" t="s">
        <v>28</v>
      </c>
      <c r="O771" s="45">
        <v>0.311</v>
      </c>
      <c r="P771" s="44">
        <v>7.898233432438E12</v>
      </c>
      <c r="Q771" s="44">
        <v>1.0</v>
      </c>
    </row>
    <row r="772" ht="15.75" customHeight="1">
      <c r="A772" s="35" t="s">
        <v>2010</v>
      </c>
      <c r="B772" s="36">
        <v>23.007947932875403</v>
      </c>
      <c r="C772" s="36">
        <f>'Lista de Preço 02_2022'!$B772*0.9*0.9*0.9*0.9*0.9*0.97</f>
        <v>13.17838428</v>
      </c>
      <c r="D772" s="36">
        <f>'Lista de Preço 02_2022'!$C772*1.1712</f>
        <v>15.43452367</v>
      </c>
      <c r="E772" s="37">
        <v>3.25</v>
      </c>
      <c r="F772" s="38">
        <v>0.18</v>
      </c>
      <c r="G772" s="38" t="s">
        <v>37</v>
      </c>
      <c r="H772" s="39" t="s">
        <v>559</v>
      </c>
      <c r="I772" s="40" t="s">
        <v>816</v>
      </c>
      <c r="J772" s="41" t="s">
        <v>40</v>
      </c>
      <c r="K772" s="42" t="s">
        <v>303</v>
      </c>
      <c r="L772" s="43">
        <v>3.083007004E9</v>
      </c>
      <c r="M772" s="42">
        <v>8.708999E7</v>
      </c>
      <c r="N772" s="44" t="s">
        <v>28</v>
      </c>
      <c r="O772" s="45">
        <v>0.261</v>
      </c>
      <c r="P772" s="44">
        <v>7.898233432445E12</v>
      </c>
      <c r="Q772" s="44">
        <v>1.0</v>
      </c>
    </row>
    <row r="773" ht="15.75" customHeight="1">
      <c r="A773" s="35" t="s">
        <v>2011</v>
      </c>
      <c r="B773" s="36">
        <v>21.474084737350378</v>
      </c>
      <c r="C773" s="36">
        <f>'Lista de Preço 02_2022'!$B773*0.9*0.9*0.9*0.9*0.9*0.97</f>
        <v>12.29982533</v>
      </c>
      <c r="D773" s="36">
        <f>'Lista de Preço 02_2022'!$C773*1.1712</f>
        <v>14.40555542</v>
      </c>
      <c r="E773" s="37">
        <v>3.25</v>
      </c>
      <c r="F773" s="38">
        <v>0.18</v>
      </c>
      <c r="G773" s="38" t="s">
        <v>37</v>
      </c>
      <c r="H773" s="39" t="s">
        <v>559</v>
      </c>
      <c r="I773" s="40" t="s">
        <v>816</v>
      </c>
      <c r="J773" s="41" t="s">
        <v>40</v>
      </c>
      <c r="K773" s="42" t="s">
        <v>303</v>
      </c>
      <c r="L773" s="43">
        <v>3.083007025E9</v>
      </c>
      <c r="M773" s="42">
        <v>8.708999E7</v>
      </c>
      <c r="N773" s="44" t="s">
        <v>28</v>
      </c>
      <c r="O773" s="45">
        <v>0.145</v>
      </c>
      <c r="P773" s="44">
        <v>7.898233432452E12</v>
      </c>
      <c r="Q773" s="44">
        <v>1.0</v>
      </c>
    </row>
    <row r="774" ht="15.75" customHeight="1">
      <c r="A774" s="35" t="s">
        <v>2012</v>
      </c>
      <c r="B774" s="36">
        <v>7.5539075610285025</v>
      </c>
      <c r="C774" s="36">
        <f>'Lista de Preço 02_2022'!$B774*0.9*0.9*0.9*0.9*0.9*0.97</f>
        <v>4.326691669</v>
      </c>
      <c r="D774" s="36">
        <f>'Lista de Preço 02_2022'!$C774*1.1712</f>
        <v>5.067421283</v>
      </c>
      <c r="E774" s="37">
        <v>3.25</v>
      </c>
      <c r="F774" s="38">
        <v>0.18</v>
      </c>
      <c r="G774" s="38" t="s">
        <v>22</v>
      </c>
      <c r="H774" s="39" t="s">
        <v>559</v>
      </c>
      <c r="I774" s="40" t="s">
        <v>2013</v>
      </c>
      <c r="J774" s="41" t="s">
        <v>32</v>
      </c>
      <c r="K774" s="42" t="s">
        <v>26</v>
      </c>
      <c r="L774" s="43">
        <v>48867.0</v>
      </c>
      <c r="M774" s="44">
        <v>8.708999E7</v>
      </c>
      <c r="N774" s="44" t="s">
        <v>28</v>
      </c>
      <c r="O774" s="45">
        <v>0.382</v>
      </c>
      <c r="P774" s="44">
        <v>7.89823343025E12</v>
      </c>
      <c r="Q774" s="44">
        <v>1.0</v>
      </c>
    </row>
    <row r="775" ht="15.75" customHeight="1">
      <c r="A775" s="35" t="s">
        <v>2014</v>
      </c>
      <c r="B775" s="36">
        <v>137.0052562993228</v>
      </c>
      <c r="C775" s="36">
        <f>'Lista de Preço 02_2022'!$B775*0.9*0.9*0.9*0.9*0.9*0.97</f>
        <v>78.47322678</v>
      </c>
      <c r="D775" s="36">
        <f>'Lista de Preço 02_2022'!$C775*1.1712</f>
        <v>91.9078432</v>
      </c>
      <c r="E775" s="37">
        <v>3.25</v>
      </c>
      <c r="F775" s="38">
        <v>0.18</v>
      </c>
      <c r="G775" s="38" t="s">
        <v>37</v>
      </c>
      <c r="H775" s="39" t="s">
        <v>919</v>
      </c>
      <c r="I775" s="40" t="s">
        <v>1920</v>
      </c>
      <c r="J775" s="41" t="s">
        <v>40</v>
      </c>
      <c r="K775" s="42" t="s">
        <v>303</v>
      </c>
      <c r="L775" s="43">
        <v>3.522620045E9</v>
      </c>
      <c r="M775" s="42">
        <v>8.708999E7</v>
      </c>
      <c r="N775" s="44" t="s">
        <v>28</v>
      </c>
      <c r="O775" s="45">
        <v>1.542</v>
      </c>
      <c r="P775" s="44">
        <v>7.898233432506E12</v>
      </c>
      <c r="Q775" s="44">
        <v>1.0</v>
      </c>
    </row>
    <row r="776" ht="15.75" customHeight="1">
      <c r="A776" s="50" t="s">
        <v>2015</v>
      </c>
      <c r="B776" s="36">
        <v>337.85856369</v>
      </c>
      <c r="C776" s="51">
        <f>'Lista de Preço 02_2022'!$B776*0.9*0.9*0.9*0.9*0.9*0.97</f>
        <v>193.5170402</v>
      </c>
      <c r="D776" s="36">
        <f>'Lista de Preço 02_2022'!$C776*1.1712</f>
        <v>226.6471575</v>
      </c>
      <c r="E776" s="52">
        <v>3.25</v>
      </c>
      <c r="F776" s="53">
        <v>0.18</v>
      </c>
      <c r="G776" s="53" t="s">
        <v>22</v>
      </c>
      <c r="H776" s="54" t="s">
        <v>23</v>
      </c>
      <c r="I776" s="55" t="s">
        <v>2016</v>
      </c>
      <c r="J776" s="56" t="s">
        <v>25</v>
      </c>
      <c r="K776" s="57" t="s">
        <v>661</v>
      </c>
      <c r="L776" s="58" t="s">
        <v>2017</v>
      </c>
      <c r="M776" s="57">
        <v>8.708999E7</v>
      </c>
      <c r="N776" s="59" t="s">
        <v>28</v>
      </c>
      <c r="O776" s="60">
        <v>2.6</v>
      </c>
      <c r="P776" s="59">
        <v>7.899823510277E12</v>
      </c>
      <c r="Q776" s="59">
        <v>1.0</v>
      </c>
    </row>
    <row r="777" ht="15.75" customHeight="1">
      <c r="A777" s="50" t="s">
        <v>2018</v>
      </c>
      <c r="B777" s="36">
        <v>798.85992789</v>
      </c>
      <c r="C777" s="51">
        <f>'Lista de Preço 02_2022'!$B777*0.9*0.9*0.9*0.9*0.9*0.97</f>
        <v>457.5672349</v>
      </c>
      <c r="D777" s="36">
        <f>'Lista de Preço 02_2022'!$C777*1.1712</f>
        <v>535.9027455</v>
      </c>
      <c r="E777" s="52">
        <v>3.25</v>
      </c>
      <c r="F777" s="53">
        <v>0.18</v>
      </c>
      <c r="G777" s="53" t="s">
        <v>22</v>
      </c>
      <c r="H777" s="54" t="s">
        <v>23</v>
      </c>
      <c r="I777" s="55" t="s">
        <v>2019</v>
      </c>
      <c r="J777" s="56" t="s">
        <v>2020</v>
      </c>
      <c r="K777" s="57" t="s">
        <v>1580</v>
      </c>
      <c r="L777" s="58" t="s">
        <v>2021</v>
      </c>
      <c r="M777" s="57">
        <v>8.708999E7</v>
      </c>
      <c r="N777" s="59" t="s">
        <v>28</v>
      </c>
      <c r="O777" s="60">
        <v>3.66</v>
      </c>
      <c r="P777" s="59">
        <v>7.89982350982E12</v>
      </c>
      <c r="Q777" s="59">
        <v>1.0</v>
      </c>
    </row>
    <row r="778" ht="15.75" customHeight="1">
      <c r="A778" s="50" t="s">
        <v>2022</v>
      </c>
      <c r="B778" s="36">
        <v>330.343042</v>
      </c>
      <c r="C778" s="51">
        <f>'Lista de Preço 02_2022'!$B778*0.9*0.9*0.9*0.9*0.9*0.97</f>
        <v>189.212335</v>
      </c>
      <c r="D778" s="36">
        <f>'Lista de Preço 02_2022'!$C778*1.1712</f>
        <v>221.6054867</v>
      </c>
      <c r="E778" s="52">
        <v>3.25</v>
      </c>
      <c r="F778" s="53">
        <v>0.18</v>
      </c>
      <c r="G778" s="53" t="s">
        <v>22</v>
      </c>
      <c r="H778" s="54" t="s">
        <v>23</v>
      </c>
      <c r="I778" s="55" t="s">
        <v>2019</v>
      </c>
      <c r="J778" s="56" t="s">
        <v>2020</v>
      </c>
      <c r="K778" s="57" t="s">
        <v>1580</v>
      </c>
      <c r="L778" s="58" t="s">
        <v>2023</v>
      </c>
      <c r="M778" s="57">
        <v>8.708999E7</v>
      </c>
      <c r="N778" s="59" t="s">
        <v>28</v>
      </c>
      <c r="O778" s="60">
        <v>1.44</v>
      </c>
      <c r="P778" s="59">
        <v>7.899823509837E12</v>
      </c>
      <c r="Q778" s="59">
        <v>1.0</v>
      </c>
    </row>
    <row r="779" ht="15.75" customHeight="1">
      <c r="A779" s="50" t="s">
        <v>2024</v>
      </c>
      <c r="B779" s="36">
        <v>419.05125639999994</v>
      </c>
      <c r="C779" s="51">
        <f>'Lista de Preço 02_2022'!$B779*0.9*0.9*0.9*0.9*0.9*0.97</f>
        <v>240.0222091</v>
      </c>
      <c r="D779" s="36">
        <f>'Lista de Preço 02_2022'!$C779*1.1712</f>
        <v>281.1140113</v>
      </c>
      <c r="E779" s="52">
        <v>3.25</v>
      </c>
      <c r="F779" s="53">
        <v>0.18</v>
      </c>
      <c r="G779" s="53" t="s">
        <v>22</v>
      </c>
      <c r="H779" s="54" t="s">
        <v>23</v>
      </c>
      <c r="I779" s="55" t="s">
        <v>2025</v>
      </c>
      <c r="J779" s="56" t="s">
        <v>25</v>
      </c>
      <c r="K779" s="57" t="s">
        <v>625</v>
      </c>
      <c r="L779" s="58" t="s">
        <v>2026</v>
      </c>
      <c r="M779" s="57">
        <v>8.708999E7</v>
      </c>
      <c r="N779" s="59" t="s">
        <v>28</v>
      </c>
      <c r="O779" s="60">
        <v>3.82</v>
      </c>
      <c r="P779" s="59">
        <v>7.899823511458E12</v>
      </c>
      <c r="Q779" s="59">
        <v>1.0</v>
      </c>
    </row>
    <row r="780" ht="15.75" customHeight="1">
      <c r="A780" s="35" t="s">
        <v>2027</v>
      </c>
      <c r="B780" s="36">
        <v>10.583204961782254</v>
      </c>
      <c r="C780" s="36">
        <f>'Lista de Preço 02_2022'!$B780*0.9*0.9*0.9*0.9*0.9*0.97</f>
        <v>6.061798397</v>
      </c>
      <c r="D780" s="36">
        <f>'Lista de Preço 02_2022'!$C780*1.1712</f>
        <v>7.099578283</v>
      </c>
      <c r="E780" s="37">
        <v>3.25</v>
      </c>
      <c r="F780" s="38">
        <v>0.18</v>
      </c>
      <c r="G780" s="38" t="s">
        <v>22</v>
      </c>
      <c r="H780" s="39" t="s">
        <v>30</v>
      </c>
      <c r="I780" s="40" t="s">
        <v>2028</v>
      </c>
      <c r="J780" s="41" t="s">
        <v>32</v>
      </c>
      <c r="K780" s="42" t="s">
        <v>26</v>
      </c>
      <c r="L780" s="43" t="s">
        <v>1402</v>
      </c>
      <c r="M780" s="44">
        <v>8.708999E7</v>
      </c>
      <c r="N780" s="44" t="s">
        <v>28</v>
      </c>
      <c r="O780" s="45">
        <v>0.054</v>
      </c>
      <c r="P780" s="44">
        <v>7.898233430274E12</v>
      </c>
      <c r="Q780" s="44">
        <v>1.0</v>
      </c>
    </row>
    <row r="781" ht="15.75" customHeight="1">
      <c r="A781" s="50" t="s">
        <v>2029</v>
      </c>
      <c r="B781" s="36">
        <v>479.067165075</v>
      </c>
      <c r="C781" s="51">
        <f>'Lista de Preço 02_2022'!$B781*0.9*0.9*0.9*0.9*0.9*0.97</f>
        <v>274.3978392</v>
      </c>
      <c r="D781" s="36">
        <f>'Lista de Preço 02_2022'!$C781*1.1712</f>
        <v>321.3747493</v>
      </c>
      <c r="E781" s="52">
        <v>3.25</v>
      </c>
      <c r="F781" s="53">
        <v>0.18</v>
      </c>
      <c r="G781" s="53" t="s">
        <v>22</v>
      </c>
      <c r="H781" s="54" t="s">
        <v>23</v>
      </c>
      <c r="I781" s="55" t="s">
        <v>2030</v>
      </c>
      <c r="J781" s="56" t="s">
        <v>1391</v>
      </c>
      <c r="K781" s="57" t="s">
        <v>1876</v>
      </c>
      <c r="L781" s="58"/>
      <c r="M781" s="57">
        <v>8.708999E7</v>
      </c>
      <c r="N781" s="59" t="s">
        <v>28</v>
      </c>
      <c r="O781" s="60">
        <v>3.46</v>
      </c>
      <c r="P781" s="59">
        <v>7.899823509844E12</v>
      </c>
      <c r="Q781" s="59">
        <v>1.0</v>
      </c>
    </row>
    <row r="782" ht="15.75" customHeight="1">
      <c r="A782" s="35" t="s">
        <v>2031</v>
      </c>
      <c r="B782" s="36">
        <v>140.72822522050006</v>
      </c>
      <c r="C782" s="36">
        <f>'Lista de Preço 02_2022'!$B782*0.9*0.9*0.9*0.9*0.9*0.97</f>
        <v>80.60565142</v>
      </c>
      <c r="D782" s="36">
        <f>'Lista de Preço 02_2022'!$C782*1.1712</f>
        <v>94.40533894</v>
      </c>
      <c r="E782" s="37">
        <v>3.25</v>
      </c>
      <c r="F782" s="38">
        <v>0.18</v>
      </c>
      <c r="G782" s="38" t="s">
        <v>37</v>
      </c>
      <c r="H782" s="39" t="s">
        <v>919</v>
      </c>
      <c r="I782" s="40" t="s">
        <v>2032</v>
      </c>
      <c r="J782" s="41" t="s">
        <v>40</v>
      </c>
      <c r="K782" s="42" t="s">
        <v>303</v>
      </c>
      <c r="L782" s="43">
        <v>3.603500045E9</v>
      </c>
      <c r="M782" s="42">
        <v>8.708999E7</v>
      </c>
      <c r="N782" s="44" t="s">
        <v>28</v>
      </c>
      <c r="O782" s="45">
        <v>1.45</v>
      </c>
      <c r="P782" s="44">
        <v>7.898233432513E12</v>
      </c>
      <c r="Q782" s="44">
        <v>1.0</v>
      </c>
    </row>
    <row r="783" ht="15.75" customHeight="1">
      <c r="A783" s="35" t="s">
        <v>2033</v>
      </c>
      <c r="B783" s="36">
        <v>204.76329066474878</v>
      </c>
      <c r="C783" s="36">
        <f>'Lista de Preço 02_2022'!$B783*0.9*0.9*0.9*0.9*0.9*0.97</f>
        <v>117.2833552</v>
      </c>
      <c r="D783" s="36">
        <f>'Lista de Preço 02_2022'!$C783*1.1712</f>
        <v>137.3622657</v>
      </c>
      <c r="E783" s="37">
        <v>3.25</v>
      </c>
      <c r="F783" s="38">
        <v>0.18</v>
      </c>
      <c r="G783" s="38" t="s">
        <v>37</v>
      </c>
      <c r="H783" s="39" t="s">
        <v>919</v>
      </c>
      <c r="I783" s="40" t="s">
        <v>2034</v>
      </c>
      <c r="J783" s="41" t="s">
        <v>40</v>
      </c>
      <c r="K783" s="42" t="s">
        <v>303</v>
      </c>
      <c r="L783" s="43">
        <v>3.603500645E9</v>
      </c>
      <c r="M783" s="42">
        <v>8.708999E7</v>
      </c>
      <c r="N783" s="44" t="s">
        <v>28</v>
      </c>
      <c r="O783" s="45">
        <v>2.1</v>
      </c>
      <c r="P783" s="44">
        <v>7.89823343252E12</v>
      </c>
      <c r="Q783" s="44">
        <v>1.0</v>
      </c>
    </row>
    <row r="784" ht="15.75" customHeight="1">
      <c r="A784" s="35" t="s">
        <v>2035</v>
      </c>
      <c r="B784" s="36">
        <v>147.44746338825354</v>
      </c>
      <c r="C784" s="36">
        <f>'Lista de Preço 02_2022'!$B784*0.9*0.9*0.9*0.9*0.9*0.97</f>
        <v>84.45426508</v>
      </c>
      <c r="D784" s="36">
        <f>'Lista de Preço 02_2022'!$C784*1.1712</f>
        <v>98.91283526</v>
      </c>
      <c r="E784" s="37">
        <v>3.25</v>
      </c>
      <c r="F784" s="38">
        <v>0.18</v>
      </c>
      <c r="G784" s="38" t="s">
        <v>37</v>
      </c>
      <c r="H784" s="39" t="s">
        <v>919</v>
      </c>
      <c r="I784" s="40" t="s">
        <v>2036</v>
      </c>
      <c r="J784" s="41" t="s">
        <v>40</v>
      </c>
      <c r="K784" s="42" t="s">
        <v>303</v>
      </c>
      <c r="L784" s="43">
        <v>3.443500045E9</v>
      </c>
      <c r="M784" s="42">
        <v>8.708999E7</v>
      </c>
      <c r="N784" s="44" t="s">
        <v>28</v>
      </c>
      <c r="O784" s="45">
        <v>1.5</v>
      </c>
      <c r="P784" s="44">
        <v>7.898233432537E12</v>
      </c>
      <c r="Q784" s="44">
        <v>1.0</v>
      </c>
    </row>
    <row r="785" ht="15.75" customHeight="1">
      <c r="A785" s="35" t="s">
        <v>2037</v>
      </c>
      <c r="B785" s="36">
        <v>37.82110031409152</v>
      </c>
      <c r="C785" s="36">
        <f>'Lista de Preço 02_2022'!$B785*0.9*0.9*0.9*0.9*0.9*0.97</f>
        <v>21.66299208</v>
      </c>
      <c r="D785" s="36">
        <f>'Lista de Preço 02_2022'!$C785*1.1627</f>
        <v>25.18756089</v>
      </c>
      <c r="E785" s="37">
        <v>2.6</v>
      </c>
      <c r="F785" s="38">
        <v>0.18</v>
      </c>
      <c r="G785" s="38" t="s">
        <v>22</v>
      </c>
      <c r="H785" s="39" t="s">
        <v>2038</v>
      </c>
      <c r="I785" s="40" t="s">
        <v>2039</v>
      </c>
      <c r="J785" s="41" t="s">
        <v>32</v>
      </c>
      <c r="K785" s="42" t="s">
        <v>26</v>
      </c>
      <c r="L785" s="43" t="s">
        <v>2040</v>
      </c>
      <c r="M785" s="44">
        <v>8.7089413E7</v>
      </c>
      <c r="N785" s="44" t="s">
        <v>28</v>
      </c>
      <c r="O785" s="45">
        <v>1.258</v>
      </c>
      <c r="P785" s="44">
        <v>7.898233430281E12</v>
      </c>
      <c r="Q785" s="44">
        <v>1.0</v>
      </c>
    </row>
    <row r="786" ht="15.75" customHeight="1">
      <c r="A786" s="35" t="s">
        <v>2041</v>
      </c>
      <c r="B786" s="36">
        <v>162.46526058520533</v>
      </c>
      <c r="C786" s="36">
        <f>'Lista de Preço 02_2022'!$B786*0.9*0.9*0.9*0.9*0.9*0.97</f>
        <v>93.05608837</v>
      </c>
      <c r="D786" s="36">
        <f>'Lista de Preço 02_2022'!$C786*1.1712</f>
        <v>108.9872907</v>
      </c>
      <c r="E786" s="37">
        <v>3.25</v>
      </c>
      <c r="F786" s="38">
        <v>0.18</v>
      </c>
      <c r="G786" s="38" t="s">
        <v>37</v>
      </c>
      <c r="H786" s="39" t="s">
        <v>559</v>
      </c>
      <c r="I786" s="40" t="s">
        <v>2042</v>
      </c>
      <c r="J786" s="41" t="s">
        <v>40</v>
      </c>
      <c r="K786" s="42" t="s">
        <v>303</v>
      </c>
      <c r="L786" s="43">
        <v>3.561310035E9</v>
      </c>
      <c r="M786" s="42">
        <v>8.4099999E7</v>
      </c>
      <c r="N786" s="44" t="s">
        <v>1407</v>
      </c>
      <c r="O786" s="45">
        <v>2.05</v>
      </c>
      <c r="P786" s="44">
        <v>7.898233432568E12</v>
      </c>
      <c r="Q786" s="44">
        <v>1.0</v>
      </c>
    </row>
    <row r="787" ht="15.75" customHeight="1">
      <c r="A787" s="35" t="s">
        <v>2043</v>
      </c>
      <c r="B787" s="36">
        <v>70.9136937367095</v>
      </c>
      <c r="C787" s="36">
        <f>'Lista de Preço 02_2022'!$B787*0.9*0.9*0.9*0.9*0.9*0.97</f>
        <v>40.6176122</v>
      </c>
      <c r="D787" s="36">
        <f>'Lista de Preço 02_2022'!$C787*1.1712</f>
        <v>47.57134741</v>
      </c>
      <c r="E787" s="37">
        <v>3.25</v>
      </c>
      <c r="F787" s="38">
        <v>0.18</v>
      </c>
      <c r="G787" s="38" t="s">
        <v>37</v>
      </c>
      <c r="H787" s="39" t="s">
        <v>559</v>
      </c>
      <c r="I787" s="40" t="s">
        <v>2044</v>
      </c>
      <c r="J787" s="41" t="s">
        <v>40</v>
      </c>
      <c r="K787" s="42" t="s">
        <v>303</v>
      </c>
      <c r="L787" s="43">
        <v>3.52092104E9</v>
      </c>
      <c r="M787" s="42">
        <v>8.4099999E7</v>
      </c>
      <c r="N787" s="44" t="s">
        <v>1407</v>
      </c>
      <c r="O787" s="45">
        <v>1.3</v>
      </c>
      <c r="P787" s="44">
        <v>7.898233432575E12</v>
      </c>
      <c r="Q787" s="44">
        <v>1.0</v>
      </c>
    </row>
    <row r="788" ht="15.75" customHeight="1">
      <c r="A788" s="35" t="s">
        <v>2045</v>
      </c>
      <c r="B788" s="36">
        <v>103.21322437177751</v>
      </c>
      <c r="C788" s="36">
        <f>'Lista de Preço 02_2022'!$B788*0.9*0.9*0.9*0.9*0.9*0.97</f>
        <v>59.11798555</v>
      </c>
      <c r="D788" s="36">
        <f>'Lista de Preço 02_2022'!$C788*1.1627</f>
        <v>68.7364818</v>
      </c>
      <c r="E788" s="37">
        <v>2.6</v>
      </c>
      <c r="F788" s="38">
        <v>0.18</v>
      </c>
      <c r="G788" s="38" t="s">
        <v>37</v>
      </c>
      <c r="H788" s="39" t="s">
        <v>38</v>
      </c>
      <c r="I788" s="40" t="s">
        <v>2046</v>
      </c>
      <c r="J788" s="41" t="s">
        <v>40</v>
      </c>
      <c r="K788" s="42" t="s">
        <v>303</v>
      </c>
      <c r="L788" s="43">
        <v>3.092901416E9</v>
      </c>
      <c r="M788" s="42">
        <v>8.70893E7</v>
      </c>
      <c r="N788" s="44" t="s">
        <v>28</v>
      </c>
      <c r="O788" s="45">
        <v>1.02</v>
      </c>
      <c r="P788" s="44">
        <v>7.898233432582E12</v>
      </c>
      <c r="Q788" s="44">
        <v>1.0</v>
      </c>
    </row>
    <row r="789" ht="15.75" customHeight="1">
      <c r="A789" s="35" t="s">
        <v>2047</v>
      </c>
      <c r="B789" s="36">
        <v>206.7134172425082</v>
      </c>
      <c r="C789" s="36">
        <f>'Lista de Preço 02_2022'!$B789*0.9*0.9*0.9*0.9*0.9*0.97</f>
        <v>118.4003396</v>
      </c>
      <c r="D789" s="36">
        <f>'Lista de Preço 02_2022'!$C789*1.1712</f>
        <v>138.6704777</v>
      </c>
      <c r="E789" s="37">
        <v>3.25</v>
      </c>
      <c r="F789" s="38">
        <v>0.18</v>
      </c>
      <c r="G789" s="38" t="s">
        <v>37</v>
      </c>
      <c r="H789" s="39" t="s">
        <v>559</v>
      </c>
      <c r="I789" s="40" t="s">
        <v>2048</v>
      </c>
      <c r="J789" s="41" t="s">
        <v>40</v>
      </c>
      <c r="K789" s="42" t="s">
        <v>303</v>
      </c>
      <c r="L789" s="43">
        <v>3.52092114E9</v>
      </c>
      <c r="M789" s="42">
        <v>8.4099999E7</v>
      </c>
      <c r="N789" s="44" t="s">
        <v>1407</v>
      </c>
      <c r="O789" s="45">
        <v>2.42</v>
      </c>
      <c r="P789" s="44">
        <v>7.898233432599E12</v>
      </c>
      <c r="Q789" s="44">
        <v>1.0</v>
      </c>
    </row>
    <row r="790" ht="15.75" customHeight="1">
      <c r="A790" s="35" t="s">
        <v>2049</v>
      </c>
      <c r="B790" s="36">
        <v>49.08362225680085</v>
      </c>
      <c r="C790" s="36">
        <f>'Lista de Preço 02_2022'!$B790*0.9*0.9*0.9*0.9*0.9*0.97</f>
        <v>28.11388646</v>
      </c>
      <c r="D790" s="36">
        <f>'Lista de Preço 02_2022'!$C790*1.1712</f>
        <v>32.92698383</v>
      </c>
      <c r="E790" s="37">
        <v>3.25</v>
      </c>
      <c r="F790" s="38">
        <v>0.18</v>
      </c>
      <c r="G790" s="38" t="s">
        <v>37</v>
      </c>
      <c r="H790" s="39" t="s">
        <v>48</v>
      </c>
      <c r="I790" s="40" t="s">
        <v>1044</v>
      </c>
      <c r="J790" s="41" t="s">
        <v>40</v>
      </c>
      <c r="K790" s="42" t="s">
        <v>303</v>
      </c>
      <c r="L790" s="43">
        <v>3.443347025E9</v>
      </c>
      <c r="M790" s="42">
        <v>8.708709E7</v>
      </c>
      <c r="N790" s="44" t="s">
        <v>28</v>
      </c>
      <c r="O790" s="45">
        <v>0.296</v>
      </c>
      <c r="P790" s="44">
        <v>7.898233432605E12</v>
      </c>
      <c r="Q790" s="48">
        <v>5.0</v>
      </c>
    </row>
    <row r="791" ht="15.75" customHeight="1">
      <c r="A791" s="35" t="s">
        <v>2050</v>
      </c>
      <c r="B791" s="36">
        <v>50.617485452325894</v>
      </c>
      <c r="C791" s="36">
        <f>'Lista de Preço 02_2022'!$B791*0.9*0.9*0.9*0.9*0.9*0.97</f>
        <v>28.99244542</v>
      </c>
      <c r="D791" s="36">
        <f>'Lista de Preço 02_2022'!$C791*1.1712</f>
        <v>33.95595207</v>
      </c>
      <c r="E791" s="37">
        <v>3.25</v>
      </c>
      <c r="F791" s="38">
        <v>0.18</v>
      </c>
      <c r="G791" s="38" t="s">
        <v>37</v>
      </c>
      <c r="H791" s="39" t="s">
        <v>48</v>
      </c>
      <c r="I791" s="40" t="s">
        <v>816</v>
      </c>
      <c r="J791" s="41" t="s">
        <v>40</v>
      </c>
      <c r="K791" s="42" t="s">
        <v>303</v>
      </c>
      <c r="L791" s="43">
        <v>3.143340025E9</v>
      </c>
      <c r="M791" s="42">
        <v>8.708709E7</v>
      </c>
      <c r="N791" s="44" t="s">
        <v>28</v>
      </c>
      <c r="O791" s="45">
        <v>0.23</v>
      </c>
      <c r="P791" s="44">
        <v>7.898233432612E12</v>
      </c>
      <c r="Q791" s="48">
        <v>5.0</v>
      </c>
    </row>
    <row r="792" ht="15.75" customHeight="1">
      <c r="A792" s="35" t="s">
        <v>2051</v>
      </c>
      <c r="B792" s="36">
        <v>22.93627208261722</v>
      </c>
      <c r="C792" s="36">
        <f>'Lista de Preço 02_2022'!$B792*0.9*0.9*0.9*0.9*0.9*0.97</f>
        <v>13.13733012</v>
      </c>
      <c r="D792" s="36">
        <f>'Lista de Preço 02_2022'!$C792*1.1712</f>
        <v>15.38644104</v>
      </c>
      <c r="E792" s="37">
        <v>3.25</v>
      </c>
      <c r="F792" s="38">
        <v>0.18</v>
      </c>
      <c r="G792" s="38" t="s">
        <v>37</v>
      </c>
      <c r="H792" s="39" t="s">
        <v>48</v>
      </c>
      <c r="I792" s="40" t="s">
        <v>2052</v>
      </c>
      <c r="J792" s="41" t="s">
        <v>40</v>
      </c>
      <c r="K792" s="42" t="s">
        <v>303</v>
      </c>
      <c r="L792" s="43">
        <v>3.083230026E9</v>
      </c>
      <c r="M792" s="42">
        <v>8.708999E7</v>
      </c>
      <c r="N792" s="44" t="s">
        <v>28</v>
      </c>
      <c r="O792" s="45">
        <v>0.33</v>
      </c>
      <c r="P792" s="44">
        <v>7.898233432629E12</v>
      </c>
      <c r="Q792" s="48">
        <v>5.0</v>
      </c>
    </row>
    <row r="793" ht="15.75" customHeight="1">
      <c r="A793" s="35" t="s">
        <v>2053</v>
      </c>
      <c r="B793" s="36">
        <v>255.35491685000002</v>
      </c>
      <c r="C793" s="36">
        <f>'Lista de Preço 02_2022'!$B793*0.9*0.9*0.9*0.9*0.9*0.97</f>
        <v>146.2609891</v>
      </c>
      <c r="D793" s="36">
        <f>'Lista de Preço 02_2022'!$C793*1.1712</f>
        <v>171.3008704</v>
      </c>
      <c r="E793" s="37">
        <v>3.25</v>
      </c>
      <c r="F793" s="38">
        <v>0.18</v>
      </c>
      <c r="G793" s="38" t="s">
        <v>22</v>
      </c>
      <c r="H793" s="39" t="s">
        <v>23</v>
      </c>
      <c r="I793" s="40" t="s">
        <v>2054</v>
      </c>
      <c r="J793" s="41" t="s">
        <v>500</v>
      </c>
      <c r="K793" s="42" t="s">
        <v>26</v>
      </c>
      <c r="L793" s="43" t="s">
        <v>2055</v>
      </c>
      <c r="M793" s="44">
        <v>8.708999E7</v>
      </c>
      <c r="N793" s="44" t="s">
        <v>28</v>
      </c>
      <c r="O793" s="45">
        <v>2.056</v>
      </c>
      <c r="P793" s="44">
        <v>7.898233434012E12</v>
      </c>
      <c r="Q793" s="44">
        <v>1.0</v>
      </c>
    </row>
    <row r="794" ht="15.75" customHeight="1">
      <c r="A794" s="35" t="s">
        <v>2056</v>
      </c>
      <c r="B794" s="36">
        <v>136.52542906319775</v>
      </c>
      <c r="C794" s="36">
        <f>'Lista de Preço 02_2022'!$B794*0.9*0.9*0.9*0.9*0.9*0.97</f>
        <v>78.19839359</v>
      </c>
      <c r="D794" s="36">
        <f>'Lista de Preço 02_2022'!$C794*1.1712</f>
        <v>91.58595857</v>
      </c>
      <c r="E794" s="37">
        <v>3.25</v>
      </c>
      <c r="F794" s="38">
        <v>0.18</v>
      </c>
      <c r="G794" s="38" t="s">
        <v>37</v>
      </c>
      <c r="H794" s="39" t="s">
        <v>919</v>
      </c>
      <c r="I794" s="40" t="s">
        <v>2057</v>
      </c>
      <c r="J794" s="41" t="s">
        <v>40</v>
      </c>
      <c r="K794" s="42" t="s">
        <v>303</v>
      </c>
      <c r="L794" s="43">
        <v>3.442620145E9</v>
      </c>
      <c r="M794" s="42">
        <v>8.708999E7</v>
      </c>
      <c r="N794" s="44" t="s">
        <v>28</v>
      </c>
      <c r="O794" s="45">
        <v>1.6</v>
      </c>
      <c r="P794" s="44">
        <v>7.898233432636E12</v>
      </c>
      <c r="Q794" s="44">
        <v>1.0</v>
      </c>
    </row>
    <row r="795" ht="15.75" customHeight="1">
      <c r="A795" s="35" t="s">
        <v>2058</v>
      </c>
      <c r="B795" s="36">
        <v>302.7621654026635</v>
      </c>
      <c r="C795" s="36">
        <f>'Lista de Preço 02_2022'!$B795*0.9*0.9*0.9*0.9*0.9*0.97</f>
        <v>173.4146901</v>
      </c>
      <c r="D795" s="36">
        <f>'Lista de Preço 02_2022'!$C795*1.1712</f>
        <v>203.1032851</v>
      </c>
      <c r="E795" s="37">
        <v>3.25</v>
      </c>
      <c r="F795" s="38">
        <v>0.18</v>
      </c>
      <c r="G795" s="38" t="s">
        <v>37</v>
      </c>
      <c r="H795" s="39" t="s">
        <v>23</v>
      </c>
      <c r="I795" s="40" t="s">
        <v>301</v>
      </c>
      <c r="J795" s="41" t="s">
        <v>302</v>
      </c>
      <c r="K795" s="42" t="s">
        <v>303</v>
      </c>
      <c r="L795" s="43" t="s">
        <v>2059</v>
      </c>
      <c r="M795" s="42">
        <v>8.708999E7</v>
      </c>
      <c r="N795" s="44" t="s">
        <v>28</v>
      </c>
      <c r="O795" s="45">
        <v>3.51</v>
      </c>
      <c r="P795" s="44">
        <v>7.898233432643E12</v>
      </c>
      <c r="Q795" s="44">
        <v>1.0</v>
      </c>
    </row>
    <row r="796" ht="15.75" customHeight="1">
      <c r="A796" s="35" t="s">
        <v>2060</v>
      </c>
      <c r="B796" s="36">
        <v>363.7735527868488</v>
      </c>
      <c r="C796" s="36">
        <f>'Lista de Preço 02_2022'!$B796*0.9*0.9*0.9*0.9*0.9*0.97</f>
        <v>208.3605058</v>
      </c>
      <c r="D796" s="36">
        <f>'Lista de Preço 02_2022'!$C796*1.1712</f>
        <v>244.0318244</v>
      </c>
      <c r="E796" s="37">
        <v>3.25</v>
      </c>
      <c r="F796" s="38">
        <v>0.18</v>
      </c>
      <c r="G796" s="38" t="s">
        <v>37</v>
      </c>
      <c r="H796" s="39" t="s">
        <v>23</v>
      </c>
      <c r="I796" s="40" t="s">
        <v>2061</v>
      </c>
      <c r="J796" s="41" t="s">
        <v>302</v>
      </c>
      <c r="K796" s="42" t="s">
        <v>303</v>
      </c>
      <c r="L796" s="43">
        <v>9.023340001E9</v>
      </c>
      <c r="M796" s="42">
        <v>8.708999E7</v>
      </c>
      <c r="N796" s="44" t="s">
        <v>28</v>
      </c>
      <c r="O796" s="45">
        <v>3.784</v>
      </c>
      <c r="P796" s="44">
        <v>7.89823343265E12</v>
      </c>
      <c r="Q796" s="44">
        <v>1.0</v>
      </c>
    </row>
    <row r="797" ht="15.75" customHeight="1">
      <c r="A797" s="35" t="s">
        <v>2062</v>
      </c>
      <c r="B797" s="36">
        <v>725.3285092150801</v>
      </c>
      <c r="C797" s="36">
        <f>'Lista de Preço 02_2022'!$B797*0.9*0.9*0.9*0.9*0.9*0.97</f>
        <v>415.4502545</v>
      </c>
      <c r="D797" s="36">
        <f>'Lista de Preço 02_2022'!$C797*1.1712</f>
        <v>486.575338</v>
      </c>
      <c r="E797" s="37">
        <v>3.25</v>
      </c>
      <c r="F797" s="38">
        <v>0.18</v>
      </c>
      <c r="G797" s="38" t="s">
        <v>37</v>
      </c>
      <c r="H797" s="39" t="s">
        <v>2063</v>
      </c>
      <c r="I797" s="40" t="s">
        <v>2064</v>
      </c>
      <c r="J797" s="41" t="s">
        <v>302</v>
      </c>
      <c r="K797" s="42" t="s">
        <v>507</v>
      </c>
      <c r="L797" s="43" t="s">
        <v>2065</v>
      </c>
      <c r="M797" s="42">
        <v>8.708999E7</v>
      </c>
      <c r="N797" s="44" t="s">
        <v>28</v>
      </c>
      <c r="O797" s="45">
        <v>6.7</v>
      </c>
      <c r="P797" s="44">
        <v>7.898233436832E12</v>
      </c>
      <c r="Q797" s="44">
        <v>1.0</v>
      </c>
    </row>
    <row r="798" ht="15.75" customHeight="1">
      <c r="A798" s="50" t="s">
        <v>2066</v>
      </c>
      <c r="B798" s="36">
        <v>861.76907</v>
      </c>
      <c r="C798" s="51">
        <f>'Lista de Preço 02_2022'!$B798*0.9*0.9*0.9*0.9*0.9*0.97</f>
        <v>493.6000376</v>
      </c>
      <c r="D798" s="36">
        <f>'Lista de Preço 02_2022'!$C798*1.1712</f>
        <v>578.104364</v>
      </c>
      <c r="E798" s="52">
        <v>3.25</v>
      </c>
      <c r="F798" s="53">
        <v>0.18</v>
      </c>
      <c r="G798" s="53" t="s">
        <v>22</v>
      </c>
      <c r="H798" s="54" t="s">
        <v>23</v>
      </c>
      <c r="I798" s="55" t="s">
        <v>2067</v>
      </c>
      <c r="J798" s="56" t="s">
        <v>1391</v>
      </c>
      <c r="K798" s="57" t="s">
        <v>1392</v>
      </c>
      <c r="L798" s="58" t="s">
        <v>2068</v>
      </c>
      <c r="M798" s="57">
        <v>8.708999E7</v>
      </c>
      <c r="N798" s="59" t="s">
        <v>28</v>
      </c>
      <c r="O798" s="60">
        <v>3.38</v>
      </c>
      <c r="P798" s="59">
        <v>7.899823511472E12</v>
      </c>
      <c r="Q798" s="59">
        <v>1.0</v>
      </c>
    </row>
    <row r="799" ht="15.75" customHeight="1">
      <c r="A799" s="50" t="s">
        <v>2069</v>
      </c>
      <c r="B799" s="36">
        <v>792.8317880000002</v>
      </c>
      <c r="C799" s="51">
        <f>'Lista de Preço 02_2022'!$B799*0.9*0.9*0.9*0.9*0.9*0.97</f>
        <v>454.1144652</v>
      </c>
      <c r="D799" s="36">
        <f>'Lista de Preço 02_2022'!$C799*1.1712</f>
        <v>531.8588617</v>
      </c>
      <c r="E799" s="52">
        <v>3.25</v>
      </c>
      <c r="F799" s="53">
        <v>0.18</v>
      </c>
      <c r="G799" s="53" t="s">
        <v>22</v>
      </c>
      <c r="H799" s="54" t="s">
        <v>23</v>
      </c>
      <c r="I799" s="55" t="s">
        <v>2070</v>
      </c>
      <c r="J799" s="56" t="s">
        <v>1391</v>
      </c>
      <c r="K799" s="57" t="s">
        <v>1580</v>
      </c>
      <c r="L799" s="58" t="s">
        <v>2071</v>
      </c>
      <c r="M799" s="57">
        <v>8.708999E7</v>
      </c>
      <c r="N799" s="59" t="s">
        <v>28</v>
      </c>
      <c r="O799" s="60">
        <v>4.22</v>
      </c>
      <c r="P799" s="59">
        <v>7.899823511489E12</v>
      </c>
      <c r="Q799" s="59">
        <v>1.0</v>
      </c>
    </row>
    <row r="800" ht="15.75" customHeight="1">
      <c r="A800" s="35" t="s">
        <v>2072</v>
      </c>
      <c r="B800" s="36">
        <v>115.2241606228829</v>
      </c>
      <c r="C800" s="36">
        <f>'Lista de Preço 02_2022'!$B800*0.9*0.9*0.9*0.9*0.9*0.97</f>
        <v>65.99755317</v>
      </c>
      <c r="D800" s="36">
        <f>'Lista de Preço 02_2022'!$C800*1.1712</f>
        <v>77.29633427</v>
      </c>
      <c r="E800" s="37">
        <v>3.25</v>
      </c>
      <c r="F800" s="38">
        <v>0.18</v>
      </c>
      <c r="G800" s="38" t="s">
        <v>22</v>
      </c>
      <c r="H800" s="39" t="s">
        <v>43</v>
      </c>
      <c r="I800" s="40" t="s">
        <v>2073</v>
      </c>
      <c r="J800" s="41" t="s">
        <v>2074</v>
      </c>
      <c r="K800" s="42" t="s">
        <v>26</v>
      </c>
      <c r="L800" s="43" t="s">
        <v>2075</v>
      </c>
      <c r="M800" s="44">
        <v>8.708999E7</v>
      </c>
      <c r="N800" s="44" t="s">
        <v>28</v>
      </c>
      <c r="O800" s="45">
        <v>0.57</v>
      </c>
      <c r="P800" s="44">
        <v>7.898233434852E12</v>
      </c>
      <c r="Q800" s="44">
        <v>1.0</v>
      </c>
    </row>
    <row r="801" ht="15.75" customHeight="1">
      <c r="A801" s="35" t="s">
        <v>2076</v>
      </c>
      <c r="B801" s="36">
        <v>401.62878</v>
      </c>
      <c r="C801" s="36">
        <f>'Lista de Preço 02_2022'!$B801*0.9*0.9*0.9*0.9*0.9*0.97</f>
        <v>230.043045</v>
      </c>
      <c r="D801" s="36">
        <f>'Lista de Preço 02_2022'!$C801*1.1712</f>
        <v>269.4264142</v>
      </c>
      <c r="E801" s="37">
        <v>3.25</v>
      </c>
      <c r="F801" s="38">
        <v>0.18</v>
      </c>
      <c r="G801" s="38" t="s">
        <v>22</v>
      </c>
      <c r="H801" s="39" t="s">
        <v>23</v>
      </c>
      <c r="I801" s="40" t="s">
        <v>2077</v>
      </c>
      <c r="J801" s="41" t="s">
        <v>25</v>
      </c>
      <c r="K801" s="42" t="s">
        <v>294</v>
      </c>
      <c r="L801" s="43" t="s">
        <v>2078</v>
      </c>
      <c r="M801" s="42">
        <v>8.708999E7</v>
      </c>
      <c r="N801" s="44" t="s">
        <v>28</v>
      </c>
      <c r="O801" s="45">
        <v>2.76</v>
      </c>
      <c r="P801" s="44">
        <v>7.899823510284E12</v>
      </c>
      <c r="Q801" s="44">
        <v>1.0</v>
      </c>
    </row>
    <row r="802" ht="15.75" customHeight="1">
      <c r="A802" s="35" t="s">
        <v>2079</v>
      </c>
      <c r="B802" s="36">
        <v>505.09172085750004</v>
      </c>
      <c r="C802" s="36">
        <f>'Lista de Preço 02_2022'!$B802*0.9*0.9*0.9*0.9*0.9*0.97</f>
        <v>289.3040619</v>
      </c>
      <c r="D802" s="36">
        <f>'Lista de Preço 02_2022'!$C802*1.1712</f>
        <v>338.8329173</v>
      </c>
      <c r="E802" s="37">
        <v>3.25</v>
      </c>
      <c r="F802" s="38">
        <v>0.18</v>
      </c>
      <c r="G802" s="38" t="s">
        <v>22</v>
      </c>
      <c r="H802" s="39" t="s">
        <v>23</v>
      </c>
      <c r="I802" s="40" t="s">
        <v>2077</v>
      </c>
      <c r="J802" s="41" t="s">
        <v>25</v>
      </c>
      <c r="K802" s="42" t="s">
        <v>294</v>
      </c>
      <c r="L802" s="43"/>
      <c r="M802" s="42">
        <v>8.708999E7</v>
      </c>
      <c r="N802" s="44" t="s">
        <v>28</v>
      </c>
      <c r="O802" s="45">
        <v>3.0</v>
      </c>
      <c r="P802" s="44">
        <v>7.899823509868E12</v>
      </c>
      <c r="Q802" s="44">
        <v>1.0</v>
      </c>
    </row>
    <row r="803" ht="15.75" customHeight="1">
      <c r="A803" s="50" t="s">
        <v>2080</v>
      </c>
      <c r="B803" s="36">
        <v>502.99316537000004</v>
      </c>
      <c r="C803" s="51">
        <f>'Lista de Preço 02_2022'!$B803*0.9*0.9*0.9*0.9*0.9*0.97</f>
        <v>288.1020612</v>
      </c>
      <c r="D803" s="36">
        <f>'Lista de Preço 02_2022'!$C803*1.1712</f>
        <v>337.4251341</v>
      </c>
      <c r="E803" s="52">
        <v>3.25</v>
      </c>
      <c r="F803" s="53">
        <v>0.18</v>
      </c>
      <c r="G803" s="53" t="s">
        <v>22</v>
      </c>
      <c r="H803" s="54" t="s">
        <v>23</v>
      </c>
      <c r="I803" s="55" t="s">
        <v>2081</v>
      </c>
      <c r="J803" s="56" t="s">
        <v>25</v>
      </c>
      <c r="K803" s="57" t="s">
        <v>2082</v>
      </c>
      <c r="L803" s="58" t="s">
        <v>2083</v>
      </c>
      <c r="M803" s="57">
        <v>8.708999E7</v>
      </c>
      <c r="N803" s="59" t="s">
        <v>28</v>
      </c>
      <c r="O803" s="60">
        <v>2.96</v>
      </c>
      <c r="P803" s="59">
        <v>7.899823511496E12</v>
      </c>
      <c r="Q803" s="59">
        <v>1.0</v>
      </c>
    </row>
    <row r="804" ht="15.75" customHeight="1">
      <c r="A804" s="50" t="s">
        <v>2084</v>
      </c>
      <c r="B804" s="36">
        <v>571.644747</v>
      </c>
      <c r="C804" s="51">
        <f>'Lista de Preço 02_2022'!$B804*0.9*0.9*0.9*0.9*0.9*0.97</f>
        <v>327.4239915</v>
      </c>
      <c r="D804" s="36">
        <f>'Lista de Preço 02_2022'!$C804*1.1712</f>
        <v>383.4789788</v>
      </c>
      <c r="E804" s="52">
        <v>3.25</v>
      </c>
      <c r="F804" s="53">
        <v>0.18</v>
      </c>
      <c r="G804" s="53" t="s">
        <v>22</v>
      </c>
      <c r="H804" s="54" t="s">
        <v>23</v>
      </c>
      <c r="I804" s="55" t="s">
        <v>2085</v>
      </c>
      <c r="J804" s="56" t="s">
        <v>25</v>
      </c>
      <c r="K804" s="57" t="s">
        <v>2082</v>
      </c>
      <c r="L804" s="58" t="s">
        <v>2086</v>
      </c>
      <c r="M804" s="57">
        <v>8.708999E7</v>
      </c>
      <c r="N804" s="59" t="s">
        <v>28</v>
      </c>
      <c r="O804" s="60">
        <v>3.94</v>
      </c>
      <c r="P804" s="59">
        <v>7.899823511502E12</v>
      </c>
      <c r="Q804" s="59">
        <v>1.0</v>
      </c>
    </row>
    <row r="805" ht="15.75" customHeight="1">
      <c r="A805" s="50" t="s">
        <v>2087</v>
      </c>
      <c r="B805" s="36">
        <v>471.2443537000001</v>
      </c>
      <c r="C805" s="51">
        <f>'Lista de Preço 02_2022'!$B805*0.9*0.9*0.9*0.9*0.9*0.97</f>
        <v>269.9171261</v>
      </c>
      <c r="D805" s="36">
        <f>'Lista de Preço 02_2022'!$C805*1.1712</f>
        <v>316.126938</v>
      </c>
      <c r="E805" s="52">
        <v>3.25</v>
      </c>
      <c r="F805" s="53">
        <v>0.18</v>
      </c>
      <c r="G805" s="53" t="s">
        <v>22</v>
      </c>
      <c r="H805" s="54" t="s">
        <v>23</v>
      </c>
      <c r="I805" s="55" t="s">
        <v>2088</v>
      </c>
      <c r="J805" s="56" t="s">
        <v>1391</v>
      </c>
      <c r="K805" s="57" t="s">
        <v>86</v>
      </c>
      <c r="L805" s="58" t="s">
        <v>2089</v>
      </c>
      <c r="M805" s="57">
        <v>8.708999E7</v>
      </c>
      <c r="N805" s="59" t="s">
        <v>28</v>
      </c>
      <c r="O805" s="60">
        <v>3.68</v>
      </c>
      <c r="P805" s="59">
        <v>7.899823511519E12</v>
      </c>
      <c r="Q805" s="59">
        <v>1.0</v>
      </c>
    </row>
    <row r="806" ht="15.75" customHeight="1">
      <c r="A806" s="50" t="s">
        <v>2090</v>
      </c>
      <c r="B806" s="36">
        <v>553.2551064</v>
      </c>
      <c r="C806" s="51">
        <f>'Lista de Preço 02_2022'!$B806*0.9*0.9*0.9*0.9*0.9*0.97</f>
        <v>316.8908595</v>
      </c>
      <c r="D806" s="36">
        <f>'Lista de Preço 02_2022'!$C806*1.1712</f>
        <v>371.1425747</v>
      </c>
      <c r="E806" s="52">
        <v>3.25</v>
      </c>
      <c r="F806" s="53">
        <v>0.18</v>
      </c>
      <c r="G806" s="53" t="s">
        <v>22</v>
      </c>
      <c r="H806" s="54" t="s">
        <v>23</v>
      </c>
      <c r="I806" s="55" t="s">
        <v>2091</v>
      </c>
      <c r="J806" s="56" t="s">
        <v>1391</v>
      </c>
      <c r="K806" s="57" t="s">
        <v>86</v>
      </c>
      <c r="L806" s="58" t="s">
        <v>2092</v>
      </c>
      <c r="M806" s="57">
        <v>8.708999E7</v>
      </c>
      <c r="N806" s="59" t="s">
        <v>28</v>
      </c>
      <c r="O806" s="60">
        <v>3.62</v>
      </c>
      <c r="P806" s="59">
        <v>7.899823509875E12</v>
      </c>
      <c r="Q806" s="59">
        <v>1.0</v>
      </c>
    </row>
    <row r="807" ht="15.75" customHeight="1">
      <c r="A807" s="35" t="s">
        <v>2093</v>
      </c>
      <c r="B807" s="36">
        <v>640.9491620382901</v>
      </c>
      <c r="C807" s="36">
        <f>'Lista de Preço 02_2022'!$B807*0.9*0.9*0.9*0.9*0.9*0.97</f>
        <v>367.1198486</v>
      </c>
      <c r="D807" s="36">
        <f>'Lista de Preço 02_2022'!$C807*1.1712</f>
        <v>429.9707666</v>
      </c>
      <c r="E807" s="37">
        <v>3.25</v>
      </c>
      <c r="F807" s="38">
        <v>0.18</v>
      </c>
      <c r="G807" s="38" t="s">
        <v>22</v>
      </c>
      <c r="H807" s="39" t="s">
        <v>23</v>
      </c>
      <c r="I807" s="40" t="s">
        <v>2094</v>
      </c>
      <c r="J807" s="41" t="s">
        <v>500</v>
      </c>
      <c r="K807" s="42" t="s">
        <v>26</v>
      </c>
      <c r="L807" s="43" t="s">
        <v>2095</v>
      </c>
      <c r="M807" s="44">
        <v>8.708999E7</v>
      </c>
      <c r="N807" s="44" t="s">
        <v>28</v>
      </c>
      <c r="O807" s="45">
        <v>4.862</v>
      </c>
      <c r="P807" s="44">
        <v>7.898233434074E12</v>
      </c>
      <c r="Q807" s="44">
        <v>1.0</v>
      </c>
    </row>
    <row r="808" ht="15.75" customHeight="1">
      <c r="A808" s="35" t="s">
        <v>2096</v>
      </c>
      <c r="B808" s="36">
        <v>141.91818351119412</v>
      </c>
      <c r="C808" s="36">
        <f>'Lista de Preço 02_2022'!$B808*0.9*0.9*0.9*0.9*0.9*0.97</f>
        <v>81.28723014</v>
      </c>
      <c r="D808" s="36">
        <f>'Lista de Preço 02_2022'!$C808*1.1627</f>
        <v>94.51266248</v>
      </c>
      <c r="E808" s="37">
        <v>2.6</v>
      </c>
      <c r="F808" s="38">
        <v>0.18</v>
      </c>
      <c r="G808" s="38" t="s">
        <v>37</v>
      </c>
      <c r="H808" s="39" t="s">
        <v>38</v>
      </c>
      <c r="I808" s="40" t="s">
        <v>2097</v>
      </c>
      <c r="J808" s="41" t="s">
        <v>2098</v>
      </c>
      <c r="K808" s="42" t="s">
        <v>303</v>
      </c>
      <c r="L808" s="43" t="s">
        <v>2099</v>
      </c>
      <c r="M808" s="42">
        <v>8.70893E7</v>
      </c>
      <c r="N808" s="44" t="s">
        <v>28</v>
      </c>
      <c r="O808" s="45">
        <v>0.649</v>
      </c>
      <c r="P808" s="44">
        <v>7.89823343348E12</v>
      </c>
      <c r="Q808" s="44">
        <v>1.0</v>
      </c>
    </row>
    <row r="809" ht="15.75" customHeight="1">
      <c r="A809" s="50" t="s">
        <v>2100</v>
      </c>
      <c r="B809" s="36">
        <v>73.69</v>
      </c>
      <c r="C809" s="51">
        <f>'Lista de Preço 02_2022'!$B809*0.9*0.9*0.9*0.9*0.9*0.97</f>
        <v>42.20781186</v>
      </c>
      <c r="D809" s="36">
        <f>'Lista de Preço 02_2022'!$C809*1.1712</f>
        <v>49.43378925</v>
      </c>
      <c r="E809" s="52">
        <v>3.25</v>
      </c>
      <c r="F809" s="53">
        <v>0.18</v>
      </c>
      <c r="G809" s="53" t="s">
        <v>22</v>
      </c>
      <c r="H809" s="54" t="s">
        <v>43</v>
      </c>
      <c r="I809" s="55" t="s">
        <v>2101</v>
      </c>
      <c r="J809" s="56" t="s">
        <v>45</v>
      </c>
      <c r="K809" s="57" t="s">
        <v>73</v>
      </c>
      <c r="L809" s="58"/>
      <c r="M809" s="59">
        <v>8.708999E7</v>
      </c>
      <c r="N809" s="59" t="s">
        <v>28</v>
      </c>
      <c r="O809" s="60">
        <v>0.45</v>
      </c>
      <c r="P809" s="59">
        <v>7.899823511816E12</v>
      </c>
      <c r="Q809" s="59">
        <v>1.0</v>
      </c>
    </row>
    <row r="810" ht="15.75" customHeight="1">
      <c r="A810" s="50" t="s">
        <v>2102</v>
      </c>
      <c r="B810" s="36">
        <v>56.17</v>
      </c>
      <c r="C810" s="51">
        <f>'Lista de Preço 02_2022'!$B810*0.9*0.9*0.9*0.9*0.9*0.97</f>
        <v>32.1727886</v>
      </c>
      <c r="D810" s="36">
        <f>'Lista de Preço 02_2022'!$C810*1.1712</f>
        <v>37.68077001</v>
      </c>
      <c r="E810" s="52">
        <v>3.25</v>
      </c>
      <c r="F810" s="53">
        <v>0.18</v>
      </c>
      <c r="G810" s="53" t="s">
        <v>22</v>
      </c>
      <c r="H810" s="54" t="s">
        <v>43</v>
      </c>
      <c r="I810" s="55" t="s">
        <v>2103</v>
      </c>
      <c r="J810" s="56" t="s">
        <v>2104</v>
      </c>
      <c r="K810" s="57" t="s">
        <v>282</v>
      </c>
      <c r="L810" s="58"/>
      <c r="M810" s="59">
        <v>8.708999E7</v>
      </c>
      <c r="N810" s="59" t="s">
        <v>28</v>
      </c>
      <c r="O810" s="60">
        <v>0.225</v>
      </c>
      <c r="P810" s="59">
        <v>7.899823511823E12</v>
      </c>
      <c r="Q810" s="59">
        <v>1.0</v>
      </c>
    </row>
    <row r="811" ht="15.75" customHeight="1">
      <c r="A811" s="50" t="s">
        <v>2105</v>
      </c>
      <c r="B811" s="36">
        <v>117.31</v>
      </c>
      <c r="C811" s="51">
        <f>'Lista de Preço 02_2022'!$B811*0.9*0.9*0.9*0.9*0.9*0.97</f>
        <v>67.19227044</v>
      </c>
      <c r="D811" s="36">
        <f>'Lista de Preço 02_2022'!$C811*1.1712</f>
        <v>78.69558714</v>
      </c>
      <c r="E811" s="52">
        <v>3.25</v>
      </c>
      <c r="F811" s="53">
        <v>0.18</v>
      </c>
      <c r="G811" s="53" t="s">
        <v>22</v>
      </c>
      <c r="H811" s="54" t="s">
        <v>43</v>
      </c>
      <c r="I811" s="55" t="s">
        <v>2106</v>
      </c>
      <c r="J811" s="56" t="s">
        <v>2104</v>
      </c>
      <c r="K811" s="57" t="s">
        <v>95</v>
      </c>
      <c r="L811" s="58"/>
      <c r="M811" s="59">
        <v>8.708999E7</v>
      </c>
      <c r="N811" s="59" t="s">
        <v>28</v>
      </c>
      <c r="O811" s="60">
        <v>0.675</v>
      </c>
      <c r="P811" s="59">
        <v>7.89982351183E12</v>
      </c>
      <c r="Q811" s="59">
        <v>1.0</v>
      </c>
    </row>
    <row r="812" ht="15.75" customHeight="1">
      <c r="A812" s="50" t="s">
        <v>2107</v>
      </c>
      <c r="B812" s="36">
        <v>48.62</v>
      </c>
      <c r="C812" s="51">
        <f>'Lista de Preço 02_2022'!$B812*0.9*0.9*0.9*0.9*0.9*0.97</f>
        <v>27.84833509</v>
      </c>
      <c r="D812" s="36">
        <f>'Lista de Preço 02_2022'!$C812*1.1712</f>
        <v>32.61597005</v>
      </c>
      <c r="E812" s="52">
        <v>3.25</v>
      </c>
      <c r="F812" s="53">
        <v>0.18</v>
      </c>
      <c r="G812" s="53" t="s">
        <v>22</v>
      </c>
      <c r="H812" s="54" t="s">
        <v>43</v>
      </c>
      <c r="I812" s="55" t="s">
        <v>2108</v>
      </c>
      <c r="J812" s="56" t="s">
        <v>45</v>
      </c>
      <c r="K812" s="57" t="s">
        <v>153</v>
      </c>
      <c r="L812" s="58"/>
      <c r="M812" s="59">
        <v>8.708999E7</v>
      </c>
      <c r="N812" s="59" t="s">
        <v>28</v>
      </c>
      <c r="O812" s="60">
        <v>0.235</v>
      </c>
      <c r="P812" s="59">
        <v>7.899823511847E12</v>
      </c>
      <c r="Q812" s="59">
        <v>1.0</v>
      </c>
    </row>
    <row r="813" ht="15.75" customHeight="1">
      <c r="A813" s="50" t="s">
        <v>2109</v>
      </c>
      <c r="B813" s="36">
        <v>126.77</v>
      </c>
      <c r="C813" s="51">
        <f>'Lista de Preço 02_2022'!$B813*0.9*0.9*0.9*0.9*0.9*0.97</f>
        <v>72.61072478</v>
      </c>
      <c r="D813" s="36">
        <f>'Lista de Preço 02_2022'!$C813*1.1712</f>
        <v>85.04168086</v>
      </c>
      <c r="E813" s="52">
        <v>3.25</v>
      </c>
      <c r="F813" s="53">
        <v>0.18</v>
      </c>
      <c r="G813" s="53" t="s">
        <v>22</v>
      </c>
      <c r="H813" s="54" t="s">
        <v>43</v>
      </c>
      <c r="I813" s="55" t="s">
        <v>2110</v>
      </c>
      <c r="J813" s="56" t="s">
        <v>45</v>
      </c>
      <c r="K813" s="57" t="s">
        <v>157</v>
      </c>
      <c r="L813" s="58"/>
      <c r="M813" s="59">
        <v>8.708999E7</v>
      </c>
      <c r="N813" s="59" t="s">
        <v>28</v>
      </c>
      <c r="O813" s="60">
        <v>0.395</v>
      </c>
      <c r="P813" s="59">
        <v>7.899823511854E12</v>
      </c>
      <c r="Q813" s="59">
        <v>1.0</v>
      </c>
    </row>
    <row r="814" ht="15.75" customHeight="1">
      <c r="A814" s="50" t="s">
        <v>2111</v>
      </c>
      <c r="B814" s="36">
        <v>64.85</v>
      </c>
      <c r="C814" s="51">
        <f>'Lista de Preço 02_2022'!$B814*0.9*0.9*0.9*0.9*0.9*0.97</f>
        <v>37.14447821</v>
      </c>
      <c r="D814" s="36">
        <f>'Lista de Preço 02_2022'!$C814*1.1712</f>
        <v>43.50361287</v>
      </c>
      <c r="E814" s="52">
        <v>3.25</v>
      </c>
      <c r="F814" s="53">
        <v>0.18</v>
      </c>
      <c r="G814" s="53" t="s">
        <v>22</v>
      </c>
      <c r="H814" s="54" t="s">
        <v>43</v>
      </c>
      <c r="I814" s="55" t="s">
        <v>2112</v>
      </c>
      <c r="J814" s="56" t="s">
        <v>2104</v>
      </c>
      <c r="K814" s="57" t="s">
        <v>294</v>
      </c>
      <c r="L814" s="58"/>
      <c r="M814" s="59">
        <v>8.708999E7</v>
      </c>
      <c r="N814" s="59" t="s">
        <v>28</v>
      </c>
      <c r="O814" s="60">
        <v>0.295</v>
      </c>
      <c r="P814" s="59">
        <v>7.899823511861E12</v>
      </c>
      <c r="Q814" s="59">
        <v>1.0</v>
      </c>
    </row>
    <row r="815" ht="15.75" customHeight="1">
      <c r="A815" s="50" t="s">
        <v>2113</v>
      </c>
      <c r="B815" s="36">
        <v>135.61</v>
      </c>
      <c r="C815" s="51">
        <f>'Lista de Preço 02_2022'!$B815*0.9*0.9*0.9*0.9*0.9*0.97</f>
        <v>77.67405843</v>
      </c>
      <c r="D815" s="36">
        <f>'Lista de Preço 02_2022'!$C815*1.1712</f>
        <v>90.97185724</v>
      </c>
      <c r="E815" s="52">
        <v>3.25</v>
      </c>
      <c r="F815" s="53">
        <v>0.18</v>
      </c>
      <c r="G815" s="53" t="s">
        <v>22</v>
      </c>
      <c r="H815" s="54" t="s">
        <v>43</v>
      </c>
      <c r="I815" s="55" t="s">
        <v>2114</v>
      </c>
      <c r="J815" s="56" t="s">
        <v>2104</v>
      </c>
      <c r="K815" s="57" t="s">
        <v>507</v>
      </c>
      <c r="L815" s="58"/>
      <c r="M815" s="59">
        <v>8.708999E7</v>
      </c>
      <c r="N815" s="59" t="s">
        <v>28</v>
      </c>
      <c r="O815" s="60">
        <v>0.745</v>
      </c>
      <c r="P815" s="59">
        <v>7.899823511878E12</v>
      </c>
      <c r="Q815" s="59">
        <v>1.0</v>
      </c>
    </row>
    <row r="816" ht="15.75" customHeight="1">
      <c r="A816" s="50" t="s">
        <v>2115</v>
      </c>
      <c r="B816" s="36">
        <v>61.88</v>
      </c>
      <c r="C816" s="51">
        <f>'Lista de Preço 02_2022'!$B816*0.9*0.9*0.9*0.9*0.9*0.97</f>
        <v>35.44333556</v>
      </c>
      <c r="D816" s="36">
        <f>'Lista de Preço 02_2022'!$C816*1.1712</f>
        <v>41.51123461</v>
      </c>
      <c r="E816" s="52">
        <v>3.25</v>
      </c>
      <c r="F816" s="53">
        <v>0.18</v>
      </c>
      <c r="G816" s="53" t="s">
        <v>22</v>
      </c>
      <c r="H816" s="54" t="s">
        <v>43</v>
      </c>
      <c r="I816" s="55" t="s">
        <v>2110</v>
      </c>
      <c r="J816" s="56" t="s">
        <v>45</v>
      </c>
      <c r="K816" s="57" t="s">
        <v>157</v>
      </c>
      <c r="L816" s="58"/>
      <c r="M816" s="59">
        <v>8.708999E7</v>
      </c>
      <c r="N816" s="59" t="s">
        <v>28</v>
      </c>
      <c r="O816" s="60">
        <v>0.295</v>
      </c>
      <c r="P816" s="59">
        <v>7.899823511885E12</v>
      </c>
      <c r="Q816" s="59">
        <v>1.0</v>
      </c>
    </row>
    <row r="817" ht="15.75" customHeight="1">
      <c r="A817" s="50" t="s">
        <v>2116</v>
      </c>
      <c r="B817" s="36">
        <v>67.79</v>
      </c>
      <c r="C817" s="51">
        <f>'Lista de Preço 02_2022'!$B817*0.9*0.9*0.9*0.9*0.9*0.97</f>
        <v>38.82843759</v>
      </c>
      <c r="D817" s="36">
        <f>'Lista de Preço 02_2022'!$C817*1.1712</f>
        <v>45.4758661</v>
      </c>
      <c r="E817" s="52">
        <v>3.25</v>
      </c>
      <c r="F817" s="53">
        <v>0.18</v>
      </c>
      <c r="G817" s="53" t="s">
        <v>22</v>
      </c>
      <c r="H817" s="54" t="s">
        <v>43</v>
      </c>
      <c r="I817" s="55" t="s">
        <v>2117</v>
      </c>
      <c r="J817" s="56" t="s">
        <v>2104</v>
      </c>
      <c r="K817" s="57" t="s">
        <v>507</v>
      </c>
      <c r="L817" s="58"/>
      <c r="M817" s="59">
        <v>8.708999E7</v>
      </c>
      <c r="N817" s="59" t="s">
        <v>28</v>
      </c>
      <c r="O817" s="60">
        <v>0.41</v>
      </c>
      <c r="P817" s="59">
        <v>7.899823511892E12</v>
      </c>
      <c r="Q817" s="59">
        <v>1.0</v>
      </c>
    </row>
    <row r="818" ht="15.75" customHeight="1">
      <c r="A818" s="50" t="s">
        <v>2118</v>
      </c>
      <c r="B818" s="36">
        <v>73.71</v>
      </c>
      <c r="C818" s="51">
        <f>'Lista de Preço 02_2022'!$B818*0.9*0.9*0.9*0.9*0.9*0.97</f>
        <v>42.21926736</v>
      </c>
      <c r="D818" s="36">
        <f>'Lista de Preço 02_2022'!$C818*1.1712</f>
        <v>49.44720594</v>
      </c>
      <c r="E818" s="52">
        <v>3.25</v>
      </c>
      <c r="F818" s="53">
        <v>0.18</v>
      </c>
      <c r="G818" s="53" t="s">
        <v>22</v>
      </c>
      <c r="H818" s="54" t="s">
        <v>43</v>
      </c>
      <c r="I818" s="55" t="s">
        <v>2119</v>
      </c>
      <c r="J818" s="56" t="s">
        <v>45</v>
      </c>
      <c r="K818" s="57" t="s">
        <v>153</v>
      </c>
      <c r="L818" s="58"/>
      <c r="M818" s="59">
        <v>8.708999E7</v>
      </c>
      <c r="N818" s="59" t="s">
        <v>28</v>
      </c>
      <c r="O818" s="60">
        <v>0.42</v>
      </c>
      <c r="P818" s="59">
        <v>7.899823511908E12</v>
      </c>
      <c r="Q818" s="59">
        <v>1.0</v>
      </c>
    </row>
    <row r="819" ht="15.75" customHeight="1">
      <c r="A819" s="35" t="s">
        <v>2120</v>
      </c>
      <c r="B819" s="36">
        <v>114.13525869683332</v>
      </c>
      <c r="C819" s="36">
        <f>'Lista de Preço 02_2022'!$B819*0.9*0.9*0.9*0.9*0.9*0.97</f>
        <v>65.37385704</v>
      </c>
      <c r="D819" s="36">
        <f>'Lista de Preço 02_2022'!$C819*1.1627</f>
        <v>76.01018358</v>
      </c>
      <c r="E819" s="37">
        <v>2.6</v>
      </c>
      <c r="F819" s="38">
        <v>0.18</v>
      </c>
      <c r="G819" s="38" t="s">
        <v>37</v>
      </c>
      <c r="H819" s="39" t="s">
        <v>38</v>
      </c>
      <c r="I819" s="40" t="s">
        <v>2121</v>
      </c>
      <c r="J819" s="41" t="s">
        <v>2098</v>
      </c>
      <c r="K819" s="42" t="s">
        <v>303</v>
      </c>
      <c r="L819" s="43" t="s">
        <v>2122</v>
      </c>
      <c r="M819" s="42">
        <v>8.70893E7</v>
      </c>
      <c r="N819" s="44" t="s">
        <v>28</v>
      </c>
      <c r="O819" s="45">
        <v>0.916</v>
      </c>
      <c r="P819" s="44">
        <v>7.89823343364E12</v>
      </c>
      <c r="Q819" s="44">
        <v>1.0</v>
      </c>
    </row>
    <row r="820" ht="15.75" customHeight="1">
      <c r="A820" s="50" t="s">
        <v>2123</v>
      </c>
      <c r="B820" s="36">
        <v>70.76</v>
      </c>
      <c r="C820" s="51">
        <f>'Lista de Preço 02_2022'!$B820*0.9*0.9*0.9*0.9*0.9*0.97</f>
        <v>40.52958023</v>
      </c>
      <c r="D820" s="36">
        <f>'Lista de Preço 02_2022'!$C820*1.1712</f>
        <v>47.46824436</v>
      </c>
      <c r="E820" s="52">
        <v>3.25</v>
      </c>
      <c r="F820" s="53">
        <v>0.18</v>
      </c>
      <c r="G820" s="53" t="s">
        <v>22</v>
      </c>
      <c r="H820" s="54" t="s">
        <v>43</v>
      </c>
      <c r="I820" s="55" t="s">
        <v>2124</v>
      </c>
      <c r="J820" s="56" t="s">
        <v>2104</v>
      </c>
      <c r="K820" s="57" t="s">
        <v>507</v>
      </c>
      <c r="L820" s="58"/>
      <c r="M820" s="59">
        <v>8.708999E7</v>
      </c>
      <c r="N820" s="59" t="s">
        <v>28</v>
      </c>
      <c r="O820" s="60">
        <v>0.475</v>
      </c>
      <c r="P820" s="59">
        <v>7.899823511915E12</v>
      </c>
      <c r="Q820" s="59">
        <v>1.0</v>
      </c>
    </row>
    <row r="821" ht="15.75" customHeight="1">
      <c r="A821" s="50" t="s">
        <v>2125</v>
      </c>
      <c r="B821" s="36">
        <v>67.85</v>
      </c>
      <c r="C821" s="51">
        <f>'Lista de Preço 02_2022'!$B821*0.9*0.9*0.9*0.9*0.9*0.97</f>
        <v>38.86280411</v>
      </c>
      <c r="D821" s="36">
        <f>'Lista de Preço 02_2022'!$C821*1.1712</f>
        <v>45.51611617</v>
      </c>
      <c r="E821" s="52">
        <v>3.25</v>
      </c>
      <c r="F821" s="53">
        <v>0.18</v>
      </c>
      <c r="G821" s="53" t="s">
        <v>22</v>
      </c>
      <c r="H821" s="54" t="s">
        <v>43</v>
      </c>
      <c r="I821" s="55" t="s">
        <v>2126</v>
      </c>
      <c r="J821" s="56" t="s">
        <v>2104</v>
      </c>
      <c r="K821" s="57" t="s">
        <v>507</v>
      </c>
      <c r="L821" s="58"/>
      <c r="M821" s="59">
        <v>8.708999E7</v>
      </c>
      <c r="N821" s="59" t="s">
        <v>28</v>
      </c>
      <c r="O821" s="60">
        <v>0.39</v>
      </c>
      <c r="P821" s="59">
        <v>7.899823511922E12</v>
      </c>
      <c r="Q821" s="59">
        <v>1.0</v>
      </c>
    </row>
    <row r="822" ht="15.75" customHeight="1">
      <c r="A822" s="50" t="s">
        <v>2127</v>
      </c>
      <c r="B822" s="36">
        <v>67.89</v>
      </c>
      <c r="C822" s="51">
        <f>'Lista de Preço 02_2022'!$B822*0.9*0.9*0.9*0.9*0.9*0.97</f>
        <v>38.88571512</v>
      </c>
      <c r="D822" s="36">
        <f>'Lista de Preço 02_2022'!$C822*1.1712</f>
        <v>45.54294955</v>
      </c>
      <c r="E822" s="52">
        <v>3.25</v>
      </c>
      <c r="F822" s="53">
        <v>0.18</v>
      </c>
      <c r="G822" s="53" t="s">
        <v>22</v>
      </c>
      <c r="H822" s="54" t="s">
        <v>43</v>
      </c>
      <c r="I822" s="55" t="s">
        <v>2128</v>
      </c>
      <c r="J822" s="56" t="s">
        <v>2074</v>
      </c>
      <c r="K822" s="57" t="s">
        <v>294</v>
      </c>
      <c r="L822" s="58"/>
      <c r="M822" s="59">
        <v>8.708999E7</v>
      </c>
      <c r="N822" s="59" t="s">
        <v>28</v>
      </c>
      <c r="O822" s="60">
        <v>0.445</v>
      </c>
      <c r="P822" s="59">
        <v>7.899823511939E12</v>
      </c>
      <c r="Q822" s="59">
        <v>1.0</v>
      </c>
    </row>
    <row r="823" ht="15.75" customHeight="1">
      <c r="A823" s="50" t="s">
        <v>2129</v>
      </c>
      <c r="B823" s="36">
        <v>64.85</v>
      </c>
      <c r="C823" s="51">
        <f>'Lista de Preço 02_2022'!$B823*0.9*0.9*0.9*0.9*0.9*0.97</f>
        <v>37.14447821</v>
      </c>
      <c r="D823" s="36">
        <f>'Lista de Preço 02_2022'!$C823*1.1712</f>
        <v>43.50361287</v>
      </c>
      <c r="E823" s="52">
        <v>3.25</v>
      </c>
      <c r="F823" s="53">
        <v>0.18</v>
      </c>
      <c r="G823" s="53" t="s">
        <v>22</v>
      </c>
      <c r="H823" s="54" t="s">
        <v>43</v>
      </c>
      <c r="I823" s="55" t="s">
        <v>2130</v>
      </c>
      <c r="J823" s="56" t="s">
        <v>45</v>
      </c>
      <c r="K823" s="57" t="s">
        <v>1934</v>
      </c>
      <c r="L823" s="58"/>
      <c r="M823" s="59">
        <v>8.708999E7</v>
      </c>
      <c r="N823" s="59" t="s">
        <v>28</v>
      </c>
      <c r="O823" s="60">
        <v>0.44</v>
      </c>
      <c r="P823" s="59">
        <v>7.899823511946E12</v>
      </c>
      <c r="Q823" s="59">
        <v>1.0</v>
      </c>
    </row>
    <row r="824" ht="15.75" customHeight="1">
      <c r="A824" s="50" t="s">
        <v>2131</v>
      </c>
      <c r="B824" s="36">
        <v>69.66</v>
      </c>
      <c r="C824" s="51">
        <f>'Lista de Preço 02_2022'!$B824*0.9*0.9*0.9*0.9*0.9*0.97</f>
        <v>39.8995274</v>
      </c>
      <c r="D824" s="36">
        <f>'Lista de Preço 02_2022'!$C824*1.1712</f>
        <v>46.73032649</v>
      </c>
      <c r="E824" s="52">
        <v>3.25</v>
      </c>
      <c r="F824" s="53">
        <v>0.18</v>
      </c>
      <c r="G824" s="53" t="s">
        <v>22</v>
      </c>
      <c r="H824" s="54" t="s">
        <v>43</v>
      </c>
      <c r="I824" s="55" t="s">
        <v>2132</v>
      </c>
      <c r="J824" s="56" t="s">
        <v>2104</v>
      </c>
      <c r="K824" s="57" t="s">
        <v>2133</v>
      </c>
      <c r="L824" s="58"/>
      <c r="M824" s="59">
        <v>8.708999E7</v>
      </c>
      <c r="N824" s="59" t="s">
        <v>28</v>
      </c>
      <c r="O824" s="60">
        <v>0.48</v>
      </c>
      <c r="P824" s="59">
        <v>7.899823511953E12</v>
      </c>
      <c r="Q824" s="59">
        <v>1.0</v>
      </c>
    </row>
    <row r="825" ht="15.75" customHeight="1">
      <c r="A825" s="50" t="s">
        <v>2134</v>
      </c>
      <c r="B825" s="36">
        <v>46.95</v>
      </c>
      <c r="C825" s="51">
        <f>'Lista de Preço 02_2022'!$B825*0.9*0.9*0.9*0.9*0.9*0.97</f>
        <v>26.89180034</v>
      </c>
      <c r="D825" s="36">
        <f>'Lista de Preço 02_2022'!$C825*1.1712</f>
        <v>31.49567655</v>
      </c>
      <c r="E825" s="52">
        <v>3.25</v>
      </c>
      <c r="F825" s="53">
        <v>0.18</v>
      </c>
      <c r="G825" s="53" t="s">
        <v>22</v>
      </c>
      <c r="H825" s="54" t="s">
        <v>43</v>
      </c>
      <c r="I825" s="55" t="s">
        <v>2135</v>
      </c>
      <c r="J825" s="56" t="s">
        <v>45</v>
      </c>
      <c r="K825" s="57" t="s">
        <v>668</v>
      </c>
      <c r="L825" s="58"/>
      <c r="M825" s="59">
        <v>8.708999E7</v>
      </c>
      <c r="N825" s="59" t="s">
        <v>28</v>
      </c>
      <c r="O825" s="60">
        <v>0.235</v>
      </c>
      <c r="P825" s="59">
        <v>7.89982351196E12</v>
      </c>
      <c r="Q825" s="59">
        <v>1.0</v>
      </c>
    </row>
    <row r="826" ht="15.75" customHeight="1">
      <c r="A826" s="50" t="s">
        <v>2136</v>
      </c>
      <c r="B826" s="36">
        <v>90.88</v>
      </c>
      <c r="C826" s="51">
        <f>'Lista de Preço 02_2022'!$B826*0.9*0.9*0.9*0.9*0.9*0.97</f>
        <v>52.05381926</v>
      </c>
      <c r="D826" s="36">
        <f>'Lista de Preço 02_2022'!$C826*1.1712</f>
        <v>60.96543312</v>
      </c>
      <c r="E826" s="52">
        <v>3.25</v>
      </c>
      <c r="F826" s="53">
        <v>0.18</v>
      </c>
      <c r="G826" s="53" t="s">
        <v>22</v>
      </c>
      <c r="H826" s="54" t="s">
        <v>43</v>
      </c>
      <c r="I826" s="55" t="s">
        <v>2137</v>
      </c>
      <c r="J826" s="56" t="s">
        <v>2074</v>
      </c>
      <c r="K826" s="57" t="s">
        <v>86</v>
      </c>
      <c r="L826" s="58"/>
      <c r="M826" s="59">
        <v>8.708999E7</v>
      </c>
      <c r="N826" s="59" t="s">
        <v>28</v>
      </c>
      <c r="O826" s="60">
        <v>0.605</v>
      </c>
      <c r="P826" s="59">
        <v>7.899823511977E12</v>
      </c>
      <c r="Q826" s="59">
        <v>1.0</v>
      </c>
    </row>
    <row r="827" ht="15.75" customHeight="1">
      <c r="A827" s="50" t="s">
        <v>2138</v>
      </c>
      <c r="B827" s="36">
        <v>48.28</v>
      </c>
      <c r="C827" s="51">
        <f>'Lista de Preço 02_2022'!$B827*0.9*0.9*0.9*0.9*0.9*0.97</f>
        <v>27.65359148</v>
      </c>
      <c r="D827" s="36">
        <f>'Lista de Preço 02_2022'!$C827*1.1712</f>
        <v>32.38788635</v>
      </c>
      <c r="E827" s="52">
        <v>3.25</v>
      </c>
      <c r="F827" s="53">
        <v>0.18</v>
      </c>
      <c r="G827" s="53" t="s">
        <v>22</v>
      </c>
      <c r="H827" s="54" t="s">
        <v>43</v>
      </c>
      <c r="I827" s="55" t="s">
        <v>2139</v>
      </c>
      <c r="J827" s="56" t="s">
        <v>2104</v>
      </c>
      <c r="K827" s="57" t="s">
        <v>86</v>
      </c>
      <c r="L827" s="58"/>
      <c r="M827" s="59">
        <v>8.708999E7</v>
      </c>
      <c r="N827" s="59" t="s">
        <v>28</v>
      </c>
      <c r="O827" s="60">
        <v>0.245</v>
      </c>
      <c r="P827" s="59">
        <v>7.899823511984E12</v>
      </c>
      <c r="Q827" s="59">
        <v>1.0</v>
      </c>
    </row>
    <row r="828" ht="15.75" customHeight="1">
      <c r="A828" s="50" t="s">
        <v>2140</v>
      </c>
      <c r="B828" s="36">
        <v>74.68</v>
      </c>
      <c r="C828" s="51">
        <f>'Lista de Preço 02_2022'!$B828*0.9*0.9*0.9*0.9*0.9*0.97</f>
        <v>42.7748594</v>
      </c>
      <c r="D828" s="36">
        <f>'Lista de Preço 02_2022'!$C828*1.1712</f>
        <v>50.09791533</v>
      </c>
      <c r="E828" s="52">
        <v>3.25</v>
      </c>
      <c r="F828" s="53">
        <v>0.18</v>
      </c>
      <c r="G828" s="53" t="s">
        <v>22</v>
      </c>
      <c r="H828" s="54" t="s">
        <v>43</v>
      </c>
      <c r="I828" s="55" t="s">
        <v>2141</v>
      </c>
      <c r="J828" s="56" t="s">
        <v>45</v>
      </c>
      <c r="K828" s="57" t="s">
        <v>153</v>
      </c>
      <c r="L828" s="58"/>
      <c r="M828" s="59">
        <v>8.708999E7</v>
      </c>
      <c r="N828" s="59" t="s">
        <v>28</v>
      </c>
      <c r="O828" s="60">
        <v>0.435</v>
      </c>
      <c r="P828" s="59">
        <v>7.899823511991E12</v>
      </c>
      <c r="Q828" s="59">
        <v>1.0</v>
      </c>
    </row>
    <row r="829" ht="15.75" customHeight="1">
      <c r="A829" s="50" t="s">
        <v>2142</v>
      </c>
      <c r="B829" s="36">
        <v>50.11</v>
      </c>
      <c r="C829" s="51">
        <f>'Lista de Preço 02_2022'!$B829*0.9*0.9*0.9*0.9*0.9*0.97</f>
        <v>28.70177028</v>
      </c>
      <c r="D829" s="36">
        <f>'Lista de Preço 02_2022'!$C829*1.1712</f>
        <v>33.61551336</v>
      </c>
      <c r="E829" s="52">
        <v>3.25</v>
      </c>
      <c r="F829" s="53">
        <v>0.18</v>
      </c>
      <c r="G829" s="53" t="s">
        <v>22</v>
      </c>
      <c r="H829" s="54" t="s">
        <v>43</v>
      </c>
      <c r="I829" s="55" t="s">
        <v>2143</v>
      </c>
      <c r="J829" s="56" t="s">
        <v>45</v>
      </c>
      <c r="K829" s="57" t="s">
        <v>1934</v>
      </c>
      <c r="L829" s="58"/>
      <c r="M829" s="59">
        <v>8.708999E7</v>
      </c>
      <c r="N829" s="59" t="s">
        <v>28</v>
      </c>
      <c r="O829" s="60">
        <v>0.255</v>
      </c>
      <c r="P829" s="59">
        <v>7.899823512011E12</v>
      </c>
      <c r="Q829" s="59">
        <v>1.0</v>
      </c>
    </row>
    <row r="830" ht="15.75" customHeight="1">
      <c r="A830" s="35" t="s">
        <v>2144</v>
      </c>
      <c r="B830" s="36">
        <v>204.67755799725546</v>
      </c>
      <c r="C830" s="36">
        <f>'Lista de Preço 02_2022'!$B830*0.9*0.9*0.9*0.9*0.9*0.97</f>
        <v>117.2342497</v>
      </c>
      <c r="D830" s="36">
        <f>'Lista de Preço 02_2022'!$C830*1.1627</f>
        <v>136.3082621</v>
      </c>
      <c r="E830" s="37">
        <v>2.6</v>
      </c>
      <c r="F830" s="38">
        <v>0.18</v>
      </c>
      <c r="G830" s="38" t="s">
        <v>37</v>
      </c>
      <c r="H830" s="39" t="s">
        <v>38</v>
      </c>
      <c r="I830" s="40" t="s">
        <v>2145</v>
      </c>
      <c r="J830" s="41" t="s">
        <v>2098</v>
      </c>
      <c r="K830" s="42" t="s">
        <v>303</v>
      </c>
      <c r="L830" s="43" t="s">
        <v>2146</v>
      </c>
      <c r="M830" s="42">
        <v>8.70893E7</v>
      </c>
      <c r="N830" s="44" t="s">
        <v>28</v>
      </c>
      <c r="O830" s="45">
        <v>1.048</v>
      </c>
      <c r="P830" s="44">
        <v>7.898233433657E12</v>
      </c>
      <c r="Q830" s="44">
        <v>1.0</v>
      </c>
    </row>
    <row r="831" ht="15.75" customHeight="1">
      <c r="A831" s="50" t="s">
        <v>2147</v>
      </c>
      <c r="B831" s="36">
        <v>68.2</v>
      </c>
      <c r="C831" s="51">
        <f>'Lista de Preço 02_2022'!$B831*0.9*0.9*0.9*0.9*0.9*0.97</f>
        <v>39.06327546</v>
      </c>
      <c r="D831" s="36">
        <f>'Lista de Preço 02_2022'!$C831*1.1712</f>
        <v>45.75090822</v>
      </c>
      <c r="E831" s="52">
        <v>3.25</v>
      </c>
      <c r="F831" s="53">
        <v>0.18</v>
      </c>
      <c r="G831" s="53" t="s">
        <v>22</v>
      </c>
      <c r="H831" s="54" t="s">
        <v>43</v>
      </c>
      <c r="I831" s="55" t="s">
        <v>2148</v>
      </c>
      <c r="J831" s="56" t="s">
        <v>45</v>
      </c>
      <c r="K831" s="57" t="s">
        <v>1934</v>
      </c>
      <c r="L831" s="58"/>
      <c r="M831" s="59">
        <v>8.708999E7</v>
      </c>
      <c r="N831" s="59" t="s">
        <v>28</v>
      </c>
      <c r="O831" s="60">
        <v>0.325</v>
      </c>
      <c r="P831" s="59">
        <v>7.89982351208E12</v>
      </c>
      <c r="Q831" s="59">
        <v>1.0</v>
      </c>
    </row>
    <row r="832" ht="15.75" customHeight="1">
      <c r="A832" s="50" t="s">
        <v>2149</v>
      </c>
      <c r="B832" s="36">
        <v>81.61</v>
      </c>
      <c r="C832" s="51">
        <f>'Lista de Preço 02_2022'!$B832*0.9*0.9*0.9*0.9*0.9*0.97</f>
        <v>46.74419223</v>
      </c>
      <c r="D832" s="36">
        <f>'Lista de Preço 02_2022'!$C832*1.1712</f>
        <v>54.74679794</v>
      </c>
      <c r="E832" s="52">
        <v>3.25</v>
      </c>
      <c r="F832" s="53">
        <v>0.18</v>
      </c>
      <c r="G832" s="53" t="s">
        <v>22</v>
      </c>
      <c r="H832" s="54" t="s">
        <v>43</v>
      </c>
      <c r="I832" s="55" t="s">
        <v>2150</v>
      </c>
      <c r="J832" s="56" t="s">
        <v>45</v>
      </c>
      <c r="K832" s="57" t="s">
        <v>507</v>
      </c>
      <c r="L832" s="58"/>
      <c r="M832" s="59">
        <v>8.708999E7</v>
      </c>
      <c r="N832" s="59" t="s">
        <v>28</v>
      </c>
      <c r="O832" s="60">
        <v>0.475</v>
      </c>
      <c r="P832" s="59">
        <v>7.899823512097E12</v>
      </c>
      <c r="Q832" s="59">
        <v>1.0</v>
      </c>
    </row>
    <row r="833" ht="15.75" customHeight="1">
      <c r="A833" s="50" t="s">
        <v>2151</v>
      </c>
      <c r="B833" s="36">
        <v>50.39</v>
      </c>
      <c r="C833" s="51">
        <f>'Lista de Preço 02_2022'!$B833*0.9*0.9*0.9*0.9*0.9*0.97</f>
        <v>28.86214737</v>
      </c>
      <c r="D833" s="36">
        <f>'Lista de Preço 02_2022'!$C833*1.1712</f>
        <v>33.803347</v>
      </c>
      <c r="E833" s="52">
        <v>3.25</v>
      </c>
      <c r="F833" s="53">
        <v>0.18</v>
      </c>
      <c r="G833" s="53" t="s">
        <v>22</v>
      </c>
      <c r="H833" s="54" t="s">
        <v>43</v>
      </c>
      <c r="I833" s="55" t="s">
        <v>2152</v>
      </c>
      <c r="J833" s="56" t="s">
        <v>45</v>
      </c>
      <c r="K833" s="57" t="s">
        <v>2153</v>
      </c>
      <c r="L833" s="58"/>
      <c r="M833" s="59">
        <v>8.708999E7</v>
      </c>
      <c r="N833" s="59" t="s">
        <v>28</v>
      </c>
      <c r="O833" s="60">
        <v>0.245</v>
      </c>
      <c r="P833" s="59">
        <v>7.899823512103E12</v>
      </c>
      <c r="Q833" s="59">
        <v>1.0</v>
      </c>
    </row>
    <row r="834" ht="15.75" customHeight="1">
      <c r="A834" s="50" t="s">
        <v>2154</v>
      </c>
      <c r="B834" s="36">
        <v>50.23</v>
      </c>
      <c r="C834" s="51">
        <f>'Lista de Preço 02_2022'!$B834*0.9*0.9*0.9*0.9*0.9*0.97</f>
        <v>28.77050332</v>
      </c>
      <c r="D834" s="36">
        <f>'Lista de Preço 02_2022'!$C834*1.1712</f>
        <v>33.69601349</v>
      </c>
      <c r="E834" s="52">
        <v>3.25</v>
      </c>
      <c r="F834" s="53">
        <v>0.18</v>
      </c>
      <c r="G834" s="53" t="s">
        <v>22</v>
      </c>
      <c r="H834" s="54" t="s">
        <v>43</v>
      </c>
      <c r="I834" s="55" t="s">
        <v>2155</v>
      </c>
      <c r="J834" s="56" t="s">
        <v>45</v>
      </c>
      <c r="K834" s="57" t="s">
        <v>2153</v>
      </c>
      <c r="L834" s="58"/>
      <c r="M834" s="59">
        <v>8.708999E7</v>
      </c>
      <c r="N834" s="59" t="s">
        <v>28</v>
      </c>
      <c r="O834" s="60">
        <v>0.245</v>
      </c>
      <c r="P834" s="59">
        <v>7.89982351211E12</v>
      </c>
      <c r="Q834" s="59">
        <v>1.0</v>
      </c>
    </row>
    <row r="835" ht="15.75" customHeight="1">
      <c r="A835" s="50" t="s">
        <v>2156</v>
      </c>
      <c r="B835" s="36">
        <v>157.74</v>
      </c>
      <c r="C835" s="51">
        <f>'Lista de Preço 02_2022'!$B835*0.9*0.9*0.9*0.9*0.9*0.97</f>
        <v>90.34957582</v>
      </c>
      <c r="D835" s="36">
        <f>'Lista de Preço 02_2022'!$C835*1.1712</f>
        <v>105.8174232</v>
      </c>
      <c r="E835" s="52">
        <v>3.25</v>
      </c>
      <c r="F835" s="53">
        <v>0.18</v>
      </c>
      <c r="G835" s="53" t="s">
        <v>22</v>
      </c>
      <c r="H835" s="54" t="s">
        <v>43</v>
      </c>
      <c r="I835" s="55" t="s">
        <v>2157</v>
      </c>
      <c r="J835" s="56" t="s">
        <v>45</v>
      </c>
      <c r="K835" s="57" t="s">
        <v>2082</v>
      </c>
      <c r="L835" s="58"/>
      <c r="M835" s="59">
        <v>8.708999E7</v>
      </c>
      <c r="N835" s="59" t="s">
        <v>28</v>
      </c>
      <c r="O835" s="60">
        <v>0.395</v>
      </c>
      <c r="P835" s="59">
        <v>7.899823512127E12</v>
      </c>
      <c r="Q835" s="59">
        <v>1.0</v>
      </c>
    </row>
    <row r="836" ht="15.75" customHeight="1">
      <c r="A836" s="50" t="s">
        <v>2158</v>
      </c>
      <c r="B836" s="36">
        <v>68.2</v>
      </c>
      <c r="C836" s="51">
        <f>'Lista de Preço 02_2022'!$B836*0.9*0.9*0.9*0.9*0.9*0.97</f>
        <v>39.06327546</v>
      </c>
      <c r="D836" s="36">
        <f>'Lista de Preço 02_2022'!$C836*1.1712</f>
        <v>45.75090822</v>
      </c>
      <c r="E836" s="52">
        <v>3.25</v>
      </c>
      <c r="F836" s="53">
        <v>0.18</v>
      </c>
      <c r="G836" s="53" t="s">
        <v>22</v>
      </c>
      <c r="H836" s="54" t="s">
        <v>43</v>
      </c>
      <c r="I836" s="55" t="s">
        <v>2159</v>
      </c>
      <c r="J836" s="56" t="s">
        <v>45</v>
      </c>
      <c r="K836" s="57" t="s">
        <v>618</v>
      </c>
      <c r="L836" s="58"/>
      <c r="M836" s="59">
        <v>8.708999E7</v>
      </c>
      <c r="N836" s="59" t="s">
        <v>28</v>
      </c>
      <c r="O836" s="60">
        <v>0.295</v>
      </c>
      <c r="P836" s="59">
        <v>7.899823512134E12</v>
      </c>
      <c r="Q836" s="59">
        <v>1.0</v>
      </c>
    </row>
    <row r="837" ht="15.75" customHeight="1">
      <c r="A837" s="50" t="s">
        <v>2160</v>
      </c>
      <c r="B837" s="36">
        <v>73.77</v>
      </c>
      <c r="C837" s="51">
        <f>'Lista de Preço 02_2022'!$B837*0.9*0.9*0.9*0.9*0.9*0.97</f>
        <v>42.25363388</v>
      </c>
      <c r="D837" s="36">
        <f>'Lista de Preço 02_2022'!$C837*1.1712</f>
        <v>49.487456</v>
      </c>
      <c r="E837" s="52">
        <v>3.25</v>
      </c>
      <c r="F837" s="53">
        <v>0.18</v>
      </c>
      <c r="G837" s="53" t="s">
        <v>22</v>
      </c>
      <c r="H837" s="54" t="s">
        <v>43</v>
      </c>
      <c r="I837" s="55" t="s">
        <v>2161</v>
      </c>
      <c r="J837" s="56" t="s">
        <v>45</v>
      </c>
      <c r="K837" s="57" t="s">
        <v>2162</v>
      </c>
      <c r="L837" s="58"/>
      <c r="M837" s="59">
        <v>8.708999E7</v>
      </c>
      <c r="N837" s="59" t="s">
        <v>28</v>
      </c>
      <c r="O837" s="60">
        <v>0.495</v>
      </c>
      <c r="P837" s="59">
        <v>7.899823512141E12</v>
      </c>
      <c r="Q837" s="59">
        <v>1.0</v>
      </c>
    </row>
    <row r="838" ht="15.75" customHeight="1">
      <c r="A838" s="50" t="s">
        <v>2163</v>
      </c>
      <c r="B838" s="36">
        <v>624.91</v>
      </c>
      <c r="C838" s="36">
        <f>'Lista de Preço 02_2022'!$B838*0.9*0.9*0.9*0.9*0.9*0.97</f>
        <v>357.9330127</v>
      </c>
      <c r="D838" s="36">
        <f>'Lista de Preço 02_2022'!$C838*1.1712</f>
        <v>419.2111445</v>
      </c>
      <c r="E838" s="52">
        <v>3.25</v>
      </c>
      <c r="F838" s="53">
        <v>0.18</v>
      </c>
      <c r="G838" s="53" t="s">
        <v>37</v>
      </c>
      <c r="H838" s="54" t="s">
        <v>2164</v>
      </c>
      <c r="I838" s="55" t="s">
        <v>2165</v>
      </c>
      <c r="J838" s="56" t="s">
        <v>2166</v>
      </c>
      <c r="K838" s="57" t="s">
        <v>86</v>
      </c>
      <c r="L838" s="58" t="s">
        <v>2167</v>
      </c>
      <c r="M838" s="59">
        <v>8.708999E7</v>
      </c>
      <c r="N838" s="59" t="s">
        <v>28</v>
      </c>
      <c r="O838" s="60">
        <v>3.1</v>
      </c>
      <c r="P838" s="59">
        <v>7.899823512165E12</v>
      </c>
      <c r="Q838" s="59">
        <v>1.0</v>
      </c>
    </row>
    <row r="839" ht="15.75" customHeight="1">
      <c r="A839" s="50" t="s">
        <v>2168</v>
      </c>
      <c r="B839" s="36">
        <v>624.91</v>
      </c>
      <c r="C839" s="36">
        <f>'Lista de Preço 02_2022'!$B839*0.9*0.9*0.9*0.9*0.9*0.97</f>
        <v>357.9330127</v>
      </c>
      <c r="D839" s="36">
        <f>'Lista de Preço 02_2022'!$C839*1.1712</f>
        <v>419.2111445</v>
      </c>
      <c r="E839" s="52">
        <v>3.25</v>
      </c>
      <c r="F839" s="53">
        <v>0.18</v>
      </c>
      <c r="G839" s="53" t="s">
        <v>37</v>
      </c>
      <c r="H839" s="54" t="s">
        <v>2164</v>
      </c>
      <c r="I839" s="55" t="s">
        <v>2169</v>
      </c>
      <c r="J839" s="56" t="s">
        <v>2166</v>
      </c>
      <c r="K839" s="57" t="s">
        <v>86</v>
      </c>
      <c r="L839" s="58" t="s">
        <v>2170</v>
      </c>
      <c r="M839" s="59">
        <v>8.708999E7</v>
      </c>
      <c r="N839" s="59" t="s">
        <v>28</v>
      </c>
      <c r="O839" s="60">
        <v>3.1</v>
      </c>
      <c r="P839" s="59">
        <v>7.899823512172E12</v>
      </c>
      <c r="Q839" s="59">
        <v>1.0</v>
      </c>
    </row>
    <row r="840" ht="15.75" customHeight="1">
      <c r="A840" s="35" t="s">
        <v>2171</v>
      </c>
      <c r="B840" s="36">
        <v>186.07050727023224</v>
      </c>
      <c r="C840" s="36">
        <f>'Lista de Preço 02_2022'!$B840*0.9*0.9*0.9*0.9*0.9*0.97</f>
        <v>106.5765906</v>
      </c>
      <c r="D840" s="36">
        <f>'Lista de Preço 02_2022'!$C840*1.1627</f>
        <v>123.9166019</v>
      </c>
      <c r="E840" s="37">
        <v>2.6</v>
      </c>
      <c r="F840" s="38">
        <v>0.18</v>
      </c>
      <c r="G840" s="38" t="s">
        <v>37</v>
      </c>
      <c r="H840" s="39" t="s">
        <v>38</v>
      </c>
      <c r="I840" s="40" t="s">
        <v>2172</v>
      </c>
      <c r="J840" s="41" t="s">
        <v>2098</v>
      </c>
      <c r="K840" s="42" t="s">
        <v>303</v>
      </c>
      <c r="L840" s="43" t="s">
        <v>2173</v>
      </c>
      <c r="M840" s="42">
        <v>8.70893E7</v>
      </c>
      <c r="N840" s="44" t="s">
        <v>28</v>
      </c>
      <c r="O840" s="45">
        <v>1.048</v>
      </c>
      <c r="P840" s="44">
        <v>7.898233433596E12</v>
      </c>
      <c r="Q840" s="44">
        <v>1.0</v>
      </c>
    </row>
    <row r="841" ht="15.75" customHeight="1">
      <c r="A841" s="50" t="s">
        <v>2174</v>
      </c>
      <c r="B841" s="36">
        <v>611.61</v>
      </c>
      <c r="C841" s="36">
        <f>'Lista de Preço 02_2022'!$B841*0.9*0.9*0.9*0.9*0.9*0.97</f>
        <v>350.3151012</v>
      </c>
      <c r="D841" s="36">
        <f>'Lista de Preço 02_2022'!$C841*1.1712</f>
        <v>410.2890466</v>
      </c>
      <c r="E841" s="52">
        <v>3.25</v>
      </c>
      <c r="F841" s="53">
        <v>0.18</v>
      </c>
      <c r="G841" s="53" t="s">
        <v>37</v>
      </c>
      <c r="H841" s="54" t="s">
        <v>2164</v>
      </c>
      <c r="I841" s="55" t="s">
        <v>2175</v>
      </c>
      <c r="J841" s="56" t="s">
        <v>2166</v>
      </c>
      <c r="K841" s="57" t="s">
        <v>86</v>
      </c>
      <c r="L841" s="58" t="s">
        <v>2176</v>
      </c>
      <c r="M841" s="59">
        <v>8.708999E7</v>
      </c>
      <c r="N841" s="59" t="s">
        <v>28</v>
      </c>
      <c r="O841" s="60">
        <v>3.12</v>
      </c>
      <c r="P841" s="59">
        <v>7.899823512189E12</v>
      </c>
      <c r="Q841" s="59">
        <v>1.0</v>
      </c>
    </row>
    <row r="842" ht="15.75" customHeight="1">
      <c r="A842" s="50" t="s">
        <v>2177</v>
      </c>
      <c r="B842" s="36">
        <v>817.7</v>
      </c>
      <c r="C842" s="51">
        <f>'Lista de Preço 02_2022'!$B842*0.9*0.9*0.9*0.9*0.9*0.97</f>
        <v>468.3583628</v>
      </c>
      <c r="D842" s="36">
        <f>'Lista de Preço 02_2022'!$C842*1.1712</f>
        <v>548.5413145</v>
      </c>
      <c r="E842" s="52">
        <v>3.25</v>
      </c>
      <c r="F842" s="53">
        <v>0.18</v>
      </c>
      <c r="G842" s="53" t="s">
        <v>22</v>
      </c>
      <c r="H842" s="54" t="s">
        <v>2164</v>
      </c>
      <c r="I842" s="55" t="s">
        <v>2178</v>
      </c>
      <c r="J842" s="56" t="s">
        <v>25</v>
      </c>
      <c r="K842" s="57" t="s">
        <v>1580</v>
      </c>
      <c r="L842" s="58">
        <v>3.120679485E10</v>
      </c>
      <c r="M842" s="59">
        <v>8.708999E7</v>
      </c>
      <c r="N842" s="59" t="s">
        <v>28</v>
      </c>
      <c r="O842" s="60">
        <v>3.7</v>
      </c>
      <c r="P842" s="59">
        <v>7.899823512226E12</v>
      </c>
      <c r="Q842" s="59">
        <v>1.0</v>
      </c>
    </row>
    <row r="843" ht="15.75" customHeight="1">
      <c r="A843" s="50" t="s">
        <v>2179</v>
      </c>
      <c r="B843" s="36">
        <v>571.72</v>
      </c>
      <c r="C843" s="51">
        <f>'Lista de Preço 02_2022'!$B843*0.9*0.9*0.9*0.9*0.9*0.97</f>
        <v>327.4670945</v>
      </c>
      <c r="D843" s="36">
        <f>'Lista de Preço 02_2022'!$C843*1.1712</f>
        <v>383.5294611</v>
      </c>
      <c r="E843" s="52">
        <v>3.25</v>
      </c>
      <c r="F843" s="53">
        <v>0.18</v>
      </c>
      <c r="G843" s="53" t="s">
        <v>22</v>
      </c>
      <c r="H843" s="54" t="s">
        <v>2164</v>
      </c>
      <c r="I843" s="55" t="s">
        <v>2180</v>
      </c>
      <c r="J843" s="56" t="s">
        <v>25</v>
      </c>
      <c r="K843" s="57" t="s">
        <v>68</v>
      </c>
      <c r="L843" s="58">
        <v>2.6698389E7</v>
      </c>
      <c r="M843" s="59">
        <v>8.708999E7</v>
      </c>
      <c r="N843" s="59" t="s">
        <v>28</v>
      </c>
      <c r="O843" s="60">
        <v>3.0</v>
      </c>
      <c r="P843" s="59">
        <v>7.899823512233E12</v>
      </c>
      <c r="Q843" s="59">
        <v>1.0</v>
      </c>
    </row>
    <row r="844" ht="15.75" customHeight="1">
      <c r="A844" s="50" t="s">
        <v>2181</v>
      </c>
      <c r="B844" s="36">
        <v>691.39</v>
      </c>
      <c r="C844" s="51">
        <f>'Lista de Preço 02_2022'!$B844*0.9*0.9*0.9*0.9*0.9*0.97</f>
        <v>396.0111147</v>
      </c>
      <c r="D844" s="36">
        <f>'Lista de Preço 02_2022'!$C844*1.1712</f>
        <v>463.8082175</v>
      </c>
      <c r="E844" s="52">
        <v>3.25</v>
      </c>
      <c r="F844" s="53">
        <v>0.18</v>
      </c>
      <c r="G844" s="53" t="s">
        <v>22</v>
      </c>
      <c r="H844" s="54" t="s">
        <v>2164</v>
      </c>
      <c r="I844" s="55" t="s">
        <v>2182</v>
      </c>
      <c r="J844" s="56" t="s">
        <v>25</v>
      </c>
      <c r="K844" s="57" t="s">
        <v>68</v>
      </c>
      <c r="L844" s="58">
        <v>1.3510543E7</v>
      </c>
      <c r="M844" s="59">
        <v>8.708999E7</v>
      </c>
      <c r="N844" s="59" t="s">
        <v>28</v>
      </c>
      <c r="O844" s="60">
        <v>3.65</v>
      </c>
      <c r="P844" s="59">
        <v>7.89982351224E12</v>
      </c>
      <c r="Q844" s="59">
        <v>1.0</v>
      </c>
    </row>
    <row r="845" ht="15.75" customHeight="1">
      <c r="A845" s="35" t="s">
        <v>2183</v>
      </c>
      <c r="B845" s="36">
        <v>88.30464751807632</v>
      </c>
      <c r="C845" s="36">
        <f>'Lista de Preço 02_2022'!$B845*0.9*0.9*0.9*0.9*0.9*0.97</f>
        <v>50.57872097</v>
      </c>
      <c r="D845" s="36">
        <f>'Lista de Preço 02_2022'!$C845*1.1627</f>
        <v>58.80787888</v>
      </c>
      <c r="E845" s="37">
        <v>2.6</v>
      </c>
      <c r="F845" s="38">
        <v>0.18</v>
      </c>
      <c r="G845" s="38" t="s">
        <v>37</v>
      </c>
      <c r="H845" s="39" t="s">
        <v>38</v>
      </c>
      <c r="I845" s="40" t="s">
        <v>2184</v>
      </c>
      <c r="J845" s="41" t="s">
        <v>2098</v>
      </c>
      <c r="K845" s="42" t="s">
        <v>303</v>
      </c>
      <c r="L845" s="43">
        <v>2988085.0</v>
      </c>
      <c r="M845" s="42">
        <v>8.70893E7</v>
      </c>
      <c r="N845" s="44" t="s">
        <v>28</v>
      </c>
      <c r="O845" s="45">
        <v>0.848</v>
      </c>
      <c r="P845" s="44">
        <v>7.898233433589E12</v>
      </c>
      <c r="Q845" s="44">
        <v>1.0</v>
      </c>
    </row>
    <row r="846" ht="15.75" customHeight="1">
      <c r="A846" s="50" t="s">
        <v>2185</v>
      </c>
      <c r="B846" s="36">
        <v>688.73</v>
      </c>
      <c r="C846" s="51">
        <f>'Lista de Preço 02_2022'!$B846*0.9*0.9*0.9*0.9*0.9*0.97</f>
        <v>394.4875324</v>
      </c>
      <c r="D846" s="36">
        <f>'Lista de Preço 02_2022'!$C846*1.1712</f>
        <v>462.0237979</v>
      </c>
      <c r="E846" s="52">
        <v>3.25</v>
      </c>
      <c r="F846" s="53">
        <v>0.18</v>
      </c>
      <c r="G846" s="53" t="s">
        <v>22</v>
      </c>
      <c r="H846" s="54" t="s">
        <v>2164</v>
      </c>
      <c r="I846" s="55" t="s">
        <v>2182</v>
      </c>
      <c r="J846" s="56" t="s">
        <v>25</v>
      </c>
      <c r="K846" s="57" t="s">
        <v>68</v>
      </c>
      <c r="L846" s="58">
        <v>1.3507454E7</v>
      </c>
      <c r="M846" s="59">
        <v>8.708999E7</v>
      </c>
      <c r="N846" s="59" t="s">
        <v>28</v>
      </c>
      <c r="O846" s="60">
        <v>4.2</v>
      </c>
      <c r="P846" s="59">
        <v>7.899823512257E12</v>
      </c>
      <c r="Q846" s="59">
        <v>1.0</v>
      </c>
    </row>
    <row r="847" ht="15.75" customHeight="1">
      <c r="A847" s="50" t="s">
        <v>2186</v>
      </c>
      <c r="B847" s="36">
        <v>764.51</v>
      </c>
      <c r="C847" s="51">
        <f>'Lista de Preço 02_2022'!$B847*0.9*0.9*0.9*0.9*0.9*0.97</f>
        <v>437.8924446</v>
      </c>
      <c r="D847" s="36">
        <f>'Lista de Preço 02_2022'!$C847*1.1712</f>
        <v>512.8596311</v>
      </c>
      <c r="E847" s="52">
        <v>3.25</v>
      </c>
      <c r="F847" s="53">
        <v>0.18</v>
      </c>
      <c r="G847" s="53" t="s">
        <v>22</v>
      </c>
      <c r="H847" s="54" t="s">
        <v>2164</v>
      </c>
      <c r="I847" s="55" t="s">
        <v>2187</v>
      </c>
      <c r="J847" s="56" t="s">
        <v>1391</v>
      </c>
      <c r="K847" s="57" t="s">
        <v>157</v>
      </c>
      <c r="L847" s="58" t="s">
        <v>2188</v>
      </c>
      <c r="M847" s="59">
        <v>8.708999E7</v>
      </c>
      <c r="N847" s="59" t="s">
        <v>28</v>
      </c>
      <c r="O847" s="60">
        <v>4.15</v>
      </c>
      <c r="P847" s="59">
        <v>7.899823512264E12</v>
      </c>
      <c r="Q847" s="59">
        <v>1.0</v>
      </c>
    </row>
    <row r="848" ht="15.75" customHeight="1">
      <c r="A848" s="50" t="s">
        <v>2189</v>
      </c>
      <c r="B848" s="36">
        <v>751.22</v>
      </c>
      <c r="C848" s="51">
        <f>'Lista de Preço 02_2022'!$B848*0.9*0.9*0.9*0.9*0.9*0.97</f>
        <v>430.2802609</v>
      </c>
      <c r="D848" s="36">
        <f>'Lista de Preço 02_2022'!$C848*1.1712</f>
        <v>503.9442415</v>
      </c>
      <c r="E848" s="52">
        <v>3.25</v>
      </c>
      <c r="F848" s="53">
        <v>0.18</v>
      </c>
      <c r="G848" s="53" t="s">
        <v>22</v>
      </c>
      <c r="H848" s="54" t="s">
        <v>2164</v>
      </c>
      <c r="I848" s="55" t="s">
        <v>2190</v>
      </c>
      <c r="J848" s="56" t="s">
        <v>25</v>
      </c>
      <c r="K848" s="57" t="s">
        <v>157</v>
      </c>
      <c r="L848" s="58" t="s">
        <v>2191</v>
      </c>
      <c r="M848" s="59">
        <v>8.708999E7</v>
      </c>
      <c r="N848" s="59" t="s">
        <v>28</v>
      </c>
      <c r="O848" s="60">
        <v>2.95</v>
      </c>
      <c r="P848" s="59">
        <v>7.899823512271E12</v>
      </c>
      <c r="Q848" s="59">
        <v>1.0</v>
      </c>
    </row>
    <row r="849" ht="15.75" customHeight="1">
      <c r="A849" s="50" t="s">
        <v>2192</v>
      </c>
      <c r="B849" s="36">
        <v>638.2</v>
      </c>
      <c r="C849" s="51">
        <f>'Lista de Preço 02_2022'!$B849*0.9*0.9*0.9*0.9*0.9*0.97</f>
        <v>365.5451965</v>
      </c>
      <c r="D849" s="36">
        <f>'Lista de Preço 02_2022'!$C849*1.1712</f>
        <v>428.1265341</v>
      </c>
      <c r="E849" s="52">
        <v>3.25</v>
      </c>
      <c r="F849" s="53">
        <v>0.18</v>
      </c>
      <c r="G849" s="53" t="s">
        <v>22</v>
      </c>
      <c r="H849" s="54" t="s">
        <v>2164</v>
      </c>
      <c r="I849" s="55" t="s">
        <v>2178</v>
      </c>
      <c r="J849" s="56" t="s">
        <v>25</v>
      </c>
      <c r="K849" s="57" t="s">
        <v>1580</v>
      </c>
      <c r="L849" s="58">
        <v>3.3416867261E10</v>
      </c>
      <c r="M849" s="59">
        <v>8.708999E7</v>
      </c>
      <c r="N849" s="59" t="s">
        <v>28</v>
      </c>
      <c r="O849" s="60">
        <v>2.6</v>
      </c>
      <c r="P849" s="59">
        <v>7.899823512288E12</v>
      </c>
      <c r="Q849" s="59">
        <v>1.0</v>
      </c>
    </row>
    <row r="850" ht="15.75" customHeight="1">
      <c r="A850" s="50" t="s">
        <v>2193</v>
      </c>
      <c r="B850" s="36">
        <v>644.85</v>
      </c>
      <c r="C850" s="51">
        <f>'Lista de Preço 02_2022'!$B850*0.9*0.9*0.9*0.9*0.9*0.97</f>
        <v>369.3541522</v>
      </c>
      <c r="D850" s="36">
        <f>'Lista de Preço 02_2022'!$C850*1.1712</f>
        <v>432.5875831</v>
      </c>
      <c r="E850" s="52">
        <v>3.25</v>
      </c>
      <c r="F850" s="53">
        <v>0.18</v>
      </c>
      <c r="G850" s="53" t="s">
        <v>22</v>
      </c>
      <c r="H850" s="54" t="s">
        <v>2164</v>
      </c>
      <c r="I850" s="55" t="s">
        <v>2194</v>
      </c>
      <c r="J850" s="56" t="s">
        <v>1391</v>
      </c>
      <c r="K850" s="57" t="s">
        <v>1580</v>
      </c>
      <c r="L850" s="58">
        <v>3.3406786999E10</v>
      </c>
      <c r="M850" s="59">
        <v>8.708999E7</v>
      </c>
      <c r="N850" s="59" t="s">
        <v>28</v>
      </c>
      <c r="O850" s="60">
        <v>1.95</v>
      </c>
      <c r="P850" s="59">
        <v>7.899823512295E12</v>
      </c>
      <c r="Q850" s="59">
        <v>1.0</v>
      </c>
    </row>
    <row r="851" ht="15.75" customHeight="1">
      <c r="A851" s="50" t="s">
        <v>2195</v>
      </c>
      <c r="B851" s="36">
        <v>1183.33</v>
      </c>
      <c r="C851" s="51">
        <f>'Lista de Preço 02_2022'!$B851*0.9*0.9*0.9*0.9*0.9*0.97</f>
        <v>677.7821957</v>
      </c>
      <c r="D851" s="36">
        <f>'Lista de Preço 02_2022'!$C851*1.1712</f>
        <v>793.8185077</v>
      </c>
      <c r="E851" s="52">
        <v>3.25</v>
      </c>
      <c r="F851" s="53">
        <v>0.18</v>
      </c>
      <c r="G851" s="53" t="s">
        <v>22</v>
      </c>
      <c r="H851" s="54" t="s">
        <v>2164</v>
      </c>
      <c r="I851" s="55" t="s">
        <v>2196</v>
      </c>
      <c r="J851" s="56" t="s">
        <v>372</v>
      </c>
      <c r="K851" s="57" t="s">
        <v>618</v>
      </c>
      <c r="L851" s="58" t="s">
        <v>2197</v>
      </c>
      <c r="M851" s="59">
        <v>8.708999E7</v>
      </c>
      <c r="N851" s="59" t="s">
        <v>28</v>
      </c>
      <c r="O851" s="60">
        <v>7.0</v>
      </c>
      <c r="P851" s="59">
        <v>7.899823512301E12</v>
      </c>
      <c r="Q851" s="59">
        <v>1.0</v>
      </c>
    </row>
    <row r="852" ht="15.75" customHeight="1">
      <c r="A852" s="50" t="s">
        <v>2198</v>
      </c>
      <c r="B852" s="36">
        <v>757.87</v>
      </c>
      <c r="C852" s="51">
        <f>'Lista de Preço 02_2022'!$B852*0.9*0.9*0.9*0.9*0.9*0.97</f>
        <v>434.0892166</v>
      </c>
      <c r="D852" s="36">
        <f>'Lista de Preço 02_2022'!$C852*1.1712</f>
        <v>508.4052905</v>
      </c>
      <c r="E852" s="52">
        <v>3.25</v>
      </c>
      <c r="F852" s="53">
        <v>0.18</v>
      </c>
      <c r="G852" s="53" t="s">
        <v>22</v>
      </c>
      <c r="H852" s="54" t="s">
        <v>2164</v>
      </c>
      <c r="I852" s="55" t="s">
        <v>2199</v>
      </c>
      <c r="J852" s="56" t="s">
        <v>1391</v>
      </c>
      <c r="K852" s="57" t="s">
        <v>68</v>
      </c>
      <c r="L852" s="58">
        <v>1.3507355E7</v>
      </c>
      <c r="M852" s="59">
        <v>8.708999E7</v>
      </c>
      <c r="N852" s="59" t="s">
        <v>28</v>
      </c>
      <c r="O852" s="60">
        <v>4.0</v>
      </c>
      <c r="P852" s="59">
        <v>7.899823512318E12</v>
      </c>
      <c r="Q852" s="59">
        <v>1.0</v>
      </c>
    </row>
    <row r="853" ht="15.75" customHeight="1">
      <c r="A853" s="50" t="s">
        <v>2200</v>
      </c>
      <c r="B853" s="36">
        <v>259.27</v>
      </c>
      <c r="C853" s="51">
        <f>'Lista de Preço 02_2022'!$B853*0.9*0.9*0.9*0.9*0.9*0.97</f>
        <v>148.503452</v>
      </c>
      <c r="D853" s="36">
        <f>'Lista de Preço 02_2022'!$C853*1.1712</f>
        <v>173.927243</v>
      </c>
      <c r="E853" s="52">
        <v>3.25</v>
      </c>
      <c r="F853" s="53">
        <v>0.18</v>
      </c>
      <c r="G853" s="53" t="s">
        <v>22</v>
      </c>
      <c r="H853" s="54" t="s">
        <v>2164</v>
      </c>
      <c r="I853" s="55" t="s">
        <v>2201</v>
      </c>
      <c r="J853" s="56" t="s">
        <v>1391</v>
      </c>
      <c r="K853" s="57" t="s">
        <v>277</v>
      </c>
      <c r="L853" s="58" t="s">
        <v>2202</v>
      </c>
      <c r="M853" s="59">
        <v>8.708999E7</v>
      </c>
      <c r="N853" s="59" t="s">
        <v>28</v>
      </c>
      <c r="O853" s="60">
        <v>2.0</v>
      </c>
      <c r="P853" s="59">
        <v>7.899823512325E12</v>
      </c>
      <c r="Q853" s="59">
        <v>1.0</v>
      </c>
    </row>
    <row r="854" ht="15.75" customHeight="1">
      <c r="A854" s="50" t="s">
        <v>2203</v>
      </c>
      <c r="B854" s="36">
        <v>518.54</v>
      </c>
      <c r="C854" s="51">
        <f>'Lista de Preço 02_2022'!$B854*0.9*0.9*0.9*0.9*0.9*0.97</f>
        <v>297.0069041</v>
      </c>
      <c r="D854" s="36">
        <f>'Lista de Preço 02_2022'!$C854*1.1712</f>
        <v>347.854486</v>
      </c>
      <c r="E854" s="52">
        <v>3.25</v>
      </c>
      <c r="F854" s="53">
        <v>0.18</v>
      </c>
      <c r="G854" s="53" t="s">
        <v>22</v>
      </c>
      <c r="H854" s="54" t="s">
        <v>2164</v>
      </c>
      <c r="I854" s="55" t="s">
        <v>2204</v>
      </c>
      <c r="J854" s="56" t="s">
        <v>1391</v>
      </c>
      <c r="K854" s="57" t="s">
        <v>68</v>
      </c>
      <c r="L854" s="58">
        <v>9.4770366E7</v>
      </c>
      <c r="M854" s="59">
        <v>8.708999E7</v>
      </c>
      <c r="N854" s="59" t="s">
        <v>28</v>
      </c>
      <c r="O854" s="60">
        <v>3.2</v>
      </c>
      <c r="P854" s="59">
        <v>7.899823512332E12</v>
      </c>
      <c r="Q854" s="59">
        <v>1.0</v>
      </c>
    </row>
    <row r="855" ht="15.75" customHeight="1">
      <c r="A855" s="35" t="s">
        <v>2205</v>
      </c>
      <c r="B855" s="36">
        <v>121.54205213005824</v>
      </c>
      <c r="C855" s="36">
        <f>'Lista de Preço 02_2022'!$B855*0.9*0.9*0.9*0.9*0.9*0.97</f>
        <v>69.61628537</v>
      </c>
      <c r="D855" s="36">
        <f>'Lista de Preço 02_2022'!$C855*1.1627</f>
        <v>80.942855</v>
      </c>
      <c r="E855" s="37">
        <v>2.6</v>
      </c>
      <c r="F855" s="38">
        <v>0.18</v>
      </c>
      <c r="G855" s="38" t="s">
        <v>37</v>
      </c>
      <c r="H855" s="39" t="s">
        <v>38</v>
      </c>
      <c r="I855" s="40" t="s">
        <v>2206</v>
      </c>
      <c r="J855" s="41" t="s">
        <v>302</v>
      </c>
      <c r="K855" s="42" t="s">
        <v>507</v>
      </c>
      <c r="L855" s="43">
        <v>4.1443454001E10</v>
      </c>
      <c r="M855" s="42">
        <v>8.70893E7</v>
      </c>
      <c r="N855" s="44" t="s">
        <v>28</v>
      </c>
      <c r="O855" s="45">
        <v>0.468</v>
      </c>
      <c r="P855" s="44">
        <v>7.898233433954E12</v>
      </c>
      <c r="Q855" s="44">
        <v>1.0</v>
      </c>
    </row>
    <row r="856" ht="15.75" customHeight="1">
      <c r="A856" s="35" t="s">
        <v>2207</v>
      </c>
      <c r="B856" s="36">
        <v>82.78013667170453</v>
      </c>
      <c r="C856" s="36">
        <f>'Lista de Preço 02_2022'!$B856*0.9*0.9*0.9*0.9*0.9*0.97</f>
        <v>47.41441762</v>
      </c>
      <c r="D856" s="36">
        <f>'Lista de Preço 02_2022'!$C856*1.1627</f>
        <v>55.12874336</v>
      </c>
      <c r="E856" s="37">
        <v>2.6</v>
      </c>
      <c r="F856" s="38">
        <v>0.18</v>
      </c>
      <c r="G856" s="38" t="s">
        <v>22</v>
      </c>
      <c r="H856" s="39" t="s">
        <v>38</v>
      </c>
      <c r="I856" s="40" t="s">
        <v>2208</v>
      </c>
      <c r="J856" s="41" t="s">
        <v>2209</v>
      </c>
      <c r="K856" s="42" t="s">
        <v>86</v>
      </c>
      <c r="L856" s="43">
        <v>3.120498001E9</v>
      </c>
      <c r="M856" s="44">
        <v>8.70893E7</v>
      </c>
      <c r="N856" s="44" t="s">
        <v>28</v>
      </c>
      <c r="O856" s="45">
        <v>0.524</v>
      </c>
      <c r="P856" s="44">
        <v>7.898233433503E12</v>
      </c>
      <c r="Q856" s="44">
        <v>1.0</v>
      </c>
    </row>
    <row r="857" ht="15.75" customHeight="1">
      <c r="A857" s="35" t="s">
        <v>2210</v>
      </c>
      <c r="B857" s="36">
        <v>105.38565248793847</v>
      </c>
      <c r="C857" s="36">
        <f>'Lista de Preço 02_2022'!$B857*0.9*0.9*0.9*0.9*0.9*0.97</f>
        <v>60.36229872</v>
      </c>
      <c r="D857" s="36">
        <f>'Lista de Preço 02_2022'!$C857*1.1627</f>
        <v>70.18324472</v>
      </c>
      <c r="E857" s="37">
        <v>2.6</v>
      </c>
      <c r="F857" s="38">
        <v>0.18</v>
      </c>
      <c r="G857" s="38" t="s">
        <v>37</v>
      </c>
      <c r="H857" s="39" t="s">
        <v>38</v>
      </c>
      <c r="I857" s="40" t="s">
        <v>2211</v>
      </c>
      <c r="J857" s="41" t="s">
        <v>40</v>
      </c>
      <c r="K857" s="42" t="s">
        <v>2212</v>
      </c>
      <c r="L857" s="43" t="s">
        <v>2213</v>
      </c>
      <c r="M857" s="42">
        <v>8.70893E7</v>
      </c>
      <c r="N857" s="44" t="s">
        <v>28</v>
      </c>
      <c r="O857" s="45">
        <v>0.7</v>
      </c>
      <c r="P857" s="44">
        <v>7.898233433893E12</v>
      </c>
      <c r="Q857" s="44">
        <v>1.0</v>
      </c>
    </row>
    <row r="858" ht="15.75" customHeight="1">
      <c r="A858" s="35" t="s">
        <v>2214</v>
      </c>
      <c r="B858" s="36">
        <v>90.69755089738443</v>
      </c>
      <c r="C858" s="36">
        <f>'Lista de Preço 02_2022'!$B858*0.9*0.9*0.9*0.9*0.9*0.97</f>
        <v>51.94931692</v>
      </c>
      <c r="D858" s="36">
        <f>'Lista de Preço 02_2022'!$C858*1.1627</f>
        <v>60.40147079</v>
      </c>
      <c r="E858" s="37">
        <v>2.6</v>
      </c>
      <c r="F858" s="38">
        <v>0.18</v>
      </c>
      <c r="G858" s="38" t="s">
        <v>22</v>
      </c>
      <c r="H858" s="39" t="s">
        <v>38</v>
      </c>
      <c r="I858" s="40" t="s">
        <v>2215</v>
      </c>
      <c r="J858" s="41" t="s">
        <v>2216</v>
      </c>
      <c r="K858" s="42" t="s">
        <v>68</v>
      </c>
      <c r="L858" s="43">
        <v>7.700734982E9</v>
      </c>
      <c r="M858" s="44">
        <v>8.70893E7</v>
      </c>
      <c r="N858" s="44" t="s">
        <v>28</v>
      </c>
      <c r="O858" s="45">
        <v>0.412</v>
      </c>
      <c r="P858" s="44">
        <v>7.898233433527E12</v>
      </c>
      <c r="Q858" s="44">
        <v>1.0</v>
      </c>
    </row>
    <row r="859" ht="15.75" customHeight="1">
      <c r="A859" s="35" t="s">
        <v>2217</v>
      </c>
      <c r="B859" s="36">
        <v>87.50699704640496</v>
      </c>
      <c r="C859" s="36">
        <f>'Lista de Preço 02_2022'!$B859*0.9*0.9*0.9*0.9*0.9*0.97</f>
        <v>50.12184649</v>
      </c>
      <c r="D859" s="36">
        <f>'Lista de Preço 02_2022'!$C859*1.1627</f>
        <v>58.27667091</v>
      </c>
      <c r="E859" s="37">
        <v>2.6</v>
      </c>
      <c r="F859" s="38">
        <v>0.18</v>
      </c>
      <c r="G859" s="38" t="s">
        <v>37</v>
      </c>
      <c r="H859" s="39" t="s">
        <v>38</v>
      </c>
      <c r="I859" s="40" t="s">
        <v>2218</v>
      </c>
      <c r="J859" s="41" t="s">
        <v>302</v>
      </c>
      <c r="K859" s="42" t="s">
        <v>507</v>
      </c>
      <c r="L859" s="43" t="s">
        <v>2219</v>
      </c>
      <c r="M859" s="42">
        <v>8.70893E7</v>
      </c>
      <c r="N859" s="44" t="s">
        <v>28</v>
      </c>
      <c r="O859" s="45">
        <v>0.398</v>
      </c>
      <c r="P859" s="44">
        <v>7.898233436818E12</v>
      </c>
      <c r="Q859" s="44">
        <v>1.0</v>
      </c>
    </row>
    <row r="860" ht="15.75" customHeight="1">
      <c r="A860" s="35" t="s">
        <v>2220</v>
      </c>
      <c r="B860" s="36">
        <v>557.1649135920779</v>
      </c>
      <c r="C860" s="36">
        <f>'Lista de Preço 02_2022'!$B860*0.9*0.9*0.9*0.9*0.9*0.97</f>
        <v>319.1303005</v>
      </c>
      <c r="D860" s="36">
        <f>'Lista de Preço 02_2022'!$C860*1.1712</f>
        <v>373.765408</v>
      </c>
      <c r="E860" s="37">
        <v>3.25</v>
      </c>
      <c r="F860" s="38">
        <v>0.18</v>
      </c>
      <c r="G860" s="38" t="s">
        <v>22</v>
      </c>
      <c r="H860" s="39" t="s">
        <v>23</v>
      </c>
      <c r="I860" s="40" t="s">
        <v>2221</v>
      </c>
      <c r="J860" s="41" t="s">
        <v>500</v>
      </c>
      <c r="K860" s="42" t="s">
        <v>26</v>
      </c>
      <c r="L860" s="43" t="s">
        <v>2222</v>
      </c>
      <c r="M860" s="44">
        <v>8.708999E7</v>
      </c>
      <c r="N860" s="44" t="s">
        <v>28</v>
      </c>
      <c r="O860" s="45">
        <v>4.538</v>
      </c>
      <c r="P860" s="44">
        <v>7.898233434067E12</v>
      </c>
      <c r="Q860" s="44">
        <v>1.0</v>
      </c>
    </row>
    <row r="861" ht="15.75" customHeight="1">
      <c r="A861" s="35" t="s">
        <v>2223</v>
      </c>
      <c r="B861" s="36">
        <v>98.97425010729552</v>
      </c>
      <c r="C861" s="36">
        <f>'Lista de Preço 02_2022'!$B861*0.9*0.9*0.9*0.9*0.9*0.97</f>
        <v>56.6900058</v>
      </c>
      <c r="D861" s="36">
        <f>'Lista de Preço 02_2022'!$C861*1.1627</f>
        <v>65.91346974</v>
      </c>
      <c r="E861" s="37">
        <v>2.6</v>
      </c>
      <c r="F861" s="38">
        <v>0.18</v>
      </c>
      <c r="G861" s="38" t="s">
        <v>22</v>
      </c>
      <c r="H861" s="39" t="s">
        <v>38</v>
      </c>
      <c r="I861" s="40" t="s">
        <v>2224</v>
      </c>
      <c r="J861" s="41" t="s">
        <v>2209</v>
      </c>
      <c r="K861" s="42" t="s">
        <v>86</v>
      </c>
      <c r="L861" s="43">
        <v>3.12043505E9</v>
      </c>
      <c r="M861" s="44">
        <v>8.70893E7</v>
      </c>
      <c r="N861" s="44" t="s">
        <v>28</v>
      </c>
      <c r="O861" s="45">
        <v>0.34</v>
      </c>
      <c r="P861" s="44">
        <v>7.898233437709E12</v>
      </c>
      <c r="Q861" s="44">
        <v>1.0</v>
      </c>
    </row>
    <row r="862" ht="15.75" customHeight="1">
      <c r="A862" s="35" t="s">
        <v>2225</v>
      </c>
      <c r="B862" s="36">
        <v>106.15807199583433</v>
      </c>
      <c r="C862" s="36">
        <f>'Lista de Preço 02_2022'!$B862*0.9*0.9*0.9*0.9*0.9*0.97</f>
        <v>60.80472153</v>
      </c>
      <c r="D862" s="36">
        <f>'Lista de Preço 02_2022'!$C862*1.1627</f>
        <v>70.69764973</v>
      </c>
      <c r="E862" s="37">
        <v>2.6</v>
      </c>
      <c r="F862" s="38">
        <v>0.18</v>
      </c>
      <c r="G862" s="38" t="s">
        <v>22</v>
      </c>
      <c r="H862" s="39" t="s">
        <v>38</v>
      </c>
      <c r="I862" s="40" t="s">
        <v>2226</v>
      </c>
      <c r="J862" s="41" t="s">
        <v>2209</v>
      </c>
      <c r="K862" s="42" t="s">
        <v>86</v>
      </c>
      <c r="L862" s="43" t="s">
        <v>2227</v>
      </c>
      <c r="M862" s="44">
        <v>8.70893E7</v>
      </c>
      <c r="N862" s="44" t="s">
        <v>28</v>
      </c>
      <c r="O862" s="45">
        <v>0.4</v>
      </c>
      <c r="P862" s="44">
        <v>7.89823343801E12</v>
      </c>
      <c r="Q862" s="44">
        <v>1.0</v>
      </c>
    </row>
    <row r="863" ht="15.75" customHeight="1">
      <c r="A863" s="35" t="s">
        <v>2228</v>
      </c>
      <c r="B863" s="36">
        <v>107.96075623727306</v>
      </c>
      <c r="C863" s="36">
        <f>'Lista de Preço 02_2022'!$B863*0.9*0.9*0.9*0.9*0.9*0.97</f>
        <v>61.83725454</v>
      </c>
      <c r="D863" s="36">
        <f>'Lista de Preço 02_2022'!$C863*1.1627</f>
        <v>71.89817586</v>
      </c>
      <c r="E863" s="37">
        <v>2.6</v>
      </c>
      <c r="F863" s="38">
        <v>0.18</v>
      </c>
      <c r="G863" s="38" t="s">
        <v>22</v>
      </c>
      <c r="H863" s="39" t="s">
        <v>38</v>
      </c>
      <c r="I863" s="40" t="s">
        <v>2229</v>
      </c>
      <c r="J863" s="41" t="s">
        <v>2209</v>
      </c>
      <c r="K863" s="42" t="s">
        <v>86</v>
      </c>
      <c r="L863" s="43" t="s">
        <v>2230</v>
      </c>
      <c r="M863" s="44">
        <v>8.70893E7</v>
      </c>
      <c r="N863" s="44" t="s">
        <v>28</v>
      </c>
      <c r="O863" s="45">
        <v>0.858</v>
      </c>
      <c r="P863" s="44">
        <v>7.898233437693E12</v>
      </c>
      <c r="Q863" s="44">
        <v>1.0</v>
      </c>
    </row>
    <row r="864" ht="15.75" customHeight="1">
      <c r="A864" s="35" t="s">
        <v>2231</v>
      </c>
      <c r="B864" s="36">
        <v>219.27841723879882</v>
      </c>
      <c r="C864" s="36">
        <f>'Lista de Preço 02_2022'!$B864*0.9*0.9*0.9*0.9*0.9*0.97</f>
        <v>125.5972612</v>
      </c>
      <c r="D864" s="36">
        <f>'Lista de Preço 02_2022'!$C864*1.1627</f>
        <v>146.0319356</v>
      </c>
      <c r="E864" s="37">
        <v>2.6</v>
      </c>
      <c r="F864" s="38">
        <v>0.18</v>
      </c>
      <c r="G864" s="38" t="s">
        <v>22</v>
      </c>
      <c r="H864" s="39" t="s">
        <v>38</v>
      </c>
      <c r="I864" s="40" t="s">
        <v>2232</v>
      </c>
      <c r="J864" s="41" t="s">
        <v>556</v>
      </c>
      <c r="K864" s="42" t="s">
        <v>95</v>
      </c>
      <c r="L864" s="43" t="s">
        <v>2233</v>
      </c>
      <c r="M864" s="44">
        <v>8.70893E7</v>
      </c>
      <c r="N864" s="44" t="s">
        <v>28</v>
      </c>
      <c r="O864" s="45">
        <v>0.396</v>
      </c>
      <c r="P864" s="44">
        <v>7.899823504399E12</v>
      </c>
      <c r="Q864" s="44">
        <v>1.0</v>
      </c>
    </row>
    <row r="865" ht="15.75" customHeight="1">
      <c r="A865" s="35" t="s">
        <v>2234</v>
      </c>
      <c r="B865" s="36">
        <v>296.0734169642157</v>
      </c>
      <c r="C865" s="36">
        <f>'Lista de Preço 02_2022'!$B865*0.9*0.9*0.9*0.9*0.9*0.97</f>
        <v>169.5835402</v>
      </c>
      <c r="D865" s="36">
        <f>'Lista de Preço 02_2022'!$C865*1.1712</f>
        <v>198.6162423</v>
      </c>
      <c r="E865" s="37">
        <v>3.25</v>
      </c>
      <c r="F865" s="38">
        <v>0.18</v>
      </c>
      <c r="G865" s="38" t="s">
        <v>37</v>
      </c>
      <c r="H865" s="39" t="s">
        <v>2235</v>
      </c>
      <c r="I865" s="40" t="s">
        <v>2236</v>
      </c>
      <c r="J865" s="41" t="s">
        <v>302</v>
      </c>
      <c r="K865" s="42" t="s">
        <v>507</v>
      </c>
      <c r="L865" s="43" t="s">
        <v>2237</v>
      </c>
      <c r="M865" s="42">
        <v>8.708999E7</v>
      </c>
      <c r="N865" s="44" t="s">
        <v>28</v>
      </c>
      <c r="O865" s="45">
        <v>1.092</v>
      </c>
      <c r="P865" s="44">
        <v>7.899823504481E12</v>
      </c>
      <c r="Q865" s="44">
        <v>1.0</v>
      </c>
    </row>
    <row r="866" ht="15.75" customHeight="1">
      <c r="A866" s="35" t="s">
        <v>2238</v>
      </c>
      <c r="B866" s="36">
        <v>152.77950003147492</v>
      </c>
      <c r="C866" s="36">
        <f>'Lista de Preço 02_2022'!$B866*0.9*0.9*0.9*0.9*0.9*0.97</f>
        <v>87.50832396</v>
      </c>
      <c r="D866" s="36">
        <f>'Lista de Preço 02_2022'!$C866*1.1712</f>
        <v>102.489749</v>
      </c>
      <c r="E866" s="37">
        <v>3.25</v>
      </c>
      <c r="F866" s="38">
        <v>0.18</v>
      </c>
      <c r="G866" s="38" t="s">
        <v>22</v>
      </c>
      <c r="H866" s="39" t="s">
        <v>23</v>
      </c>
      <c r="I866" s="40" t="s">
        <v>2239</v>
      </c>
      <c r="J866" s="41" t="s">
        <v>25</v>
      </c>
      <c r="K866" s="42" t="s">
        <v>1771</v>
      </c>
      <c r="L866" s="43" t="s">
        <v>2240</v>
      </c>
      <c r="M866" s="44">
        <v>8.708999E7</v>
      </c>
      <c r="N866" s="44" t="s">
        <v>28</v>
      </c>
      <c r="O866" s="45">
        <v>1.272</v>
      </c>
      <c r="P866" s="44">
        <v>7.899823505822E12</v>
      </c>
      <c r="Q866" s="44">
        <v>1.0</v>
      </c>
    </row>
    <row r="867" ht="15.75" customHeight="1">
      <c r="A867" s="35" t="s">
        <v>2241</v>
      </c>
      <c r="B867" s="36">
        <v>441.50027692680015</v>
      </c>
      <c r="C867" s="36">
        <f>'Lista de Preço 02_2022'!$B867*0.9*0.9*0.9*0.9*0.9*0.97</f>
        <v>252.8804536</v>
      </c>
      <c r="D867" s="36">
        <f>'Lista de Preço 02_2022'!$C867*1.1712</f>
        <v>296.1735872</v>
      </c>
      <c r="E867" s="37">
        <v>3.25</v>
      </c>
      <c r="F867" s="38">
        <v>0.18</v>
      </c>
      <c r="G867" s="38" t="s">
        <v>22</v>
      </c>
      <c r="H867" s="39" t="s">
        <v>23</v>
      </c>
      <c r="I867" s="40" t="s">
        <v>2242</v>
      </c>
      <c r="J867" s="41" t="s">
        <v>25</v>
      </c>
      <c r="K867" s="42" t="s">
        <v>1771</v>
      </c>
      <c r="L867" s="43" t="s">
        <v>2243</v>
      </c>
      <c r="M867" s="42">
        <v>8.708999E7</v>
      </c>
      <c r="N867" s="44" t="s">
        <v>28</v>
      </c>
      <c r="O867" s="45">
        <v>2.402</v>
      </c>
      <c r="P867" s="44">
        <v>7.899823505921E12</v>
      </c>
      <c r="Q867" s="44">
        <v>1.0</v>
      </c>
    </row>
    <row r="868" ht="15.75" customHeight="1">
      <c r="A868" s="35" t="s">
        <v>2244</v>
      </c>
      <c r="B868" s="36">
        <v>177.33446449626953</v>
      </c>
      <c r="C868" s="36">
        <f>'Lista de Preço 02_2022'!$B868*0.9*0.9*0.9*0.9*0.9*0.97</f>
        <v>101.5728011</v>
      </c>
      <c r="D868" s="36">
        <f>'Lista de Preço 02_2022'!$C868*1.1712</f>
        <v>118.9620647</v>
      </c>
      <c r="E868" s="37">
        <v>3.25</v>
      </c>
      <c r="F868" s="38">
        <v>0.18</v>
      </c>
      <c r="G868" s="38" t="s">
        <v>22</v>
      </c>
      <c r="H868" s="39" t="s">
        <v>23</v>
      </c>
      <c r="I868" s="40" t="s">
        <v>2245</v>
      </c>
      <c r="J868" s="41" t="s">
        <v>25</v>
      </c>
      <c r="K868" s="42" t="s">
        <v>1771</v>
      </c>
      <c r="L868" s="43" t="s">
        <v>2246</v>
      </c>
      <c r="M868" s="44">
        <v>8.708999E7</v>
      </c>
      <c r="N868" s="44" t="s">
        <v>28</v>
      </c>
      <c r="O868" s="45">
        <v>1.58</v>
      </c>
      <c r="P868" s="44">
        <v>7.8998235056E12</v>
      </c>
      <c r="Q868" s="44">
        <v>1.0</v>
      </c>
    </row>
    <row r="869" ht="15.75" customHeight="1">
      <c r="A869" s="35" t="s">
        <v>2247</v>
      </c>
      <c r="B869" s="36">
        <v>299.9029206786922</v>
      </c>
      <c r="C869" s="36">
        <f>'Lista de Preço 02_2022'!$B869*0.9*0.9*0.9*0.9*0.9*0.97</f>
        <v>171.7769854</v>
      </c>
      <c r="D869" s="36">
        <f>'Lista de Preço 02_2022'!$C869*1.1712</f>
        <v>201.1852053</v>
      </c>
      <c r="E869" s="37">
        <v>3.25</v>
      </c>
      <c r="F869" s="38">
        <v>0.18</v>
      </c>
      <c r="G869" s="38" t="s">
        <v>22</v>
      </c>
      <c r="H869" s="39" t="s">
        <v>23</v>
      </c>
      <c r="I869" s="40" t="s">
        <v>2248</v>
      </c>
      <c r="J869" s="41" t="s">
        <v>25</v>
      </c>
      <c r="K869" s="42" t="s">
        <v>1771</v>
      </c>
      <c r="L869" s="43" t="s">
        <v>2249</v>
      </c>
      <c r="M869" s="42">
        <v>8.708999E7</v>
      </c>
      <c r="N869" s="44" t="s">
        <v>28</v>
      </c>
      <c r="O869" s="45">
        <v>2.142</v>
      </c>
      <c r="P869" s="44">
        <v>7.899823505938E12</v>
      </c>
      <c r="Q869" s="44">
        <v>1.0</v>
      </c>
    </row>
    <row r="870" ht="15.75" customHeight="1">
      <c r="A870" s="35" t="s">
        <v>2250</v>
      </c>
      <c r="B870" s="36">
        <v>360.13617503640006</v>
      </c>
      <c r="C870" s="36">
        <f>'Lista de Preço 02_2022'!$B870*0.9*0.9*0.9*0.9*0.9*0.97</f>
        <v>206.2771057</v>
      </c>
      <c r="D870" s="36">
        <f>'Lista de Preço 02_2022'!$C870*1.1712</f>
        <v>241.5917462</v>
      </c>
      <c r="E870" s="37">
        <v>3.25</v>
      </c>
      <c r="F870" s="38">
        <v>0.18</v>
      </c>
      <c r="G870" s="38" t="s">
        <v>22</v>
      </c>
      <c r="H870" s="39" t="s">
        <v>23</v>
      </c>
      <c r="I870" s="40" t="s">
        <v>2251</v>
      </c>
      <c r="J870" s="41" t="s">
        <v>25</v>
      </c>
      <c r="K870" s="42" t="s">
        <v>1771</v>
      </c>
      <c r="L870" s="43" t="s">
        <v>2252</v>
      </c>
      <c r="M870" s="44">
        <v>8.708999E7</v>
      </c>
      <c r="N870" s="44" t="s">
        <v>28</v>
      </c>
      <c r="O870" s="45">
        <v>3.522</v>
      </c>
      <c r="P870" s="44">
        <v>7.899823506133E12</v>
      </c>
      <c r="Q870" s="44">
        <v>1.0</v>
      </c>
    </row>
    <row r="871" ht="15.75" customHeight="1">
      <c r="A871" s="35" t="s">
        <v>2253</v>
      </c>
      <c r="B871" s="36">
        <v>903.2766932649268</v>
      </c>
      <c r="C871" s="36">
        <f>'Lista de Preço 02_2022'!$B871*0.9*0.9*0.9*0.9*0.9*0.97</f>
        <v>517.374579</v>
      </c>
      <c r="D871" s="36">
        <f>'Lista de Preço 02_2022'!$C871*1.1712</f>
        <v>605.9491069</v>
      </c>
      <c r="E871" s="37">
        <v>3.25</v>
      </c>
      <c r="F871" s="38">
        <v>0.18</v>
      </c>
      <c r="G871" s="38" t="s">
        <v>22</v>
      </c>
      <c r="H871" s="39" t="s">
        <v>23</v>
      </c>
      <c r="I871" s="40" t="s">
        <v>2254</v>
      </c>
      <c r="J871" s="41" t="s">
        <v>2166</v>
      </c>
      <c r="K871" s="42" t="s">
        <v>26</v>
      </c>
      <c r="L871" s="43" t="s">
        <v>2255</v>
      </c>
      <c r="M871" s="44">
        <v>8.708999E7</v>
      </c>
      <c r="N871" s="44" t="s">
        <v>28</v>
      </c>
      <c r="O871" s="45">
        <v>10.0</v>
      </c>
      <c r="P871" s="44">
        <v>7.898233434364E12</v>
      </c>
      <c r="Q871" s="44">
        <v>1.0</v>
      </c>
    </row>
    <row r="872" ht="15.75" customHeight="1">
      <c r="A872" s="35" t="s">
        <v>2256</v>
      </c>
      <c r="B872" s="36">
        <v>277.42111610935694</v>
      </c>
      <c r="C872" s="36">
        <f>'Lista de Preço 02_2022'!$B872*0.9*0.9*0.9*0.9*0.9*0.97</f>
        <v>158.899963</v>
      </c>
      <c r="D872" s="36">
        <f>'Lista de Preço 02_2022'!$C872*1.1712</f>
        <v>186.1036367</v>
      </c>
      <c r="E872" s="37">
        <v>3.25</v>
      </c>
      <c r="F872" s="38">
        <v>0.18</v>
      </c>
      <c r="G872" s="38" t="s">
        <v>22</v>
      </c>
      <c r="H872" s="39" t="s">
        <v>23</v>
      </c>
      <c r="I872" s="40" t="s">
        <v>2257</v>
      </c>
      <c r="J872" s="41" t="s">
        <v>25</v>
      </c>
      <c r="K872" s="42" t="s">
        <v>1771</v>
      </c>
      <c r="L872" s="43" t="s">
        <v>2258</v>
      </c>
      <c r="M872" s="42">
        <v>8.708999E7</v>
      </c>
      <c r="N872" s="44" t="s">
        <v>28</v>
      </c>
      <c r="O872" s="45">
        <v>2.364</v>
      </c>
      <c r="P872" s="44">
        <v>7.899823506737E12</v>
      </c>
      <c r="Q872" s="44">
        <v>1.0</v>
      </c>
    </row>
    <row r="873" ht="15.75" customHeight="1">
      <c r="A873" s="35" t="s">
        <v>2259</v>
      </c>
      <c r="B873" s="36">
        <v>189.7156560786975</v>
      </c>
      <c r="C873" s="36">
        <f>'Lista de Preço 02_2022'!$B873*0.9*0.9*0.9*0.9*0.9*0.97</f>
        <v>108.6644418</v>
      </c>
      <c r="D873" s="36">
        <f>'Lista de Preço 02_2022'!$C873*1.1712</f>
        <v>127.2677943</v>
      </c>
      <c r="E873" s="37">
        <v>3.25</v>
      </c>
      <c r="F873" s="38">
        <v>0.18</v>
      </c>
      <c r="G873" s="38" t="s">
        <v>22</v>
      </c>
      <c r="H873" s="39" t="s">
        <v>23</v>
      </c>
      <c r="I873" s="40" t="s">
        <v>2260</v>
      </c>
      <c r="J873" s="41" t="s">
        <v>1391</v>
      </c>
      <c r="K873" s="42" t="s">
        <v>1771</v>
      </c>
      <c r="L873" s="43" t="s">
        <v>2261</v>
      </c>
      <c r="M873" s="44">
        <v>8.708999E7</v>
      </c>
      <c r="N873" s="44" t="s">
        <v>28</v>
      </c>
      <c r="O873" s="45">
        <v>1.7</v>
      </c>
      <c r="P873" s="44">
        <v>7.899823505617E12</v>
      </c>
      <c r="Q873" s="44">
        <v>1.0</v>
      </c>
    </row>
    <row r="874" ht="15.75" customHeight="1">
      <c r="A874" s="35" t="s">
        <v>2262</v>
      </c>
      <c r="B874" s="36">
        <v>351.75147494256004</v>
      </c>
      <c r="C874" s="36">
        <f>'Lista de Preço 02_2022'!$B874*0.9*0.9*0.9*0.9*0.9*0.97</f>
        <v>201.4745566</v>
      </c>
      <c r="D874" s="36">
        <f>'Lista de Preço 02_2022'!$C874*1.1712</f>
        <v>235.9670007</v>
      </c>
      <c r="E874" s="37">
        <v>3.25</v>
      </c>
      <c r="F874" s="38">
        <v>0.18</v>
      </c>
      <c r="G874" s="38" t="s">
        <v>22</v>
      </c>
      <c r="H874" s="39" t="s">
        <v>23</v>
      </c>
      <c r="I874" s="40" t="s">
        <v>2263</v>
      </c>
      <c r="J874" s="41" t="s">
        <v>1391</v>
      </c>
      <c r="K874" s="42" t="s">
        <v>1771</v>
      </c>
      <c r="L874" s="43" t="s">
        <v>2264</v>
      </c>
      <c r="M874" s="42">
        <v>8.708999E7</v>
      </c>
      <c r="N874" s="44" t="s">
        <v>28</v>
      </c>
      <c r="O874" s="45">
        <v>3.472</v>
      </c>
      <c r="P874" s="44">
        <v>7.899823506744E12</v>
      </c>
      <c r="Q874" s="44">
        <v>1.0</v>
      </c>
    </row>
    <row r="875" ht="15.75" customHeight="1">
      <c r="A875" s="35" t="s">
        <v>2265</v>
      </c>
      <c r="B875" s="36">
        <v>148.21125903610954</v>
      </c>
      <c r="C875" s="36">
        <f>'Lista de Preço 02_2022'!$B875*0.9*0.9*0.9*0.9*0.9*0.97</f>
        <v>84.89174836</v>
      </c>
      <c r="D875" s="36">
        <f>'Lista de Preço 02_2022'!$C875*1.1712</f>
        <v>99.42521568</v>
      </c>
      <c r="E875" s="37">
        <v>3.25</v>
      </c>
      <c r="F875" s="38">
        <v>0.18</v>
      </c>
      <c r="G875" s="38" t="s">
        <v>22</v>
      </c>
      <c r="H875" s="39" t="s">
        <v>2266</v>
      </c>
      <c r="I875" s="40" t="s">
        <v>2267</v>
      </c>
      <c r="J875" s="41" t="s">
        <v>2268</v>
      </c>
      <c r="K875" s="42" t="s">
        <v>73</v>
      </c>
      <c r="L875" s="43" t="s">
        <v>2269</v>
      </c>
      <c r="M875" s="44">
        <v>8.708999E7</v>
      </c>
      <c r="N875" s="44" t="s">
        <v>28</v>
      </c>
      <c r="O875" s="45">
        <v>0.73</v>
      </c>
      <c r="P875" s="44">
        <v>7.899823507086E12</v>
      </c>
      <c r="Q875" s="44">
        <v>1.0</v>
      </c>
    </row>
    <row r="876" ht="15.75" customHeight="1">
      <c r="A876" s="50" t="s">
        <v>2270</v>
      </c>
      <c r="B876" s="36">
        <v>66.889745</v>
      </c>
      <c r="C876" s="51">
        <f>'Lista de Preço 02_2022'!$B876*0.9*0.9*0.9*0.9*0.9*0.97</f>
        <v>38.31279376</v>
      </c>
      <c r="D876" s="36">
        <f>'Lista de Preço 02_2022'!$C876*1.1712</f>
        <v>44.87194405</v>
      </c>
      <c r="E876" s="52">
        <v>3.25</v>
      </c>
      <c r="F876" s="53">
        <v>0.18</v>
      </c>
      <c r="G876" s="53" t="s">
        <v>22</v>
      </c>
      <c r="H876" s="54" t="s">
        <v>43</v>
      </c>
      <c r="I876" s="61" t="s">
        <v>2271</v>
      </c>
      <c r="J876" s="56" t="s">
        <v>45</v>
      </c>
      <c r="K876" s="57" t="s">
        <v>456</v>
      </c>
      <c r="L876" s="58"/>
      <c r="M876" s="59">
        <v>8.708999E7</v>
      </c>
      <c r="N876" s="59" t="s">
        <v>28</v>
      </c>
      <c r="O876" s="60">
        <v>0.34</v>
      </c>
      <c r="P876" s="59">
        <v>7.899823507123E12</v>
      </c>
      <c r="Q876" s="59">
        <v>1.0</v>
      </c>
    </row>
    <row r="877" ht="15.75" customHeight="1">
      <c r="A877" s="50" t="s">
        <v>2272</v>
      </c>
      <c r="B877" s="36">
        <v>140.46316000000002</v>
      </c>
      <c r="C877" s="51">
        <f>'Lista de Preço 02_2022'!$B877*0.9*0.9*0.9*0.9*0.9*0.97</f>
        <v>80.45382861</v>
      </c>
      <c r="D877" s="36">
        <f>'Lista de Preço 02_2022'!$C877*1.1712</f>
        <v>94.22752407</v>
      </c>
      <c r="E877" s="52">
        <v>3.25</v>
      </c>
      <c r="F877" s="53">
        <v>0.18</v>
      </c>
      <c r="G877" s="53" t="s">
        <v>22</v>
      </c>
      <c r="H877" s="54" t="s">
        <v>43</v>
      </c>
      <c r="I877" s="61" t="s">
        <v>2273</v>
      </c>
      <c r="J877" s="56" t="s">
        <v>45</v>
      </c>
      <c r="K877" s="57" t="s">
        <v>86</v>
      </c>
      <c r="L877" s="58"/>
      <c r="M877" s="59">
        <v>8.708999E7</v>
      </c>
      <c r="N877" s="59" t="s">
        <v>28</v>
      </c>
      <c r="O877" s="60">
        <v>0.42</v>
      </c>
      <c r="P877" s="59">
        <v>7.89982350713E12</v>
      </c>
      <c r="Q877" s="59">
        <v>1.0</v>
      </c>
    </row>
    <row r="878" ht="15.75" customHeight="1">
      <c r="A878" s="35" t="s">
        <v>2274</v>
      </c>
      <c r="B878" s="36">
        <v>126.80678364874545</v>
      </c>
      <c r="C878" s="36">
        <f>'Lista de Preço 02_2022'!$B878*0.9*0.9*0.9*0.9*0.9*0.97</f>
        <v>72.63179355</v>
      </c>
      <c r="D878" s="36">
        <f>'Lista de Preço 02_2022'!$C878*1.1712</f>
        <v>85.0663566</v>
      </c>
      <c r="E878" s="37">
        <v>3.25</v>
      </c>
      <c r="F878" s="38">
        <v>0.18</v>
      </c>
      <c r="G878" s="38" t="s">
        <v>22</v>
      </c>
      <c r="H878" s="39" t="s">
        <v>2266</v>
      </c>
      <c r="I878" s="40" t="s">
        <v>2267</v>
      </c>
      <c r="J878" s="41" t="s">
        <v>2268</v>
      </c>
      <c r="K878" s="42" t="s">
        <v>73</v>
      </c>
      <c r="L878" s="43" t="s">
        <v>2275</v>
      </c>
      <c r="M878" s="44">
        <v>8.708999E7</v>
      </c>
      <c r="N878" s="44" t="s">
        <v>28</v>
      </c>
      <c r="O878" s="45">
        <v>0.612</v>
      </c>
      <c r="P878" s="44">
        <v>7.899823507147E12</v>
      </c>
      <c r="Q878" s="44">
        <v>1.0</v>
      </c>
    </row>
    <row r="879" ht="15.75" customHeight="1">
      <c r="A879" s="50" t="s">
        <v>2276</v>
      </c>
      <c r="B879" s="36">
        <v>97.32919389</v>
      </c>
      <c r="C879" s="51">
        <f>'Lista de Preço 02_2022'!$B879*0.9*0.9*0.9*0.9*0.9*0.97</f>
        <v>55.74775823</v>
      </c>
      <c r="D879" s="36">
        <f>'Lista de Preço 02_2022'!$C879*1.1712</f>
        <v>65.29177444</v>
      </c>
      <c r="E879" s="52">
        <v>3.25</v>
      </c>
      <c r="F879" s="53">
        <v>0.18</v>
      </c>
      <c r="G879" s="53" t="s">
        <v>22</v>
      </c>
      <c r="H879" s="54" t="s">
        <v>2266</v>
      </c>
      <c r="I879" s="55" t="s">
        <v>2277</v>
      </c>
      <c r="J879" s="56" t="s">
        <v>2268</v>
      </c>
      <c r="K879" s="57" t="s">
        <v>73</v>
      </c>
      <c r="L879" s="58" t="s">
        <v>2278</v>
      </c>
      <c r="M879" s="59">
        <v>8.708999E7</v>
      </c>
      <c r="N879" s="59" t="s">
        <v>28</v>
      </c>
      <c r="O879" s="60">
        <v>0.546</v>
      </c>
      <c r="P879" s="59">
        <v>7.899823507154E12</v>
      </c>
      <c r="Q879" s="59">
        <v>1.0</v>
      </c>
    </row>
    <row r="880" ht="15.75" customHeight="1">
      <c r="A880" s="35" t="s">
        <v>2279</v>
      </c>
      <c r="B880" s="36">
        <v>1.0874146418526984</v>
      </c>
      <c r="C880" s="36">
        <f>'Lista de Preço 02_2022'!$B880*0.9*0.9*0.9*0.9*0.9*0.97</f>
        <v>0.6228442477</v>
      </c>
      <c r="D880" s="36">
        <f>'Lista de Preço 02_2022'!$C880*1.1712</f>
        <v>0.7294751829</v>
      </c>
      <c r="E880" s="37">
        <v>3.25</v>
      </c>
      <c r="F880" s="38">
        <v>0.18</v>
      </c>
      <c r="G880" s="38" t="s">
        <v>22</v>
      </c>
      <c r="H880" s="39" t="s">
        <v>30</v>
      </c>
      <c r="I880" s="40" t="s">
        <v>2280</v>
      </c>
      <c r="J880" s="41" t="s">
        <v>32</v>
      </c>
      <c r="K880" s="42" t="s">
        <v>26</v>
      </c>
      <c r="L880" s="43">
        <v>4866163.0</v>
      </c>
      <c r="M880" s="44">
        <v>8.708999E7</v>
      </c>
      <c r="N880" s="44" t="s">
        <v>28</v>
      </c>
      <c r="O880" s="45">
        <v>0.006</v>
      </c>
      <c r="P880" s="44">
        <v>7.898233430304E12</v>
      </c>
      <c r="Q880" s="48">
        <v>100.0</v>
      </c>
    </row>
    <row r="881" ht="15.75" customHeight="1">
      <c r="A881" s="35" t="s">
        <v>2281</v>
      </c>
      <c r="B881" s="36">
        <v>344.9162317373967</v>
      </c>
      <c r="C881" s="36">
        <f>'Lista de Preço 02_2022'!$B881*0.9*0.9*0.9*0.9*0.9*0.97</f>
        <v>197.5594981</v>
      </c>
      <c r="D881" s="36">
        <f>'Lista de Preço 02_2022'!$C881*1.1712</f>
        <v>231.3816842</v>
      </c>
      <c r="E881" s="37">
        <v>3.25</v>
      </c>
      <c r="F881" s="38">
        <v>0.18</v>
      </c>
      <c r="G881" s="38" t="s">
        <v>22</v>
      </c>
      <c r="H881" s="39" t="s">
        <v>23</v>
      </c>
      <c r="I881" s="40" t="s">
        <v>2282</v>
      </c>
      <c r="J881" s="41" t="s">
        <v>500</v>
      </c>
      <c r="K881" s="42" t="s">
        <v>26</v>
      </c>
      <c r="L881" s="43" t="s">
        <v>2283</v>
      </c>
      <c r="M881" s="44">
        <v>8.708999E7</v>
      </c>
      <c r="N881" s="44" t="s">
        <v>28</v>
      </c>
      <c r="O881" s="45">
        <v>3.716</v>
      </c>
      <c r="P881" s="44">
        <v>7.899823507659E12</v>
      </c>
      <c r="Q881" s="44">
        <v>1.0</v>
      </c>
    </row>
    <row r="882" ht="15.75" customHeight="1">
      <c r="A882" s="50" t="s">
        <v>2284</v>
      </c>
      <c r="B882" s="36">
        <v>61.3983</v>
      </c>
      <c r="C882" s="51">
        <f>'Lista de Preço 02_2022'!$B882*0.9*0.9*0.9*0.9*0.9*0.97</f>
        <v>35.1674297</v>
      </c>
      <c r="D882" s="36">
        <f>'Lista de Preço 02_2022'!$C882*1.1627</f>
        <v>40.88917051</v>
      </c>
      <c r="E882" s="52">
        <v>2.6</v>
      </c>
      <c r="F882" s="53">
        <v>0.18</v>
      </c>
      <c r="G882" s="53" t="s">
        <v>22</v>
      </c>
      <c r="H882" s="54" t="s">
        <v>38</v>
      </c>
      <c r="I882" s="55" t="s">
        <v>2285</v>
      </c>
      <c r="J882" s="56" t="s">
        <v>556</v>
      </c>
      <c r="K882" s="57" t="s">
        <v>86</v>
      </c>
      <c r="L882" s="58" t="s">
        <v>2286</v>
      </c>
      <c r="M882" s="59">
        <v>8.70893E7</v>
      </c>
      <c r="N882" s="59" t="s">
        <v>28</v>
      </c>
      <c r="O882" s="60">
        <v>0.34</v>
      </c>
      <c r="P882" s="59">
        <v>7.899823509912E12</v>
      </c>
      <c r="Q882" s="59">
        <v>1.0</v>
      </c>
    </row>
    <row r="883" ht="15.75" customHeight="1">
      <c r="A883" s="35" t="s">
        <v>2287</v>
      </c>
      <c r="B883" s="36">
        <v>286.43158629482855</v>
      </c>
      <c r="C883" s="36">
        <f>'Lista de Preço 02_2022'!$B883*0.9*0.9*0.9*0.9*0.9*0.97</f>
        <v>164.0609378</v>
      </c>
      <c r="D883" s="36">
        <f>'Lista de Preço 02_2022'!$C883*1.1712</f>
        <v>192.1481703</v>
      </c>
      <c r="E883" s="37">
        <v>3.25</v>
      </c>
      <c r="F883" s="38">
        <v>0.18</v>
      </c>
      <c r="G883" s="38" t="s">
        <v>22</v>
      </c>
      <c r="H883" s="39" t="s">
        <v>23</v>
      </c>
      <c r="I883" s="40" t="s">
        <v>2288</v>
      </c>
      <c r="J883" s="41" t="s">
        <v>500</v>
      </c>
      <c r="K883" s="42" t="s">
        <v>26</v>
      </c>
      <c r="L883" s="43" t="s">
        <v>2289</v>
      </c>
      <c r="M883" s="44">
        <v>8.708999E7</v>
      </c>
      <c r="N883" s="44" t="s">
        <v>28</v>
      </c>
      <c r="O883" s="45">
        <v>2.078</v>
      </c>
      <c r="P883" s="44">
        <v>7.89823343405E12</v>
      </c>
      <c r="Q883" s="44">
        <v>1.0</v>
      </c>
    </row>
    <row r="884" ht="15.75" customHeight="1">
      <c r="A884" s="50" t="s">
        <v>2290</v>
      </c>
      <c r="B884" s="36">
        <v>89.826403</v>
      </c>
      <c r="C884" s="51">
        <f>'Lista de Preço 02_2022'!$B884*0.9*0.9*0.9*0.9*0.9*0.97</f>
        <v>51.45034493</v>
      </c>
      <c r="D884" s="36">
        <f>'Lista de Preço 02_2022'!$C884*1.1712</f>
        <v>60.25864398</v>
      </c>
      <c r="E884" s="52">
        <v>3.25</v>
      </c>
      <c r="F884" s="53">
        <v>0.18</v>
      </c>
      <c r="G884" s="53" t="s">
        <v>22</v>
      </c>
      <c r="H884" s="54" t="s">
        <v>48</v>
      </c>
      <c r="I884" s="61" t="s">
        <v>2291</v>
      </c>
      <c r="J884" s="56" t="s">
        <v>2292</v>
      </c>
      <c r="K884" s="57" t="s">
        <v>73</v>
      </c>
      <c r="L884" s="58" t="s">
        <v>2293</v>
      </c>
      <c r="M884" s="59">
        <v>8.7089482E7</v>
      </c>
      <c r="N884" s="59" t="s">
        <v>28</v>
      </c>
      <c r="O884" s="60">
        <v>0.65</v>
      </c>
      <c r="P884" s="59">
        <v>7.899823511588E12</v>
      </c>
      <c r="Q884" s="59">
        <v>1.0</v>
      </c>
    </row>
    <row r="885" ht="15.75" customHeight="1">
      <c r="A885" s="35" t="s">
        <v>2294</v>
      </c>
      <c r="B885" s="36">
        <v>206.4720325901931</v>
      </c>
      <c r="C885" s="36">
        <f>'Lista de Preço 02_2022'!$B885*0.9*0.9*0.9*0.9*0.9*0.97</f>
        <v>118.2620804</v>
      </c>
      <c r="D885" s="36">
        <f>'Lista de Preço 02_2022'!$C885*1.1712</f>
        <v>138.5085486</v>
      </c>
      <c r="E885" s="37">
        <v>3.25</v>
      </c>
      <c r="F885" s="38">
        <v>0.18</v>
      </c>
      <c r="G885" s="38" t="s">
        <v>22</v>
      </c>
      <c r="H885" s="39" t="s">
        <v>23</v>
      </c>
      <c r="I885" s="40" t="s">
        <v>2295</v>
      </c>
      <c r="J885" s="41" t="s">
        <v>1391</v>
      </c>
      <c r="K885" s="42" t="s">
        <v>282</v>
      </c>
      <c r="L885" s="43" t="s">
        <v>2296</v>
      </c>
      <c r="M885" s="44">
        <v>8.708999E7</v>
      </c>
      <c r="N885" s="44" t="s">
        <v>28</v>
      </c>
      <c r="O885" s="45">
        <v>1.988</v>
      </c>
      <c r="P885" s="44">
        <v>7.899823505631E12</v>
      </c>
      <c r="Q885" s="44">
        <v>1.0</v>
      </c>
    </row>
    <row r="886" ht="15.75" customHeight="1">
      <c r="A886" s="35" t="s">
        <v>2297</v>
      </c>
      <c r="B886" s="36">
        <v>478.5417354834902</v>
      </c>
      <c r="C886" s="36">
        <f>'Lista de Preço 02_2022'!$B886*0.9*0.9*0.9*0.9*0.9*0.97</f>
        <v>274.0968861</v>
      </c>
      <c r="D886" s="36">
        <f>'Lista de Preço 02_2022'!$C886*1.1712</f>
        <v>321.022273</v>
      </c>
      <c r="E886" s="37">
        <v>3.25</v>
      </c>
      <c r="F886" s="38">
        <v>0.18</v>
      </c>
      <c r="G886" s="38" t="s">
        <v>22</v>
      </c>
      <c r="H886" s="39" t="s">
        <v>23</v>
      </c>
      <c r="I886" s="40" t="s">
        <v>2298</v>
      </c>
      <c r="J886" s="41" t="s">
        <v>1391</v>
      </c>
      <c r="K886" s="42" t="s">
        <v>282</v>
      </c>
      <c r="L886" s="43" t="s">
        <v>2299</v>
      </c>
      <c r="M886" s="44">
        <v>8.708999E7</v>
      </c>
      <c r="N886" s="44" t="s">
        <v>28</v>
      </c>
      <c r="O886" s="45">
        <v>3.754</v>
      </c>
      <c r="P886" s="44">
        <v>7.899823505945E12</v>
      </c>
      <c r="Q886" s="44">
        <v>1.0</v>
      </c>
    </row>
    <row r="887" ht="15.75" customHeight="1">
      <c r="A887" s="35" t="s">
        <v>2300</v>
      </c>
      <c r="B887" s="36">
        <v>210.39959008761008</v>
      </c>
      <c r="C887" s="36">
        <f>'Lista de Preço 02_2022'!$B887*0.9*0.9*0.9*0.9*0.9*0.97</f>
        <v>120.5116883</v>
      </c>
      <c r="D887" s="36">
        <f>'Lista de Preço 02_2022'!$C887*1.1712</f>
        <v>141.1432894</v>
      </c>
      <c r="E887" s="37">
        <v>3.25</v>
      </c>
      <c r="F887" s="38">
        <v>0.18</v>
      </c>
      <c r="G887" s="38" t="s">
        <v>22</v>
      </c>
      <c r="H887" s="39" t="s">
        <v>43</v>
      </c>
      <c r="I887" s="40" t="s">
        <v>2301</v>
      </c>
      <c r="J887" s="41" t="s">
        <v>45</v>
      </c>
      <c r="K887" s="42" t="s">
        <v>86</v>
      </c>
      <c r="L887" s="43" t="s">
        <v>650</v>
      </c>
      <c r="M887" s="44">
        <v>8.708999E7</v>
      </c>
      <c r="N887" s="44" t="s">
        <v>28</v>
      </c>
      <c r="O887" s="45">
        <v>0.494</v>
      </c>
      <c r="P887" s="44">
        <v>7.899823505891E12</v>
      </c>
      <c r="Q887" s="44">
        <v>1.0</v>
      </c>
    </row>
    <row r="888" ht="15.75" customHeight="1">
      <c r="A888" s="35" t="s">
        <v>2302</v>
      </c>
      <c r="B888" s="36">
        <v>124.52468679061951</v>
      </c>
      <c r="C888" s="36">
        <f>'Lista de Preço 02_2022'!$B888*0.9*0.9*0.9*0.9*0.9*0.97</f>
        <v>71.32466483</v>
      </c>
      <c r="D888" s="36">
        <f>'Lista de Preço 02_2022'!$C888*1.1712</f>
        <v>83.53544745</v>
      </c>
      <c r="E888" s="37">
        <v>3.25</v>
      </c>
      <c r="F888" s="38">
        <v>0.18</v>
      </c>
      <c r="G888" s="38" t="s">
        <v>22</v>
      </c>
      <c r="H888" s="39" t="s">
        <v>43</v>
      </c>
      <c r="I888" s="40" t="s">
        <v>2303</v>
      </c>
      <c r="J888" s="41" t="s">
        <v>45</v>
      </c>
      <c r="K888" s="42" t="s">
        <v>1771</v>
      </c>
      <c r="L888" s="43" t="s">
        <v>2304</v>
      </c>
      <c r="M888" s="44">
        <v>8.708999E7</v>
      </c>
      <c r="N888" s="44" t="s">
        <v>28</v>
      </c>
      <c r="O888" s="45">
        <v>1.0</v>
      </c>
      <c r="P888" s="44">
        <v>7.899823507062E12</v>
      </c>
      <c r="Q888" s="44">
        <v>1.0</v>
      </c>
    </row>
    <row r="889" ht="15.75" customHeight="1">
      <c r="A889" s="35" t="s">
        <v>2305</v>
      </c>
      <c r="B889" s="36">
        <v>107.15794270508249</v>
      </c>
      <c r="C889" s="36">
        <f>'Lista de Preço 02_2022'!$B889*0.9*0.9*0.9*0.9*0.9*0.97</f>
        <v>61.37742278</v>
      </c>
      <c r="D889" s="36">
        <f>'Lista de Preço 02_2022'!$C889*1.1712</f>
        <v>71.88523756</v>
      </c>
      <c r="E889" s="37">
        <v>3.25</v>
      </c>
      <c r="F889" s="38">
        <v>0.18</v>
      </c>
      <c r="G889" s="38" t="s">
        <v>22</v>
      </c>
      <c r="H889" s="39" t="s">
        <v>43</v>
      </c>
      <c r="I889" s="40" t="s">
        <v>2306</v>
      </c>
      <c r="J889" s="41" t="s">
        <v>45</v>
      </c>
      <c r="K889" s="42" t="s">
        <v>294</v>
      </c>
      <c r="L889" s="43" t="s">
        <v>295</v>
      </c>
      <c r="M889" s="44">
        <v>8.708999E7</v>
      </c>
      <c r="N889" s="44" t="s">
        <v>28</v>
      </c>
      <c r="O889" s="45">
        <v>0.528</v>
      </c>
      <c r="P889" s="44">
        <v>7.899823506102E12</v>
      </c>
      <c r="Q889" s="44">
        <v>1.0</v>
      </c>
    </row>
    <row r="890" ht="15.75" customHeight="1">
      <c r="A890" s="50" t="s">
        <v>2307</v>
      </c>
      <c r="B890" s="36">
        <v>127.37961075000001</v>
      </c>
      <c r="C890" s="51">
        <f>'Lista de Preço 02_2022'!$B890*0.9*0.9*0.9*0.9*0.9*0.97</f>
        <v>72.95989476</v>
      </c>
      <c r="D890" s="36">
        <f>'Lista de Preço 02_2022'!$C890*1.1712</f>
        <v>85.45062874</v>
      </c>
      <c r="E890" s="52">
        <v>3.25</v>
      </c>
      <c r="F890" s="53">
        <v>0.18</v>
      </c>
      <c r="G890" s="53" t="s">
        <v>22</v>
      </c>
      <c r="H890" s="54" t="s">
        <v>65</v>
      </c>
      <c r="I890" s="61" t="s">
        <v>2308</v>
      </c>
      <c r="J890" s="56" t="s">
        <v>67</v>
      </c>
      <c r="K890" s="57" t="s">
        <v>95</v>
      </c>
      <c r="L890" s="58" t="s">
        <v>2309</v>
      </c>
      <c r="M890" s="59">
        <v>8.708999E7</v>
      </c>
      <c r="N890" s="59" t="s">
        <v>28</v>
      </c>
      <c r="O890" s="60">
        <v>1.394</v>
      </c>
      <c r="P890" s="59">
        <v>7.899823511038E12</v>
      </c>
      <c r="Q890" s="59">
        <v>1.0</v>
      </c>
    </row>
    <row r="891" ht="15.75" customHeight="1">
      <c r="A891" s="35" t="s">
        <v>2310</v>
      </c>
      <c r="B891" s="36">
        <v>163.4492861801589</v>
      </c>
      <c r="C891" s="36">
        <f>'Lista de Preço 02_2022'!$B891*0.9*0.9*0.9*0.9*0.9*0.97</f>
        <v>93.61971393</v>
      </c>
      <c r="D891" s="36">
        <f>'Lista de Preço 02_2022'!$C891*1.1712</f>
        <v>109.647409</v>
      </c>
      <c r="E891" s="37">
        <v>3.25</v>
      </c>
      <c r="F891" s="38">
        <v>0.18</v>
      </c>
      <c r="G891" s="38" t="s">
        <v>22</v>
      </c>
      <c r="H891" s="39" t="s">
        <v>43</v>
      </c>
      <c r="I891" s="40" t="s">
        <v>2311</v>
      </c>
      <c r="J891" s="41" t="s">
        <v>469</v>
      </c>
      <c r="K891" s="42" t="s">
        <v>153</v>
      </c>
      <c r="L891" s="43" t="s">
        <v>885</v>
      </c>
      <c r="M891" s="44">
        <v>8.708999E7</v>
      </c>
      <c r="N891" s="44" t="s">
        <v>28</v>
      </c>
      <c r="O891" s="45">
        <v>0.66</v>
      </c>
      <c r="P891" s="44">
        <v>7.89982350531E12</v>
      </c>
      <c r="Q891" s="44">
        <v>1.0</v>
      </c>
    </row>
    <row r="892" ht="15.75" customHeight="1">
      <c r="A892" s="35" t="s">
        <v>2312</v>
      </c>
      <c r="B892" s="36">
        <v>119.28495373837353</v>
      </c>
      <c r="C892" s="36">
        <f>'Lista de Preço 02_2022'!$B892*0.9*0.9*0.9*0.9*0.9*0.97</f>
        <v>68.32347516</v>
      </c>
      <c r="D892" s="36">
        <f>'Lista de Preço 02_2022'!$C892*1.1712</f>
        <v>80.02045411</v>
      </c>
      <c r="E892" s="37">
        <v>3.25</v>
      </c>
      <c r="F892" s="38">
        <v>0.18</v>
      </c>
      <c r="G892" s="38" t="s">
        <v>22</v>
      </c>
      <c r="H892" s="39" t="s">
        <v>43</v>
      </c>
      <c r="I892" s="40" t="s">
        <v>2313</v>
      </c>
      <c r="J892" s="41" t="s">
        <v>2104</v>
      </c>
      <c r="K892" s="42" t="s">
        <v>68</v>
      </c>
      <c r="L892" s="43" t="s">
        <v>2314</v>
      </c>
      <c r="M892" s="44">
        <v>8.708999E7</v>
      </c>
      <c r="N892" s="44" t="s">
        <v>28</v>
      </c>
      <c r="O892" s="45">
        <v>0.58</v>
      </c>
      <c r="P892" s="44">
        <v>7.899823505327E12</v>
      </c>
      <c r="Q892" s="44">
        <v>1.0</v>
      </c>
    </row>
    <row r="893" ht="15.75" customHeight="1">
      <c r="A893" s="35" t="s">
        <v>2315</v>
      </c>
      <c r="B893" s="36">
        <v>107.60905055513855</v>
      </c>
      <c r="C893" s="36">
        <f>'Lista de Preço 02_2022'!$B893*0.9*0.9*0.9*0.9*0.9*0.97</f>
        <v>61.63580621</v>
      </c>
      <c r="D893" s="36">
        <f>'Lista de Preço 02_2022'!$C893*1.1712</f>
        <v>72.18785624</v>
      </c>
      <c r="E893" s="37">
        <v>3.25</v>
      </c>
      <c r="F893" s="38">
        <v>0.18</v>
      </c>
      <c r="G893" s="38" t="s">
        <v>22</v>
      </c>
      <c r="H893" s="39" t="s">
        <v>23</v>
      </c>
      <c r="I893" s="40" t="s">
        <v>2316</v>
      </c>
      <c r="J893" s="41" t="s">
        <v>25</v>
      </c>
      <c r="K893" s="42" t="s">
        <v>26</v>
      </c>
      <c r="L893" s="43" t="s">
        <v>2317</v>
      </c>
      <c r="M893" s="44">
        <v>8.708999E7</v>
      </c>
      <c r="N893" s="44" t="s">
        <v>28</v>
      </c>
      <c r="O893" s="45">
        <v>1.858</v>
      </c>
      <c r="P893" s="44">
        <v>7.898233433961E12</v>
      </c>
      <c r="Q893" s="44">
        <v>1.0</v>
      </c>
    </row>
    <row r="894" ht="15.75" customHeight="1">
      <c r="A894" s="35" t="s">
        <v>2318</v>
      </c>
      <c r="B894" s="36">
        <v>158.60996056347756</v>
      </c>
      <c r="C894" s="36">
        <f>'Lista de Preço 02_2022'!$B894*0.9*0.9*0.9*0.9*0.9*0.97</f>
        <v>90.84786774</v>
      </c>
      <c r="D894" s="36">
        <f>'Lista de Preço 02_2022'!$C894*1.1712</f>
        <v>106.4010227</v>
      </c>
      <c r="E894" s="37">
        <v>3.25</v>
      </c>
      <c r="F894" s="38">
        <v>0.18</v>
      </c>
      <c r="G894" s="38" t="s">
        <v>22</v>
      </c>
      <c r="H894" s="39" t="s">
        <v>43</v>
      </c>
      <c r="I894" s="40" t="s">
        <v>2319</v>
      </c>
      <c r="J894" s="41" t="s">
        <v>45</v>
      </c>
      <c r="K894" s="42" t="s">
        <v>26</v>
      </c>
      <c r="L894" s="43" t="s">
        <v>2320</v>
      </c>
      <c r="M894" s="44">
        <v>8.708999E7</v>
      </c>
      <c r="N894" s="44" t="s">
        <v>28</v>
      </c>
      <c r="O894" s="45">
        <v>0.486</v>
      </c>
      <c r="P894" s="44">
        <v>7.898233439215E12</v>
      </c>
      <c r="Q894" s="44">
        <v>1.0</v>
      </c>
    </row>
    <row r="895" ht="15.75" customHeight="1">
      <c r="A895" s="35" t="s">
        <v>2321</v>
      </c>
      <c r="B895" s="36">
        <v>232.14988404108274</v>
      </c>
      <c r="C895" s="36">
        <f>'Lista de Preço 02_2022'!$B895*0.9*0.9*0.9*0.9*0.9*0.97</f>
        <v>132.9697195</v>
      </c>
      <c r="D895" s="36">
        <f>'Lista de Preço 02_2022'!$C895*1.1712</f>
        <v>155.7341355</v>
      </c>
      <c r="E895" s="37">
        <v>3.25</v>
      </c>
      <c r="F895" s="38">
        <v>0.18</v>
      </c>
      <c r="G895" s="38" t="s">
        <v>22</v>
      </c>
      <c r="H895" s="39" t="s">
        <v>43</v>
      </c>
      <c r="I895" s="40" t="s">
        <v>2322</v>
      </c>
      <c r="J895" s="41" t="s">
        <v>45</v>
      </c>
      <c r="K895" s="42" t="s">
        <v>73</v>
      </c>
      <c r="L895" s="43" t="s">
        <v>2323</v>
      </c>
      <c r="M895" s="44">
        <v>8.708999E7</v>
      </c>
      <c r="N895" s="44" t="s">
        <v>28</v>
      </c>
      <c r="O895" s="45">
        <v>0.4</v>
      </c>
      <c r="P895" s="44">
        <v>7.898233439055E12</v>
      </c>
      <c r="Q895" s="44">
        <v>1.0</v>
      </c>
    </row>
    <row r="896" ht="15.75" customHeight="1">
      <c r="A896" s="35" t="s">
        <v>2324</v>
      </c>
      <c r="B896" s="36">
        <v>94.4719629966392</v>
      </c>
      <c r="C896" s="36">
        <f>'Lista de Preço 02_2022'!$B896*0.9*0.9*0.9*0.9*0.9*0.97</f>
        <v>54.11120695</v>
      </c>
      <c r="D896" s="36">
        <f>'Lista de Preço 02_2022'!$C896*1.1712</f>
        <v>63.37504558</v>
      </c>
      <c r="E896" s="37">
        <v>3.25</v>
      </c>
      <c r="F896" s="38">
        <v>0.18</v>
      </c>
      <c r="G896" s="38" t="s">
        <v>22</v>
      </c>
      <c r="H896" s="39" t="s">
        <v>65</v>
      </c>
      <c r="I896" s="40" t="s">
        <v>2325</v>
      </c>
      <c r="J896" s="41" t="s">
        <v>67</v>
      </c>
      <c r="K896" s="42" t="s">
        <v>26</v>
      </c>
      <c r="L896" s="43" t="s">
        <v>2326</v>
      </c>
      <c r="M896" s="44">
        <v>8.708999E7</v>
      </c>
      <c r="N896" s="44" t="s">
        <v>28</v>
      </c>
      <c r="O896" s="45">
        <v>0.81</v>
      </c>
      <c r="P896" s="44">
        <v>7.898233439482E12</v>
      </c>
      <c r="Q896" s="44">
        <v>1.0</v>
      </c>
    </row>
    <row r="897" ht="15.75" customHeight="1">
      <c r="A897" s="35" t="s">
        <v>2327</v>
      </c>
      <c r="B897" s="36">
        <v>1.0637145791456524</v>
      </c>
      <c r="C897" s="36">
        <f>'Lista de Preço 02_2022'!$B897*0.9*0.9*0.9*0.9*0.9*0.97</f>
        <v>0.6092694372</v>
      </c>
      <c r="D897" s="36">
        <f>'Lista de Preço 02_2022'!$C897*1.1712</f>
        <v>0.7135763648</v>
      </c>
      <c r="E897" s="37">
        <v>3.25</v>
      </c>
      <c r="F897" s="38">
        <v>0.18</v>
      </c>
      <c r="G897" s="38" t="s">
        <v>22</v>
      </c>
      <c r="H897" s="39" t="s">
        <v>2328</v>
      </c>
      <c r="I897" s="40" t="s">
        <v>2329</v>
      </c>
      <c r="J897" s="41" t="s">
        <v>2330</v>
      </c>
      <c r="K897" s="42" t="s">
        <v>68</v>
      </c>
      <c r="L897" s="43" t="s">
        <v>2331</v>
      </c>
      <c r="M897" s="44">
        <v>8.708999E7</v>
      </c>
      <c r="N897" s="44" t="s">
        <v>28</v>
      </c>
      <c r="O897" s="45">
        <v>0.006</v>
      </c>
      <c r="P897" s="44">
        <v>7.899823504498E12</v>
      </c>
      <c r="Q897" s="48">
        <v>20.0</v>
      </c>
    </row>
    <row r="898" ht="15.75" customHeight="1">
      <c r="A898" s="35" t="s">
        <v>2332</v>
      </c>
      <c r="B898" s="36">
        <v>2.2216717605852057</v>
      </c>
      <c r="C898" s="36">
        <f>'Lista de Preço 02_2022'!$B898*0.9*0.9*0.9*0.9*0.9*0.97</f>
        <v>1.272518709</v>
      </c>
      <c r="D898" s="36">
        <f>'Lista de Preço 02_2022'!$C898*1.1712</f>
        <v>1.490373912</v>
      </c>
      <c r="E898" s="37">
        <v>3.25</v>
      </c>
      <c r="F898" s="38">
        <v>0.18</v>
      </c>
      <c r="G898" s="38" t="s">
        <v>22</v>
      </c>
      <c r="H898" s="39" t="s">
        <v>2328</v>
      </c>
      <c r="I898" s="40" t="s">
        <v>2333</v>
      </c>
      <c r="J898" s="41" t="s">
        <v>2330</v>
      </c>
      <c r="K898" s="42" t="s">
        <v>95</v>
      </c>
      <c r="L898" s="43"/>
      <c r="M898" s="44">
        <v>8.708999E7</v>
      </c>
      <c r="N898" s="44" t="s">
        <v>28</v>
      </c>
      <c r="O898" s="45">
        <v>0.012</v>
      </c>
      <c r="P898" s="44">
        <v>7.899823504573E12</v>
      </c>
      <c r="Q898" s="48">
        <v>20.0</v>
      </c>
    </row>
    <row r="899" ht="15.75" customHeight="1">
      <c r="A899" s="35" t="s">
        <v>2334</v>
      </c>
      <c r="B899" s="36">
        <v>1.8373191470033754</v>
      </c>
      <c r="C899" s="36">
        <f>'Lista de Preço 02_2022'!$B899*0.9*0.9*0.9*0.9*0.9*0.97</f>
        <v>1.052371026</v>
      </c>
      <c r="D899" s="36">
        <f>'Lista de Preço 02_2022'!$C899*1.1712</f>
        <v>1.232536945</v>
      </c>
      <c r="E899" s="37">
        <v>3.25</v>
      </c>
      <c r="F899" s="38">
        <v>0.18</v>
      </c>
      <c r="G899" s="38" t="s">
        <v>22</v>
      </c>
      <c r="H899" s="39" t="s">
        <v>2328</v>
      </c>
      <c r="I899" s="40" t="s">
        <v>2335</v>
      </c>
      <c r="J899" s="41" t="s">
        <v>2336</v>
      </c>
      <c r="K899" s="42" t="s">
        <v>26</v>
      </c>
      <c r="L899" s="43"/>
      <c r="M899" s="44">
        <v>8.708999E7</v>
      </c>
      <c r="N899" s="44" t="s">
        <v>28</v>
      </c>
      <c r="O899" s="45">
        <v>0.01</v>
      </c>
      <c r="P899" s="44">
        <v>7.899823504597E12</v>
      </c>
      <c r="Q899" s="48">
        <v>20.0</v>
      </c>
    </row>
    <row r="900" ht="15.75" customHeight="1">
      <c r="A900" s="35" t="s">
        <v>2337</v>
      </c>
      <c r="B900" s="36">
        <v>1.0656663490156444</v>
      </c>
      <c r="C900" s="36">
        <f>'Lista de Preço 02_2022'!$B900*0.9*0.9*0.9*0.9*0.9*0.97</f>
        <v>0.6103873628</v>
      </c>
      <c r="D900" s="36">
        <f>'Lista de Preço 02_2022'!$C900*1.1712</f>
        <v>0.7148856793</v>
      </c>
      <c r="E900" s="37">
        <v>3.25</v>
      </c>
      <c r="F900" s="38">
        <v>0.18</v>
      </c>
      <c r="G900" s="38" t="s">
        <v>22</v>
      </c>
      <c r="H900" s="39" t="s">
        <v>2328</v>
      </c>
      <c r="I900" s="40" t="s">
        <v>2338</v>
      </c>
      <c r="J900" s="41" t="s">
        <v>2330</v>
      </c>
      <c r="K900" s="42" t="s">
        <v>26</v>
      </c>
      <c r="L900" s="43"/>
      <c r="M900" s="44">
        <v>8.708999E7</v>
      </c>
      <c r="N900" s="44" t="s">
        <v>28</v>
      </c>
      <c r="O900" s="45">
        <v>0.006</v>
      </c>
      <c r="P900" s="44">
        <v>7.899823504603E12</v>
      </c>
      <c r="Q900" s="48">
        <v>20.0</v>
      </c>
    </row>
    <row r="901" ht="15.75" customHeight="1">
      <c r="A901" s="35" t="s">
        <v>2339</v>
      </c>
      <c r="B901" s="36">
        <v>2.220974699917351</v>
      </c>
      <c r="C901" s="36">
        <f>'Lista de Preço 02_2022'!$B901*0.9*0.9*0.9*0.9*0.9*0.97</f>
        <v>1.27211945</v>
      </c>
      <c r="D901" s="36">
        <f>'Lista de Preço 02_2022'!$C901*1.1712</f>
        <v>1.4899063</v>
      </c>
      <c r="E901" s="37">
        <v>3.25</v>
      </c>
      <c r="F901" s="38">
        <v>0.18</v>
      </c>
      <c r="G901" s="38" t="s">
        <v>22</v>
      </c>
      <c r="H901" s="39" t="s">
        <v>2328</v>
      </c>
      <c r="I901" s="40" t="s">
        <v>2340</v>
      </c>
      <c r="J901" s="41" t="s">
        <v>2341</v>
      </c>
      <c r="K901" s="42" t="s">
        <v>95</v>
      </c>
      <c r="L901" s="43" t="s">
        <v>2342</v>
      </c>
      <c r="M901" s="44">
        <v>8.708999E7</v>
      </c>
      <c r="N901" s="44" t="s">
        <v>28</v>
      </c>
      <c r="O901" s="45">
        <v>0.012</v>
      </c>
      <c r="P901" s="44">
        <v>7.89982350461E12</v>
      </c>
      <c r="Q901" s="48">
        <v>20.0</v>
      </c>
    </row>
    <row r="902" ht="15.75" customHeight="1">
      <c r="A902" s="35" t="s">
        <v>2343</v>
      </c>
      <c r="B902" s="36">
        <v>2.8907105895917566</v>
      </c>
      <c r="C902" s="36">
        <f>'Lista de Preço 02_2022'!$B902*0.9*0.9*0.9*0.9*0.9*0.97</f>
        <v>1.655727625</v>
      </c>
      <c r="D902" s="36">
        <f>'Lista de Preço 02_2022'!$C902*1.1712</f>
        <v>1.939188195</v>
      </c>
      <c r="E902" s="37">
        <v>3.25</v>
      </c>
      <c r="F902" s="38">
        <v>0.18</v>
      </c>
      <c r="G902" s="38" t="s">
        <v>22</v>
      </c>
      <c r="H902" s="39" t="s">
        <v>2328</v>
      </c>
      <c r="I902" s="40" t="s">
        <v>2344</v>
      </c>
      <c r="J902" s="41" t="s">
        <v>2336</v>
      </c>
      <c r="K902" s="42" t="s">
        <v>68</v>
      </c>
      <c r="L902" s="43">
        <v>9.3218723E7</v>
      </c>
      <c r="M902" s="44">
        <v>8.708999E7</v>
      </c>
      <c r="N902" s="44" t="s">
        <v>28</v>
      </c>
      <c r="O902" s="45">
        <v>0.016</v>
      </c>
      <c r="P902" s="44">
        <v>7.899823504627E12</v>
      </c>
      <c r="Q902" s="48">
        <v>20.0</v>
      </c>
    </row>
    <row r="903" ht="15.75" customHeight="1">
      <c r="A903" s="35" t="s">
        <v>2345</v>
      </c>
      <c r="B903" s="36">
        <v>627.608463925424</v>
      </c>
      <c r="C903" s="36">
        <f>'Lista de Preço 02_2022'!$B903*0.9*0.9*0.9*0.9*0.9*0.97</f>
        <v>359.4786262</v>
      </c>
      <c r="D903" s="36">
        <f>'Lista de Preço 02_2022'!$C903*1.1712</f>
        <v>421.021367</v>
      </c>
      <c r="E903" s="37">
        <v>3.25</v>
      </c>
      <c r="F903" s="38">
        <v>0.18</v>
      </c>
      <c r="G903" s="38" t="s">
        <v>22</v>
      </c>
      <c r="H903" s="39" t="s">
        <v>23</v>
      </c>
      <c r="I903" s="40" t="s">
        <v>2346</v>
      </c>
      <c r="J903" s="41" t="s">
        <v>500</v>
      </c>
      <c r="K903" s="42" t="s">
        <v>26</v>
      </c>
      <c r="L903" s="43" t="s">
        <v>2347</v>
      </c>
      <c r="M903" s="44">
        <v>8.708999E7</v>
      </c>
      <c r="N903" s="44" t="s">
        <v>28</v>
      </c>
      <c r="O903" s="45">
        <v>5.282</v>
      </c>
      <c r="P903" s="44">
        <v>7.898233435064E12</v>
      </c>
      <c r="Q903" s="44">
        <v>1.0</v>
      </c>
    </row>
    <row r="904" ht="15.75" customHeight="1">
      <c r="A904" s="35" t="s">
        <v>2348</v>
      </c>
      <c r="B904" s="36">
        <v>3.676019137996405</v>
      </c>
      <c r="C904" s="36">
        <f>'Lista de Preço 02_2022'!$B904*0.9*0.9*0.9*0.9*0.9*0.97</f>
        <v>2.105532965</v>
      </c>
      <c r="D904" s="36">
        <f>'Lista de Preço 02_2022'!$C904*1.1712</f>
        <v>2.466000208</v>
      </c>
      <c r="E904" s="37">
        <v>3.25</v>
      </c>
      <c r="F904" s="38">
        <v>0.18</v>
      </c>
      <c r="G904" s="38" t="s">
        <v>22</v>
      </c>
      <c r="H904" s="39" t="s">
        <v>2328</v>
      </c>
      <c r="I904" s="40" t="s">
        <v>2335</v>
      </c>
      <c r="J904" s="41" t="s">
        <v>2336</v>
      </c>
      <c r="K904" s="42" t="s">
        <v>26</v>
      </c>
      <c r="L904" s="43"/>
      <c r="M904" s="44">
        <v>8.708999E7</v>
      </c>
      <c r="N904" s="44" t="s">
        <v>28</v>
      </c>
      <c r="O904" s="45">
        <v>0.02</v>
      </c>
      <c r="P904" s="44">
        <v>7.899823504634E12</v>
      </c>
      <c r="Q904" s="48">
        <v>20.0</v>
      </c>
    </row>
    <row r="905" ht="15.75" customHeight="1">
      <c r="A905" s="35" t="s">
        <v>2349</v>
      </c>
      <c r="B905" s="36">
        <v>5.348553272025296</v>
      </c>
      <c r="C905" s="36">
        <f>'Lista de Preço 02_2022'!$B905*0.9*0.9*0.9*0.9*0.9*0.97</f>
        <v>3.063519205</v>
      </c>
      <c r="D905" s="36">
        <f>'Lista de Preço 02_2022'!$C905*1.1712</f>
        <v>3.587993693</v>
      </c>
      <c r="E905" s="37">
        <v>3.25</v>
      </c>
      <c r="F905" s="38">
        <v>0.18</v>
      </c>
      <c r="G905" s="38" t="s">
        <v>22</v>
      </c>
      <c r="H905" s="39" t="s">
        <v>2328</v>
      </c>
      <c r="I905" s="40" t="s">
        <v>2350</v>
      </c>
      <c r="J905" s="41" t="s">
        <v>2336</v>
      </c>
      <c r="K905" s="42" t="s">
        <v>26</v>
      </c>
      <c r="L905" s="43"/>
      <c r="M905" s="44">
        <v>8.708999E7</v>
      </c>
      <c r="N905" s="44" t="s">
        <v>28</v>
      </c>
      <c r="O905" s="45">
        <v>0.03</v>
      </c>
      <c r="P905" s="44">
        <v>7.899823504641E12</v>
      </c>
      <c r="Q905" s="48">
        <v>10.0</v>
      </c>
    </row>
    <row r="906" ht="15.75" customHeight="1">
      <c r="A906" s="35" t="s">
        <v>2351</v>
      </c>
      <c r="B906" s="36">
        <v>0.7734585170511245</v>
      </c>
      <c r="C906" s="36">
        <f>'Lista de Preço 02_2022'!$B906*0.9*0.9*0.9*0.9*0.9*0.97</f>
        <v>0.4430179341</v>
      </c>
      <c r="D906" s="36">
        <f>'Lista de Preço 02_2022'!$C906*1.1712</f>
        <v>0.5188626045</v>
      </c>
      <c r="E906" s="37">
        <v>3.25</v>
      </c>
      <c r="F906" s="38">
        <v>0.18</v>
      </c>
      <c r="G906" s="38" t="s">
        <v>22</v>
      </c>
      <c r="H906" s="39" t="s">
        <v>2328</v>
      </c>
      <c r="I906" s="40" t="s">
        <v>2352</v>
      </c>
      <c r="J906" s="41" t="s">
        <v>2330</v>
      </c>
      <c r="K906" s="42" t="s">
        <v>73</v>
      </c>
      <c r="L906" s="43" t="s">
        <v>2353</v>
      </c>
      <c r="M906" s="44">
        <v>8.708999E7</v>
      </c>
      <c r="N906" s="44" t="s">
        <v>28</v>
      </c>
      <c r="O906" s="45">
        <v>0.004</v>
      </c>
      <c r="P906" s="44">
        <v>7.899823504658E12</v>
      </c>
      <c r="Q906" s="48">
        <v>20.0</v>
      </c>
    </row>
    <row r="907" ht="15.75" customHeight="1">
      <c r="A907" s="35" t="s">
        <v>2354</v>
      </c>
      <c r="B907" s="36">
        <v>2.8908500017253282</v>
      </c>
      <c r="C907" s="36">
        <f>'Lista de Preço 02_2022'!$B907*0.9*0.9*0.9*0.9*0.9*0.97</f>
        <v>1.655807477</v>
      </c>
      <c r="D907" s="36">
        <f>'Lista de Preço 02_2022'!$C907*1.1712</f>
        <v>1.939281717</v>
      </c>
      <c r="E907" s="37">
        <v>3.25</v>
      </c>
      <c r="F907" s="38">
        <v>0.18</v>
      </c>
      <c r="G907" s="38" t="s">
        <v>22</v>
      </c>
      <c r="H907" s="39" t="s">
        <v>2328</v>
      </c>
      <c r="I907" s="40" t="s">
        <v>2355</v>
      </c>
      <c r="J907" s="41" t="s">
        <v>2330</v>
      </c>
      <c r="K907" s="42" t="s">
        <v>68</v>
      </c>
      <c r="L907" s="43">
        <v>1.1053152E7</v>
      </c>
      <c r="M907" s="44">
        <v>8.708999E7</v>
      </c>
      <c r="N907" s="44" t="s">
        <v>28</v>
      </c>
      <c r="O907" s="45">
        <v>0.016</v>
      </c>
      <c r="P907" s="44">
        <v>7.899823504665E12</v>
      </c>
      <c r="Q907" s="48">
        <v>20.0</v>
      </c>
    </row>
    <row r="908" ht="15.75" customHeight="1">
      <c r="A908" s="35" t="s">
        <v>2356</v>
      </c>
      <c r="B908" s="36">
        <v>1.4518379590069235</v>
      </c>
      <c r="C908" s="36">
        <f>'Lista de Preço 02_2022'!$B908*0.9*0.9*0.9*0.9*0.9*0.97</f>
        <v>0.8315769225</v>
      </c>
      <c r="D908" s="36">
        <f>'Lista de Preço 02_2022'!$C908*1.1712</f>
        <v>0.9739428917</v>
      </c>
      <c r="E908" s="37">
        <v>3.25</v>
      </c>
      <c r="F908" s="38">
        <v>0.18</v>
      </c>
      <c r="G908" s="38" t="s">
        <v>22</v>
      </c>
      <c r="H908" s="39" t="s">
        <v>2328</v>
      </c>
      <c r="I908" s="40" t="s">
        <v>2352</v>
      </c>
      <c r="J908" s="41" t="s">
        <v>2330</v>
      </c>
      <c r="K908" s="42" t="s">
        <v>73</v>
      </c>
      <c r="L908" s="43" t="s">
        <v>2357</v>
      </c>
      <c r="M908" s="44">
        <v>8.708999E7</v>
      </c>
      <c r="N908" s="44" t="s">
        <v>28</v>
      </c>
      <c r="O908" s="45">
        <v>0.008</v>
      </c>
      <c r="P908" s="44">
        <v>7.899823504672E12</v>
      </c>
      <c r="Q908" s="48">
        <v>20.0</v>
      </c>
    </row>
    <row r="909" ht="15.75" customHeight="1">
      <c r="A909" s="35" t="s">
        <v>2358</v>
      </c>
      <c r="B909" s="36">
        <v>4.0479707103634555</v>
      </c>
      <c r="C909" s="36">
        <f>'Lista de Preço 02_2022'!$B909*0.9*0.9*0.9*0.9*0.9*0.97</f>
        <v>2.318577638</v>
      </c>
      <c r="D909" s="36">
        <f>'Lista de Preço 02_2022'!$C909*1.1712</f>
        <v>2.71551813</v>
      </c>
      <c r="E909" s="37">
        <v>3.25</v>
      </c>
      <c r="F909" s="38">
        <v>0.18</v>
      </c>
      <c r="G909" s="38" t="s">
        <v>22</v>
      </c>
      <c r="H909" s="39" t="s">
        <v>2328</v>
      </c>
      <c r="I909" s="40" t="s">
        <v>2359</v>
      </c>
      <c r="J909" s="41" t="s">
        <v>2336</v>
      </c>
      <c r="K909" s="42" t="s">
        <v>68</v>
      </c>
      <c r="L909" s="43"/>
      <c r="M909" s="44">
        <v>8.708999E7</v>
      </c>
      <c r="N909" s="44" t="s">
        <v>28</v>
      </c>
      <c r="O909" s="45">
        <v>0.022</v>
      </c>
      <c r="P909" s="44">
        <v>7.899823504689E12</v>
      </c>
      <c r="Q909" s="48">
        <v>20.0</v>
      </c>
    </row>
    <row r="910" ht="15.75" customHeight="1">
      <c r="A910" s="35" t="s">
        <v>2360</v>
      </c>
      <c r="B910" s="36">
        <v>1.4504438376712148</v>
      </c>
      <c r="C910" s="36">
        <f>'Lista de Preço 02_2022'!$B910*0.9*0.9*0.9*0.9*0.9*0.97</f>
        <v>0.8307784043</v>
      </c>
      <c r="D910" s="36">
        <f>'Lista de Preço 02_2022'!$C910*1.1712</f>
        <v>0.9730076671</v>
      </c>
      <c r="E910" s="37">
        <v>3.25</v>
      </c>
      <c r="F910" s="38">
        <v>0.18</v>
      </c>
      <c r="G910" s="38" t="s">
        <v>22</v>
      </c>
      <c r="H910" s="39" t="s">
        <v>2328</v>
      </c>
      <c r="I910" s="40" t="s">
        <v>2361</v>
      </c>
      <c r="J910" s="41" t="s">
        <v>2336</v>
      </c>
      <c r="K910" s="42" t="s">
        <v>26</v>
      </c>
      <c r="L910" s="43"/>
      <c r="M910" s="44">
        <v>8.708999E7</v>
      </c>
      <c r="N910" s="44" t="s">
        <v>28</v>
      </c>
      <c r="O910" s="45">
        <v>0.008</v>
      </c>
      <c r="P910" s="44">
        <v>7.899823504696E12</v>
      </c>
      <c r="Q910" s="48">
        <v>20.0</v>
      </c>
    </row>
    <row r="911" ht="15.75" customHeight="1">
      <c r="A911" s="35" t="s">
        <v>2362</v>
      </c>
      <c r="B911" s="36">
        <v>5.117540599119083</v>
      </c>
      <c r="C911" s="36">
        <f>'Lista de Preço 02_2022'!$B911*0.9*0.9*0.9*0.9*0.9*0.97</f>
        <v>2.931200852</v>
      </c>
      <c r="D911" s="36">
        <f>'Lista de Preço 02_2022'!$C911*1.1712</f>
        <v>3.433022438</v>
      </c>
      <c r="E911" s="37">
        <v>3.25</v>
      </c>
      <c r="F911" s="38">
        <v>0.18</v>
      </c>
      <c r="G911" s="38" t="s">
        <v>22</v>
      </c>
      <c r="H911" s="39" t="s">
        <v>2328</v>
      </c>
      <c r="I911" s="40" t="s">
        <v>2363</v>
      </c>
      <c r="J911" s="41" t="s">
        <v>2341</v>
      </c>
      <c r="K911" s="42" t="s">
        <v>68</v>
      </c>
      <c r="L911" s="43" t="s">
        <v>2364</v>
      </c>
      <c r="M911" s="44">
        <v>8.708999E7</v>
      </c>
      <c r="N911" s="44" t="s">
        <v>28</v>
      </c>
      <c r="O911" s="45">
        <v>0.028</v>
      </c>
      <c r="P911" s="44">
        <v>7.899823504702E12</v>
      </c>
      <c r="Q911" s="48">
        <v>10.0</v>
      </c>
    </row>
    <row r="912" ht="15.75" customHeight="1">
      <c r="A912" s="35" t="s">
        <v>2365</v>
      </c>
      <c r="B912" s="36">
        <v>2.220138227115926</v>
      </c>
      <c r="C912" s="36">
        <f>'Lista de Preço 02_2022'!$B912*0.9*0.9*0.9*0.9*0.9*0.97</f>
        <v>1.271640339</v>
      </c>
      <c r="D912" s="36">
        <f>'Lista de Preço 02_2022'!$C912*1.1712</f>
        <v>1.489345165</v>
      </c>
      <c r="E912" s="37">
        <v>3.25</v>
      </c>
      <c r="F912" s="38">
        <v>0.18</v>
      </c>
      <c r="G912" s="38" t="s">
        <v>22</v>
      </c>
      <c r="H912" s="39" t="s">
        <v>2328</v>
      </c>
      <c r="I912" s="40" t="s">
        <v>2366</v>
      </c>
      <c r="J912" s="41" t="s">
        <v>2330</v>
      </c>
      <c r="K912" s="42" t="s">
        <v>73</v>
      </c>
      <c r="L912" s="43" t="s">
        <v>2367</v>
      </c>
      <c r="M912" s="44">
        <v>8.708999E7</v>
      </c>
      <c r="N912" s="44" t="s">
        <v>28</v>
      </c>
      <c r="O912" s="45">
        <v>0.012</v>
      </c>
      <c r="P912" s="44">
        <v>7.899823504719E12</v>
      </c>
      <c r="Q912" s="48">
        <v>20.0</v>
      </c>
    </row>
    <row r="913" ht="15.75" customHeight="1">
      <c r="A913" s="35" t="s">
        <v>2368</v>
      </c>
      <c r="B913" s="36">
        <v>1.8335483807239348</v>
      </c>
      <c r="C913" s="36">
        <f>'Lista de Preço 02_2022'!$B913*0.9*0.9*0.9*0.9*0.9*0.97</f>
        <v>1.050211224</v>
      </c>
      <c r="D913" s="36">
        <f>'Lista de Preço 02_2022'!$C913*1.1712</f>
        <v>1.230007385</v>
      </c>
      <c r="E913" s="37">
        <v>3.25</v>
      </c>
      <c r="F913" s="38">
        <v>0.18</v>
      </c>
      <c r="G913" s="38" t="s">
        <v>22</v>
      </c>
      <c r="H913" s="39" t="s">
        <v>2328</v>
      </c>
      <c r="I913" s="40" t="s">
        <v>2369</v>
      </c>
      <c r="J913" s="41" t="s">
        <v>2330</v>
      </c>
      <c r="K913" s="42" t="s">
        <v>73</v>
      </c>
      <c r="L913" s="43" t="s">
        <v>2370</v>
      </c>
      <c r="M913" s="44">
        <v>8.708999E7</v>
      </c>
      <c r="N913" s="44" t="s">
        <v>28</v>
      </c>
      <c r="O913" s="45">
        <v>0.01</v>
      </c>
      <c r="P913" s="44">
        <v>7.899823504726E12</v>
      </c>
      <c r="Q913" s="48">
        <v>20.0</v>
      </c>
    </row>
    <row r="914" ht="15.75" customHeight="1">
      <c r="A914" s="35" t="s">
        <v>2371</v>
      </c>
      <c r="B914" s="36">
        <v>1175.1576274201122</v>
      </c>
      <c r="C914" s="36">
        <f>'Lista de Preço 02_2022'!$B914*0.9*0.9*0.9*0.9*0.9*0.97</f>
        <v>673.1012626</v>
      </c>
      <c r="D914" s="36">
        <f>'Lista de Preço 02_2022'!$C914*1.1712</f>
        <v>788.3361987</v>
      </c>
      <c r="E914" s="37">
        <v>3.25</v>
      </c>
      <c r="F914" s="38">
        <v>0.18</v>
      </c>
      <c r="G914" s="38" t="s">
        <v>22</v>
      </c>
      <c r="H914" s="39" t="s">
        <v>23</v>
      </c>
      <c r="I914" s="40" t="s">
        <v>2372</v>
      </c>
      <c r="J914" s="41" t="s">
        <v>500</v>
      </c>
      <c r="K914" s="42" t="s">
        <v>26</v>
      </c>
      <c r="L914" s="43" t="s">
        <v>2373</v>
      </c>
      <c r="M914" s="44">
        <v>8.708999E7</v>
      </c>
      <c r="N914" s="44" t="s">
        <v>28</v>
      </c>
      <c r="O914" s="45">
        <v>11.2</v>
      </c>
      <c r="P914" s="44">
        <v>7.898233435507E12</v>
      </c>
      <c r="Q914" s="44">
        <v>1.0</v>
      </c>
    </row>
    <row r="915" ht="15.75" customHeight="1">
      <c r="A915" s="35" t="s">
        <v>2374</v>
      </c>
      <c r="B915" s="36">
        <v>4.0479707103634555</v>
      </c>
      <c r="C915" s="36">
        <f>'Lista de Preço 02_2022'!$B915*0.9*0.9*0.9*0.9*0.9*0.97</f>
        <v>2.318577638</v>
      </c>
      <c r="D915" s="36">
        <f>'Lista de Preço 02_2022'!$C915*1.1712</f>
        <v>2.71551813</v>
      </c>
      <c r="E915" s="37">
        <v>3.25</v>
      </c>
      <c r="F915" s="38">
        <v>0.18</v>
      </c>
      <c r="G915" s="38" t="s">
        <v>22</v>
      </c>
      <c r="H915" s="39" t="s">
        <v>2328</v>
      </c>
      <c r="I915" s="40" t="s">
        <v>2352</v>
      </c>
      <c r="J915" s="41" t="s">
        <v>2330</v>
      </c>
      <c r="K915" s="42" t="s">
        <v>73</v>
      </c>
      <c r="L915" s="43" t="s">
        <v>2375</v>
      </c>
      <c r="M915" s="44">
        <v>8.708999E7</v>
      </c>
      <c r="N915" s="44" t="s">
        <v>28</v>
      </c>
      <c r="O915" s="45">
        <v>0.022</v>
      </c>
      <c r="P915" s="44">
        <v>7.899823504733E12</v>
      </c>
      <c r="Q915" s="48">
        <v>20.0</v>
      </c>
    </row>
    <row r="916" ht="15.75" customHeight="1">
      <c r="A916" s="35" t="s">
        <v>2376</v>
      </c>
      <c r="B916" s="36">
        <v>8.338657945273779</v>
      </c>
      <c r="C916" s="36">
        <f>'Lista de Preço 02_2022'!$B916*0.9*0.9*0.9*0.9*0.9*0.97</f>
        <v>4.776177306</v>
      </c>
      <c r="D916" s="36">
        <f>'Lista de Preço 02_2022'!$C916*1.1712</f>
        <v>5.593858861</v>
      </c>
      <c r="E916" s="37">
        <v>3.25</v>
      </c>
      <c r="F916" s="38">
        <v>0.18</v>
      </c>
      <c r="G916" s="38" t="s">
        <v>22</v>
      </c>
      <c r="H916" s="39" t="s">
        <v>2328</v>
      </c>
      <c r="I916" s="40" t="s">
        <v>2377</v>
      </c>
      <c r="J916" s="41" t="s">
        <v>2330</v>
      </c>
      <c r="K916" s="42" t="s">
        <v>95</v>
      </c>
      <c r="L916" s="43">
        <v>7579570.0</v>
      </c>
      <c r="M916" s="44">
        <v>8.708999E7</v>
      </c>
      <c r="N916" s="44" t="s">
        <v>28</v>
      </c>
      <c r="O916" s="45">
        <v>0.044</v>
      </c>
      <c r="P916" s="44">
        <v>7.89982350474E12</v>
      </c>
      <c r="Q916" s="48">
        <v>10.0</v>
      </c>
    </row>
    <row r="917" ht="15.75" customHeight="1">
      <c r="A917" s="35" t="s">
        <v>2378</v>
      </c>
      <c r="B917" s="36">
        <v>9.348650058747895</v>
      </c>
      <c r="C917" s="36">
        <f>'Lista de Preço 02_2022'!$B917*0.9*0.9*0.9*0.9*0.9*0.97</f>
        <v>5.354675842</v>
      </c>
      <c r="D917" s="36">
        <f>'Lista de Preço 02_2022'!$C917*1.1712</f>
        <v>6.271396346</v>
      </c>
      <c r="E917" s="37">
        <v>3.25</v>
      </c>
      <c r="F917" s="38">
        <v>0.18</v>
      </c>
      <c r="G917" s="38" t="s">
        <v>22</v>
      </c>
      <c r="H917" s="39" t="s">
        <v>2328</v>
      </c>
      <c r="I917" s="40" t="s">
        <v>2377</v>
      </c>
      <c r="J917" s="41" t="s">
        <v>2330</v>
      </c>
      <c r="K917" s="42" t="s">
        <v>95</v>
      </c>
      <c r="L917" s="43">
        <v>7579570.0</v>
      </c>
      <c r="M917" s="44">
        <v>8.708999E7</v>
      </c>
      <c r="N917" s="44" t="s">
        <v>28</v>
      </c>
      <c r="O917" s="45">
        <v>0.044</v>
      </c>
      <c r="P917" s="44">
        <v>7.899823504757E12</v>
      </c>
      <c r="Q917" s="48">
        <v>10.0</v>
      </c>
    </row>
    <row r="918" ht="15.75" customHeight="1">
      <c r="A918" s="35" t="s">
        <v>2379</v>
      </c>
      <c r="B918" s="36">
        <v>5.114473532180525</v>
      </c>
      <c r="C918" s="36">
        <f>'Lista de Preço 02_2022'!$B918*0.9*0.9*0.9*0.9*0.9*0.97</f>
        <v>2.929444112</v>
      </c>
      <c r="D918" s="36">
        <f>'Lista de Preço 02_2022'!$C918*1.1712</f>
        <v>3.430964944</v>
      </c>
      <c r="E918" s="37">
        <v>3.25</v>
      </c>
      <c r="F918" s="38">
        <v>0.18</v>
      </c>
      <c r="G918" s="38" t="s">
        <v>22</v>
      </c>
      <c r="H918" s="39" t="s">
        <v>2328</v>
      </c>
      <c r="I918" s="40" t="s">
        <v>2380</v>
      </c>
      <c r="J918" s="41" t="s">
        <v>2330</v>
      </c>
      <c r="K918" s="42" t="s">
        <v>68</v>
      </c>
      <c r="L918" s="43">
        <v>3836777.0</v>
      </c>
      <c r="M918" s="44">
        <v>8.708999E7</v>
      </c>
      <c r="N918" s="44" t="s">
        <v>28</v>
      </c>
      <c r="O918" s="45">
        <v>0.028</v>
      </c>
      <c r="P918" s="44">
        <v>7.899823504764E12</v>
      </c>
      <c r="Q918" s="48">
        <v>10.0</v>
      </c>
    </row>
    <row r="919" ht="15.75" customHeight="1">
      <c r="A919" s="35" t="s">
        <v>2381</v>
      </c>
      <c r="B919" s="36">
        <v>5.799544756547726</v>
      </c>
      <c r="C919" s="36">
        <f>'Lista de Preço 02_2022'!$B919*0.9*0.9*0.9*0.9*0.9*0.97</f>
        <v>3.321835988</v>
      </c>
      <c r="D919" s="36">
        <f>'Lista de Preço 02_2022'!$C919*1.1712</f>
        <v>3.890534309</v>
      </c>
      <c r="E919" s="37">
        <v>3.25</v>
      </c>
      <c r="F919" s="38">
        <v>0.18</v>
      </c>
      <c r="G919" s="38" t="s">
        <v>22</v>
      </c>
      <c r="H919" s="39" t="s">
        <v>2328</v>
      </c>
      <c r="I919" s="40" t="s">
        <v>2382</v>
      </c>
      <c r="J919" s="41" t="s">
        <v>32</v>
      </c>
      <c r="K919" s="42" t="s">
        <v>95</v>
      </c>
      <c r="L919" s="43" t="s">
        <v>2383</v>
      </c>
      <c r="M919" s="44">
        <v>8.708999E7</v>
      </c>
      <c r="N919" s="44" t="s">
        <v>28</v>
      </c>
      <c r="O919" s="45">
        <v>0.034</v>
      </c>
      <c r="P919" s="44">
        <v>7.899823505495E12</v>
      </c>
      <c r="Q919" s="48">
        <v>10.0</v>
      </c>
    </row>
    <row r="920" ht="15.75" customHeight="1">
      <c r="A920" s="35" t="s">
        <v>2384</v>
      </c>
      <c r="B920" s="36">
        <v>6.3627697761739945</v>
      </c>
      <c r="C920" s="36">
        <f>'Lista de Preço 02_2022'!$B920*0.9*0.9*0.9*0.9*0.9*0.97</f>
        <v>3.644437367</v>
      </c>
      <c r="D920" s="36">
        <f>'Lista de Preço 02_2022'!$C920*1.1712</f>
        <v>4.268365045</v>
      </c>
      <c r="E920" s="37">
        <v>3.25</v>
      </c>
      <c r="F920" s="38">
        <v>0.18</v>
      </c>
      <c r="G920" s="38" t="s">
        <v>22</v>
      </c>
      <c r="H920" s="39" t="s">
        <v>2328</v>
      </c>
      <c r="I920" s="65" t="s">
        <v>2385</v>
      </c>
      <c r="J920" s="41" t="s">
        <v>2336</v>
      </c>
      <c r="K920" s="42"/>
      <c r="L920" s="43" t="s">
        <v>2385</v>
      </c>
      <c r="M920" s="44">
        <v>8.708999E7</v>
      </c>
      <c r="N920" s="44" t="s">
        <v>28</v>
      </c>
      <c r="O920" s="45">
        <v>0.034</v>
      </c>
      <c r="P920" s="44">
        <v>7.899823505556E12</v>
      </c>
      <c r="Q920" s="48">
        <v>10.0</v>
      </c>
    </row>
    <row r="921" ht="15.75" customHeight="1">
      <c r="A921" s="35" t="s">
        <v>2386</v>
      </c>
      <c r="B921" s="36">
        <v>4.893365888337143</v>
      </c>
      <c r="C921" s="36">
        <f>'Lista de Preço 02_2022'!$B921*0.9*0.9*0.9*0.9*0.9*0.97</f>
        <v>2.802799115</v>
      </c>
      <c r="D921" s="36">
        <f>'Lista de Preço 02_2022'!$C921*1.1712</f>
        <v>3.282638323</v>
      </c>
      <c r="E921" s="37">
        <v>3.25</v>
      </c>
      <c r="F921" s="38">
        <v>0.18</v>
      </c>
      <c r="G921" s="38" t="s">
        <v>22</v>
      </c>
      <c r="H921" s="39" t="s">
        <v>2328</v>
      </c>
      <c r="I921" s="65" t="s">
        <v>2387</v>
      </c>
      <c r="J921" s="41" t="s">
        <v>2336</v>
      </c>
      <c r="K921" s="42"/>
      <c r="L921" s="43" t="s">
        <v>2387</v>
      </c>
      <c r="M921" s="44">
        <v>8.708999E7</v>
      </c>
      <c r="N921" s="44" t="s">
        <v>28</v>
      </c>
      <c r="O921" s="45">
        <v>0.026</v>
      </c>
      <c r="P921" s="44">
        <v>7.89982350557E12</v>
      </c>
      <c r="Q921" s="48">
        <v>10.0</v>
      </c>
    </row>
    <row r="922" ht="15.75" customHeight="1">
      <c r="A922" s="35" t="s">
        <v>2388</v>
      </c>
      <c r="B922" s="36">
        <v>3.7671946733517454</v>
      </c>
      <c r="C922" s="36">
        <f>'Lista de Preço 02_2022'!$B922*0.9*0.9*0.9*0.9*0.9*0.97</f>
        <v>2.157756059</v>
      </c>
      <c r="D922" s="36">
        <f>'Lista de Preço 02_2022'!$C922*1.1712</f>
        <v>2.527163897</v>
      </c>
      <c r="E922" s="37">
        <v>3.25</v>
      </c>
      <c r="F922" s="38">
        <v>0.18</v>
      </c>
      <c r="G922" s="38" t="s">
        <v>22</v>
      </c>
      <c r="H922" s="39" t="s">
        <v>2328</v>
      </c>
      <c r="I922" s="65" t="s">
        <v>2389</v>
      </c>
      <c r="J922" s="41" t="s">
        <v>2336</v>
      </c>
      <c r="K922" s="42"/>
      <c r="L922" s="43" t="s">
        <v>2389</v>
      </c>
      <c r="M922" s="44">
        <v>8.708999E7</v>
      </c>
      <c r="N922" s="44" t="s">
        <v>28</v>
      </c>
      <c r="O922" s="45">
        <v>0.02</v>
      </c>
      <c r="P922" s="44">
        <v>7.899823505587E12</v>
      </c>
      <c r="Q922" s="48">
        <v>10.0</v>
      </c>
    </row>
    <row r="923" ht="15.75" customHeight="1">
      <c r="A923" s="35" t="s">
        <v>2390</v>
      </c>
      <c r="B923" s="36">
        <v>1.689940605799896</v>
      </c>
      <c r="C923" s="36">
        <f>'Lista de Preço 02_2022'!$B923*0.9*0.9*0.9*0.9*0.9*0.97</f>
        <v>0.9679562375</v>
      </c>
      <c r="D923" s="36">
        <f>'Lista de Preço 02_2022'!$C923*1.1712</f>
        <v>1.133670345</v>
      </c>
      <c r="E923" s="37">
        <v>3.25</v>
      </c>
      <c r="F923" s="38">
        <v>0.18</v>
      </c>
      <c r="G923" s="38" t="s">
        <v>22</v>
      </c>
      <c r="H923" s="39" t="s">
        <v>2328</v>
      </c>
      <c r="I923" s="65" t="s">
        <v>2391</v>
      </c>
      <c r="J923" s="41" t="s">
        <v>2336</v>
      </c>
      <c r="K923" s="42"/>
      <c r="L923" s="43" t="s">
        <v>2391</v>
      </c>
      <c r="M923" s="44">
        <v>8.708999E7</v>
      </c>
      <c r="N923" s="44" t="s">
        <v>28</v>
      </c>
      <c r="O923" s="45">
        <v>0.009</v>
      </c>
      <c r="P923" s="44">
        <v>7.899823505525E12</v>
      </c>
      <c r="Q923" s="48">
        <v>10.0</v>
      </c>
    </row>
    <row r="924" ht="15.75" customHeight="1">
      <c r="A924" s="35" t="s">
        <v>2392</v>
      </c>
      <c r="B924" s="36">
        <v>1.2775900654838477</v>
      </c>
      <c r="C924" s="36">
        <f>'Lista de Preço 02_2022'!$B924*0.9*0.9*0.9*0.9*0.9*0.97</f>
        <v>0.731772033</v>
      </c>
      <c r="D924" s="36">
        <f>'Lista de Preço 02_2022'!$C924*1.1712</f>
        <v>0.8570514051</v>
      </c>
      <c r="E924" s="37">
        <v>3.25</v>
      </c>
      <c r="F924" s="38">
        <v>0.18</v>
      </c>
      <c r="G924" s="38" t="s">
        <v>22</v>
      </c>
      <c r="H924" s="39" t="s">
        <v>2328</v>
      </c>
      <c r="I924" s="65" t="s">
        <v>2393</v>
      </c>
      <c r="J924" s="41" t="s">
        <v>2336</v>
      </c>
      <c r="K924" s="42"/>
      <c r="L924" s="43" t="s">
        <v>2393</v>
      </c>
      <c r="M924" s="44">
        <v>8.708999E7</v>
      </c>
      <c r="N924" s="44" t="s">
        <v>28</v>
      </c>
      <c r="O924" s="45">
        <v>0.007</v>
      </c>
      <c r="P924" s="44">
        <v>7.899823505532E12</v>
      </c>
      <c r="Q924" s="48">
        <v>10.0</v>
      </c>
    </row>
    <row r="925" ht="15.75" customHeight="1">
      <c r="A925" s="35" t="s">
        <v>2394</v>
      </c>
      <c r="B925" s="36">
        <v>430.5653649059176</v>
      </c>
      <c r="C925" s="36">
        <f>'Lista de Preço 02_2022'!$B925*0.9*0.9*0.9*0.9*0.9*0.97</f>
        <v>246.6172061</v>
      </c>
      <c r="D925" s="36">
        <f>'Lista de Preço 02_2022'!$C925*1.1712</f>
        <v>288.8380717</v>
      </c>
      <c r="E925" s="37">
        <v>3.25</v>
      </c>
      <c r="F925" s="38">
        <v>0.18</v>
      </c>
      <c r="G925" s="38" t="s">
        <v>22</v>
      </c>
      <c r="H925" s="39" t="s">
        <v>23</v>
      </c>
      <c r="I925" s="40" t="s">
        <v>2395</v>
      </c>
      <c r="J925" s="41" t="s">
        <v>500</v>
      </c>
      <c r="K925" s="42" t="s">
        <v>26</v>
      </c>
      <c r="L925" s="43" t="s">
        <v>2396</v>
      </c>
      <c r="M925" s="44">
        <v>8.708999E7</v>
      </c>
      <c r="N925" s="44" t="s">
        <v>28</v>
      </c>
      <c r="O925" s="45">
        <v>5.01</v>
      </c>
      <c r="P925" s="44">
        <v>7.898233435682E12</v>
      </c>
      <c r="Q925" s="44">
        <v>1.0</v>
      </c>
    </row>
    <row r="926" ht="15.75" customHeight="1">
      <c r="A926" s="35" t="s">
        <v>2397</v>
      </c>
      <c r="B926" s="36">
        <v>658.090299288555</v>
      </c>
      <c r="C926" s="36">
        <f>'Lista de Preço 02_2022'!$B926*0.9*0.9*0.9*0.9*0.9*0.97</f>
        <v>376.9378686</v>
      </c>
      <c r="D926" s="36">
        <f>'Lista de Preço 02_2022'!$C926*1.1712</f>
        <v>441.4696317</v>
      </c>
      <c r="E926" s="37">
        <v>3.25</v>
      </c>
      <c r="F926" s="38">
        <v>0.18</v>
      </c>
      <c r="G926" s="38" t="s">
        <v>22</v>
      </c>
      <c r="H926" s="39" t="s">
        <v>23</v>
      </c>
      <c r="I926" s="65" t="s">
        <v>2398</v>
      </c>
      <c r="J926" s="41" t="s">
        <v>1391</v>
      </c>
      <c r="K926" s="42" t="s">
        <v>277</v>
      </c>
      <c r="L926" s="43" t="s">
        <v>2399</v>
      </c>
      <c r="M926" s="44">
        <v>8.708999E7</v>
      </c>
      <c r="N926" s="44" t="s">
        <v>28</v>
      </c>
      <c r="O926" s="45">
        <v>2.744</v>
      </c>
      <c r="P926" s="44">
        <v>7.899823505952E12</v>
      </c>
      <c r="Q926" s="48">
        <v>1.0</v>
      </c>
    </row>
    <row r="927" ht="15.75" customHeight="1">
      <c r="A927" s="35" t="s">
        <v>2400</v>
      </c>
      <c r="B927" s="36">
        <v>7.519890484812124</v>
      </c>
      <c r="C927" s="36">
        <f>'Lista de Preço 02_2022'!$B927*0.9*0.9*0.9*0.9*0.9*0.97</f>
        <v>4.307207528</v>
      </c>
      <c r="D927" s="36">
        <f>'Lista de Preço 02_2022'!$C927*1.1712</f>
        <v>5.044601457</v>
      </c>
      <c r="E927" s="37">
        <v>3.25</v>
      </c>
      <c r="F927" s="38">
        <v>0.18</v>
      </c>
      <c r="G927" s="38" t="s">
        <v>22</v>
      </c>
      <c r="H927" s="39" t="s">
        <v>2328</v>
      </c>
      <c r="I927" s="65" t="s">
        <v>2401</v>
      </c>
      <c r="J927" s="41" t="s">
        <v>2330</v>
      </c>
      <c r="K927" s="42"/>
      <c r="L927" s="43" t="s">
        <v>2401</v>
      </c>
      <c r="M927" s="44">
        <v>8.708999E7</v>
      </c>
      <c r="N927" s="44" t="s">
        <v>28</v>
      </c>
      <c r="O927" s="45">
        <v>0.04</v>
      </c>
      <c r="P927" s="44">
        <v>7.899823505549E12</v>
      </c>
      <c r="Q927" s="48">
        <v>10.0</v>
      </c>
    </row>
    <row r="928" ht="15.75" customHeight="1">
      <c r="A928" s="35" t="s">
        <v>2402</v>
      </c>
      <c r="B928" s="36">
        <v>1.1320265245953736</v>
      </c>
      <c r="C928" s="36">
        <f>'Lista de Preço 02_2022'!$B928*0.9*0.9*0.9*0.9*0.9*0.97</f>
        <v>0.6483968322</v>
      </c>
      <c r="D928" s="36">
        <f>'Lista de Preço 02_2022'!$C928*1.1712</f>
        <v>0.7594023699</v>
      </c>
      <c r="E928" s="37">
        <v>3.25</v>
      </c>
      <c r="F928" s="38">
        <v>0.18</v>
      </c>
      <c r="G928" s="38" t="s">
        <v>22</v>
      </c>
      <c r="H928" s="39" t="s">
        <v>2328</v>
      </c>
      <c r="I928" s="65" t="s">
        <v>2403</v>
      </c>
      <c r="J928" s="41" t="s">
        <v>2336</v>
      </c>
      <c r="K928" s="42"/>
      <c r="L928" s="43" t="s">
        <v>2403</v>
      </c>
      <c r="M928" s="44">
        <v>8.708999E7</v>
      </c>
      <c r="N928" s="44" t="s">
        <v>28</v>
      </c>
      <c r="O928" s="45">
        <v>0.006</v>
      </c>
      <c r="P928" s="44">
        <v>7.899823505563E12</v>
      </c>
      <c r="Q928" s="48">
        <v>10.0</v>
      </c>
    </row>
    <row r="929" ht="15.75" customHeight="1">
      <c r="A929" s="35" t="s">
        <v>2404</v>
      </c>
      <c r="B929" s="36">
        <v>208.73495640110187</v>
      </c>
      <c r="C929" s="36">
        <f>'Lista de Preço 02_2022'!$B929*0.9*0.9*0.9*0.9*0.9*0.97</f>
        <v>119.5582273</v>
      </c>
      <c r="D929" s="36">
        <f>'Lista de Preço 02_2022'!$C929*1.1712</f>
        <v>140.0265958</v>
      </c>
      <c r="E929" s="37">
        <v>3.25</v>
      </c>
      <c r="F929" s="38">
        <v>0.18</v>
      </c>
      <c r="G929" s="38" t="s">
        <v>22</v>
      </c>
      <c r="H929" s="39" t="s">
        <v>23</v>
      </c>
      <c r="I929" s="65" t="s">
        <v>2405</v>
      </c>
      <c r="J929" s="41" t="s">
        <v>1391</v>
      </c>
      <c r="K929" s="42" t="s">
        <v>157</v>
      </c>
      <c r="L929" s="43" t="s">
        <v>2406</v>
      </c>
      <c r="M929" s="44">
        <v>8.708999E7</v>
      </c>
      <c r="N929" s="44" t="s">
        <v>28</v>
      </c>
      <c r="O929" s="45">
        <v>2.14</v>
      </c>
      <c r="P929" s="44">
        <v>7.899823505112E12</v>
      </c>
      <c r="Q929" s="48">
        <v>1.0</v>
      </c>
    </row>
    <row r="930" ht="15.75" customHeight="1">
      <c r="A930" s="35" t="s">
        <v>2407</v>
      </c>
      <c r="B930" s="36">
        <v>540.5235938112934</v>
      </c>
      <c r="C930" s="36">
        <f>'Lista de Preço 02_2022'!$B930*0.9*0.9*0.9*0.9*0.9*0.97</f>
        <v>309.5985636</v>
      </c>
      <c r="D930" s="36">
        <f>'Lista de Preço 02_2022'!$C930*1.1712</f>
        <v>362.6018377</v>
      </c>
      <c r="E930" s="37">
        <v>3.25</v>
      </c>
      <c r="F930" s="38">
        <v>0.18</v>
      </c>
      <c r="G930" s="38" t="s">
        <v>22</v>
      </c>
      <c r="H930" s="39" t="s">
        <v>23</v>
      </c>
      <c r="I930" s="65" t="s">
        <v>2408</v>
      </c>
      <c r="J930" s="41" t="s">
        <v>1391</v>
      </c>
      <c r="K930" s="42" t="s">
        <v>157</v>
      </c>
      <c r="L930" s="43" t="s">
        <v>2409</v>
      </c>
      <c r="M930" s="44">
        <v>8.708999E7</v>
      </c>
      <c r="N930" s="44" t="s">
        <v>28</v>
      </c>
      <c r="O930" s="45">
        <v>3.594</v>
      </c>
      <c r="P930" s="44">
        <v>7.899823505013E12</v>
      </c>
      <c r="Q930" s="48">
        <v>1.0</v>
      </c>
    </row>
    <row r="931" ht="15.75" customHeight="1">
      <c r="A931" s="35" t="s">
        <v>2410</v>
      </c>
      <c r="B931" s="36">
        <v>215.35814804278633</v>
      </c>
      <c r="C931" s="36">
        <f>'Lista de Preço 02_2022'!$B931*0.9*0.9*0.9*0.9*0.9*0.97</f>
        <v>123.3518279</v>
      </c>
      <c r="D931" s="36">
        <f>'Lista de Preço 02_2022'!$C931*1.1712</f>
        <v>144.4696608</v>
      </c>
      <c r="E931" s="37">
        <v>3.25</v>
      </c>
      <c r="F931" s="38">
        <v>0.18</v>
      </c>
      <c r="G931" s="38" t="s">
        <v>22</v>
      </c>
      <c r="H931" s="39" t="s">
        <v>23</v>
      </c>
      <c r="I931" s="65" t="s">
        <v>2411</v>
      </c>
      <c r="J931" s="41" t="s">
        <v>25</v>
      </c>
      <c r="K931" s="42" t="s">
        <v>26</v>
      </c>
      <c r="L931" s="43" t="s">
        <v>2412</v>
      </c>
      <c r="M931" s="44">
        <v>8.708999E7</v>
      </c>
      <c r="N931" s="44" t="s">
        <v>28</v>
      </c>
      <c r="O931" s="45">
        <v>2.066</v>
      </c>
      <c r="P931" s="44">
        <v>7.899823505471E12</v>
      </c>
      <c r="Q931" s="48">
        <v>1.0</v>
      </c>
    </row>
    <row r="932" ht="15.75" customHeight="1">
      <c r="A932" s="35" t="s">
        <v>2413</v>
      </c>
      <c r="B932" s="36">
        <v>627.9754750605496</v>
      </c>
      <c r="C932" s="36">
        <f>'Lista de Preço 02_2022'!$B932*0.9*0.9*0.9*0.9*0.9*0.97</f>
        <v>359.6888411</v>
      </c>
      <c r="D932" s="36">
        <f>'Lista de Preço 02_2022'!$C932*1.1712</f>
        <v>421.2675707</v>
      </c>
      <c r="E932" s="37">
        <v>3.25</v>
      </c>
      <c r="F932" s="38">
        <v>0.18</v>
      </c>
      <c r="G932" s="38" t="s">
        <v>22</v>
      </c>
      <c r="H932" s="39" t="s">
        <v>23</v>
      </c>
      <c r="I932" s="65" t="s">
        <v>2414</v>
      </c>
      <c r="J932" s="41" t="s">
        <v>500</v>
      </c>
      <c r="K932" s="42" t="s">
        <v>294</v>
      </c>
      <c r="L932" s="43" t="s">
        <v>295</v>
      </c>
      <c r="M932" s="44">
        <v>8.708999E7</v>
      </c>
      <c r="N932" s="44" t="s">
        <v>28</v>
      </c>
      <c r="O932" s="45">
        <v>4.927</v>
      </c>
      <c r="P932" s="44">
        <v>7.899823506997E12</v>
      </c>
      <c r="Q932" s="48">
        <v>1.0</v>
      </c>
    </row>
    <row r="933" ht="15.75" customHeight="1">
      <c r="A933" s="35" t="s">
        <v>2415</v>
      </c>
      <c r="B933" s="36">
        <v>156.40764572996642</v>
      </c>
      <c r="C933" s="36">
        <f>'Lista de Preço 02_2022'!$B933*0.9*0.9*0.9*0.9*0.9*0.97</f>
        <v>89.58643621</v>
      </c>
      <c r="D933" s="36">
        <f>'Lista de Preço 02_2022'!$C933*1.1712</f>
        <v>104.9236341</v>
      </c>
      <c r="E933" s="37">
        <v>3.25</v>
      </c>
      <c r="F933" s="38">
        <v>0.18</v>
      </c>
      <c r="G933" s="38" t="s">
        <v>22</v>
      </c>
      <c r="H933" s="39" t="s">
        <v>23</v>
      </c>
      <c r="I933" s="40" t="s">
        <v>2416</v>
      </c>
      <c r="J933" s="41" t="s">
        <v>25</v>
      </c>
      <c r="K933" s="42" t="s">
        <v>26</v>
      </c>
      <c r="L933" s="43" t="s">
        <v>2417</v>
      </c>
      <c r="M933" s="44">
        <v>8.708999E7</v>
      </c>
      <c r="N933" s="44" t="s">
        <v>28</v>
      </c>
      <c r="O933" s="45">
        <v>2.058</v>
      </c>
      <c r="P933" s="44">
        <v>7.898233435859E12</v>
      </c>
      <c r="Q933" s="44">
        <v>1.0</v>
      </c>
    </row>
    <row r="934" ht="15.75" customHeight="1">
      <c r="A934" s="35" t="s">
        <v>2418</v>
      </c>
      <c r="B934" s="36">
        <v>643.7848742329426</v>
      </c>
      <c r="C934" s="36">
        <f>'Lista de Preço 02_2022'!$B934*0.9*0.9*0.9*0.9*0.9*0.97</f>
        <v>368.7440745</v>
      </c>
      <c r="D934" s="36">
        <f>'Lista de Preço 02_2022'!$C934*1.1712</f>
        <v>431.87306</v>
      </c>
      <c r="E934" s="37">
        <v>3.25</v>
      </c>
      <c r="F934" s="38">
        <v>0.18</v>
      </c>
      <c r="G934" s="38" t="s">
        <v>22</v>
      </c>
      <c r="H934" s="39" t="s">
        <v>23</v>
      </c>
      <c r="I934" s="65" t="s">
        <v>2419</v>
      </c>
      <c r="J934" s="41" t="s">
        <v>500</v>
      </c>
      <c r="K934" s="42" t="s">
        <v>294</v>
      </c>
      <c r="L934" s="43" t="s">
        <v>295</v>
      </c>
      <c r="M934" s="44">
        <v>8.708999E7</v>
      </c>
      <c r="N934" s="44" t="s">
        <v>28</v>
      </c>
      <c r="O934" s="45">
        <v>5.38</v>
      </c>
      <c r="P934" s="44">
        <v>7.899823507E12</v>
      </c>
      <c r="Q934" s="48">
        <v>1.0</v>
      </c>
    </row>
    <row r="935" ht="15.75" customHeight="1">
      <c r="A935" s="35" t="s">
        <v>2420</v>
      </c>
      <c r="B935" s="36">
        <v>515.8258757592446</v>
      </c>
      <c r="C935" s="36">
        <f>'Lista de Preço 02_2022'!$B935*0.9*0.9*0.9*0.9*0.9*0.97</f>
        <v>295.4523207</v>
      </c>
      <c r="D935" s="36">
        <f>'Lista de Preço 02_2022'!$C935*1.1712</f>
        <v>346.033758</v>
      </c>
      <c r="E935" s="37">
        <v>3.25</v>
      </c>
      <c r="F935" s="38">
        <v>0.18</v>
      </c>
      <c r="G935" s="38" t="s">
        <v>22</v>
      </c>
      <c r="H935" s="39" t="s">
        <v>23</v>
      </c>
      <c r="I935" s="65" t="s">
        <v>2421</v>
      </c>
      <c r="J935" s="41" t="s">
        <v>1391</v>
      </c>
      <c r="K935" s="42" t="s">
        <v>2422</v>
      </c>
      <c r="L935" s="43" t="s">
        <v>2423</v>
      </c>
      <c r="M935" s="44">
        <v>8.708999E7</v>
      </c>
      <c r="N935" s="44" t="s">
        <v>28</v>
      </c>
      <c r="O935" s="45">
        <v>4.36</v>
      </c>
      <c r="P935" s="44">
        <v>7.899823505648E12</v>
      </c>
      <c r="Q935" s="48">
        <v>1.0</v>
      </c>
    </row>
    <row r="936" ht="15.75" customHeight="1">
      <c r="A936" s="35" t="s">
        <v>2424</v>
      </c>
      <c r="B936" s="36">
        <v>507.17436853650014</v>
      </c>
      <c r="C936" s="36">
        <f>'Lista de Preço 02_2022'!$B936*0.9*0.9*0.9*0.9*0.9*0.97</f>
        <v>290.4969511</v>
      </c>
      <c r="D936" s="36">
        <f>'Lista de Preço 02_2022'!$C936*1.1712</f>
        <v>340.2300291</v>
      </c>
      <c r="E936" s="37">
        <v>3.25</v>
      </c>
      <c r="F936" s="38">
        <v>0.18</v>
      </c>
      <c r="G936" s="38" t="s">
        <v>22</v>
      </c>
      <c r="H936" s="39" t="s">
        <v>23</v>
      </c>
      <c r="I936" s="65" t="s">
        <v>2425</v>
      </c>
      <c r="J936" s="41" t="s">
        <v>1391</v>
      </c>
      <c r="K936" s="42" t="s">
        <v>2422</v>
      </c>
      <c r="L936" s="43" t="s">
        <v>2426</v>
      </c>
      <c r="M936" s="44">
        <v>8.708999E7</v>
      </c>
      <c r="N936" s="44" t="s">
        <v>28</v>
      </c>
      <c r="O936" s="45">
        <v>4.248</v>
      </c>
      <c r="P936" s="44">
        <v>7.899823505655E12</v>
      </c>
      <c r="Q936" s="48">
        <v>1.0</v>
      </c>
    </row>
    <row r="937" ht="15.75" customHeight="1">
      <c r="A937" s="35" t="s">
        <v>2427</v>
      </c>
      <c r="B937" s="36">
        <v>504.87562046720143</v>
      </c>
      <c r="C937" s="36">
        <f>'Lista de Preço 02_2022'!$B937*0.9*0.9*0.9*0.9*0.9*0.97</f>
        <v>289.180285</v>
      </c>
      <c r="D937" s="36">
        <f>'Lista de Preço 02_2022'!$C937*1.1712</f>
        <v>338.6879498</v>
      </c>
      <c r="E937" s="37">
        <v>3.25</v>
      </c>
      <c r="F937" s="38">
        <v>0.18</v>
      </c>
      <c r="G937" s="38" t="s">
        <v>22</v>
      </c>
      <c r="H937" s="39" t="s">
        <v>23</v>
      </c>
      <c r="I937" s="65" t="s">
        <v>2428</v>
      </c>
      <c r="J937" s="41" t="s">
        <v>25</v>
      </c>
      <c r="K937" s="42" t="s">
        <v>26</v>
      </c>
      <c r="L937" s="43" t="s">
        <v>2429</v>
      </c>
      <c r="M937" s="44">
        <v>8.708999E7</v>
      </c>
      <c r="N937" s="44" t="s">
        <v>28</v>
      </c>
      <c r="O937" s="45">
        <v>2.828</v>
      </c>
      <c r="P937" s="44">
        <v>7.899823505969E12</v>
      </c>
      <c r="Q937" s="48">
        <v>1.0</v>
      </c>
    </row>
    <row r="938" ht="15.75" customHeight="1">
      <c r="A938" s="35" t="s">
        <v>2430</v>
      </c>
      <c r="B938" s="36">
        <v>593.5824467699932</v>
      </c>
      <c r="C938" s="36">
        <f>'Lista de Preço 02_2022'!$B938*0.9*0.9*0.9*0.9*0.9*0.97</f>
        <v>339.989364</v>
      </c>
      <c r="D938" s="36">
        <f>'Lista de Preço 02_2022'!$C938*1.1712</f>
        <v>398.1955431</v>
      </c>
      <c r="E938" s="37">
        <v>3.25</v>
      </c>
      <c r="F938" s="38">
        <v>0.18</v>
      </c>
      <c r="G938" s="38" t="s">
        <v>22</v>
      </c>
      <c r="H938" s="39" t="s">
        <v>23</v>
      </c>
      <c r="I938" s="65" t="s">
        <v>2431</v>
      </c>
      <c r="J938" s="41" t="s">
        <v>25</v>
      </c>
      <c r="K938" s="42" t="s">
        <v>1580</v>
      </c>
      <c r="L938" s="43" t="s">
        <v>2432</v>
      </c>
      <c r="M938" s="44">
        <v>8.708999E7</v>
      </c>
      <c r="N938" s="44" t="s">
        <v>28</v>
      </c>
      <c r="O938" s="45">
        <v>3.138</v>
      </c>
      <c r="P938" s="44">
        <v>7.899823506751E12</v>
      </c>
      <c r="Q938" s="48">
        <v>1.0</v>
      </c>
    </row>
    <row r="939" ht="15.75" customHeight="1">
      <c r="A939" s="35" t="s">
        <v>2433</v>
      </c>
      <c r="B939" s="36">
        <v>473.0278866327867</v>
      </c>
      <c r="C939" s="36">
        <f>'Lista de Preço 02_2022'!$B939*0.9*0.9*0.9*0.9*0.9*0.97</f>
        <v>270.9386897</v>
      </c>
      <c r="D939" s="36">
        <f>'Lista de Preço 02_2022'!$C939*1.1712</f>
        <v>317.3233933</v>
      </c>
      <c r="E939" s="37">
        <v>3.25</v>
      </c>
      <c r="F939" s="38">
        <v>0.18</v>
      </c>
      <c r="G939" s="38" t="s">
        <v>22</v>
      </c>
      <c r="H939" s="39" t="s">
        <v>23</v>
      </c>
      <c r="I939" s="65" t="s">
        <v>2434</v>
      </c>
      <c r="J939" s="41" t="s">
        <v>1391</v>
      </c>
      <c r="K939" s="42" t="s">
        <v>277</v>
      </c>
      <c r="L939" s="43" t="s">
        <v>2435</v>
      </c>
      <c r="M939" s="44">
        <v>8.708999E7</v>
      </c>
      <c r="N939" s="44" t="s">
        <v>28</v>
      </c>
      <c r="O939" s="45">
        <v>2.912</v>
      </c>
      <c r="P939" s="44">
        <v>7.899823505976E12</v>
      </c>
      <c r="Q939" s="48">
        <v>1.0</v>
      </c>
    </row>
    <row r="940" ht="15.75" customHeight="1">
      <c r="A940" s="35" t="s">
        <v>2436</v>
      </c>
      <c r="B940" s="36">
        <v>172.88033977010292</v>
      </c>
      <c r="C940" s="36">
        <f>'Lista de Preço 02_2022'!$B940*0.9*0.9*0.9*0.9*0.9*0.97</f>
        <v>99.02158848</v>
      </c>
      <c r="D940" s="36">
        <f>'Lista de Preço 02_2022'!$C940*1.1712</f>
        <v>115.9740844</v>
      </c>
      <c r="E940" s="37">
        <v>3.25</v>
      </c>
      <c r="F940" s="38">
        <v>0.18</v>
      </c>
      <c r="G940" s="38" t="s">
        <v>22</v>
      </c>
      <c r="H940" s="39" t="s">
        <v>65</v>
      </c>
      <c r="I940" s="40" t="s">
        <v>2437</v>
      </c>
      <c r="J940" s="41" t="s">
        <v>67</v>
      </c>
      <c r="K940" s="42" t="s">
        <v>73</v>
      </c>
      <c r="L940" s="43" t="s">
        <v>2438</v>
      </c>
      <c r="M940" s="44">
        <v>8.708999E7</v>
      </c>
      <c r="N940" s="44" t="s">
        <v>28</v>
      </c>
      <c r="O940" s="45">
        <v>1.04</v>
      </c>
      <c r="P940" s="44">
        <v>7.899823505136E12</v>
      </c>
      <c r="Q940" s="44">
        <v>1.0</v>
      </c>
    </row>
    <row r="941" ht="15.75" customHeight="1">
      <c r="A941" s="35" t="s">
        <v>2439</v>
      </c>
      <c r="B941" s="36">
        <v>172.88033977010292</v>
      </c>
      <c r="C941" s="36">
        <f>'Lista de Preço 02_2022'!$B941*0.9*0.9*0.9*0.9*0.9*0.97</f>
        <v>99.02158848</v>
      </c>
      <c r="D941" s="36">
        <f>'Lista de Preço 02_2022'!$C941*1.1712</f>
        <v>115.9740844</v>
      </c>
      <c r="E941" s="37">
        <v>3.25</v>
      </c>
      <c r="F941" s="38">
        <v>0.18</v>
      </c>
      <c r="G941" s="38" t="s">
        <v>22</v>
      </c>
      <c r="H941" s="39" t="s">
        <v>65</v>
      </c>
      <c r="I941" s="40" t="s">
        <v>2437</v>
      </c>
      <c r="J941" s="41" t="s">
        <v>67</v>
      </c>
      <c r="K941" s="42" t="s">
        <v>73</v>
      </c>
      <c r="L941" s="43" t="s">
        <v>2440</v>
      </c>
      <c r="M941" s="44">
        <v>8.708999E7</v>
      </c>
      <c r="N941" s="44" t="s">
        <v>28</v>
      </c>
      <c r="O941" s="45">
        <v>1.04</v>
      </c>
      <c r="P941" s="44">
        <v>7.899823505143E12</v>
      </c>
      <c r="Q941" s="44">
        <v>1.0</v>
      </c>
    </row>
    <row r="942" ht="15.75" customHeight="1">
      <c r="A942" s="35" t="s">
        <v>2441</v>
      </c>
      <c r="B942" s="36">
        <v>314.6904290573654</v>
      </c>
      <c r="C942" s="36">
        <f>'Lista de Preço 02_2022'!$B942*0.9*0.9*0.9*0.9*0.9*0.97</f>
        <v>180.2469049</v>
      </c>
      <c r="D942" s="36">
        <f>'Lista de Preço 02_2022'!$C942*1.1712</f>
        <v>211.105175</v>
      </c>
      <c r="E942" s="37">
        <v>3.25</v>
      </c>
      <c r="F942" s="38">
        <v>0.18</v>
      </c>
      <c r="G942" s="38" t="s">
        <v>22</v>
      </c>
      <c r="H942" s="39" t="s">
        <v>2266</v>
      </c>
      <c r="I942" s="40" t="s">
        <v>2442</v>
      </c>
      <c r="J942" s="41" t="s">
        <v>2268</v>
      </c>
      <c r="K942" s="42" t="s">
        <v>73</v>
      </c>
      <c r="L942" s="43" t="s">
        <v>2275</v>
      </c>
      <c r="M942" s="44">
        <v>8.708999E7</v>
      </c>
      <c r="N942" s="44" t="s">
        <v>28</v>
      </c>
      <c r="O942" s="45">
        <v>1.852</v>
      </c>
      <c r="P942" s="44">
        <v>7.899823504467E12</v>
      </c>
      <c r="Q942" s="44">
        <v>1.0</v>
      </c>
    </row>
    <row r="943" ht="15.75" customHeight="1">
      <c r="A943" s="35" t="s">
        <v>2443</v>
      </c>
      <c r="B943" s="36">
        <v>113.66828898566402</v>
      </c>
      <c r="C943" s="36">
        <f>'Lista de Preço 02_2022'!$B943*0.9*0.9*0.9*0.9*0.9*0.97</f>
        <v>65.10638832</v>
      </c>
      <c r="D943" s="36">
        <f>'Lista de Preço 02_2022'!$C943*1.1712</f>
        <v>76.25260201</v>
      </c>
      <c r="E943" s="37">
        <v>3.25</v>
      </c>
      <c r="F943" s="38">
        <v>0.18</v>
      </c>
      <c r="G943" s="38" t="s">
        <v>22</v>
      </c>
      <c r="H943" s="39" t="s">
        <v>23</v>
      </c>
      <c r="I943" s="40" t="s">
        <v>2444</v>
      </c>
      <c r="J943" s="41" t="s">
        <v>25</v>
      </c>
      <c r="K943" s="42" t="s">
        <v>73</v>
      </c>
      <c r="L943" s="43" t="s">
        <v>2445</v>
      </c>
      <c r="M943" s="44">
        <v>8.708999E7</v>
      </c>
      <c r="N943" s="44" t="s">
        <v>28</v>
      </c>
      <c r="O943" s="45">
        <v>1.116</v>
      </c>
      <c r="P943" s="44">
        <v>7.899823504474E12</v>
      </c>
      <c r="Q943" s="44">
        <v>1.0</v>
      </c>
    </row>
    <row r="944" ht="15.75" customHeight="1">
      <c r="A944" s="35" t="s">
        <v>2446</v>
      </c>
      <c r="B944" s="36">
        <v>370.7823772768</v>
      </c>
      <c r="C944" s="36">
        <f>'Lista de Preço 02_2022'!$B944*0.9*0.9*0.9*0.9*0.9*0.97</f>
        <v>212.3749874</v>
      </c>
      <c r="D944" s="36">
        <f>'Lista de Preço 02_2022'!$C944*1.1712</f>
        <v>248.7335852</v>
      </c>
      <c r="E944" s="37">
        <v>3.25</v>
      </c>
      <c r="F944" s="38">
        <v>0.18</v>
      </c>
      <c r="G944" s="38" t="s">
        <v>22</v>
      </c>
      <c r="H944" s="39" t="s">
        <v>23</v>
      </c>
      <c r="I944" s="40" t="s">
        <v>2447</v>
      </c>
      <c r="J944" s="41" t="s">
        <v>25</v>
      </c>
      <c r="K944" s="42" t="s">
        <v>26</v>
      </c>
      <c r="L944" s="43" t="s">
        <v>2448</v>
      </c>
      <c r="M944" s="44">
        <v>8.708999E7</v>
      </c>
      <c r="N944" s="44" t="s">
        <v>28</v>
      </c>
      <c r="O944" s="45">
        <v>2.876</v>
      </c>
      <c r="P944" s="44">
        <v>7.89823343562E12</v>
      </c>
      <c r="Q944" s="44">
        <v>1.0</v>
      </c>
    </row>
    <row r="945" ht="15.75" customHeight="1">
      <c r="A945" s="35" t="s">
        <v>2449</v>
      </c>
      <c r="B945" s="36">
        <v>330.4369315447349</v>
      </c>
      <c r="C945" s="36">
        <f>'Lista de Preço 02_2022'!$B945*0.9*0.9*0.9*0.9*0.9*0.97</f>
        <v>189.2661126</v>
      </c>
      <c r="D945" s="36">
        <f>'Lista de Preço 02_2022'!$C945*1.1712</f>
        <v>221.6684711</v>
      </c>
      <c r="E945" s="37">
        <v>3.25</v>
      </c>
      <c r="F945" s="38">
        <v>0.18</v>
      </c>
      <c r="G945" s="38" t="s">
        <v>22</v>
      </c>
      <c r="H945" s="39" t="s">
        <v>2266</v>
      </c>
      <c r="I945" s="40" t="s">
        <v>2442</v>
      </c>
      <c r="J945" s="41" t="s">
        <v>2268</v>
      </c>
      <c r="K945" s="42" t="s">
        <v>73</v>
      </c>
      <c r="L945" s="43" t="s">
        <v>2450</v>
      </c>
      <c r="M945" s="44">
        <v>8.708999E7</v>
      </c>
      <c r="N945" s="44" t="s">
        <v>28</v>
      </c>
      <c r="O945" s="45">
        <v>2.03</v>
      </c>
      <c r="P945" s="44">
        <v>7.899823505761E12</v>
      </c>
      <c r="Q945" s="44">
        <v>1.0</v>
      </c>
    </row>
    <row r="946" ht="15.75" customHeight="1">
      <c r="A946" s="35" t="s">
        <v>2451</v>
      </c>
      <c r="B946" s="36">
        <v>331.4243218201536</v>
      </c>
      <c r="C946" s="36">
        <f>'Lista de Preço 02_2022'!$B946*0.9*0.9*0.9*0.9*0.9*0.97</f>
        <v>189.8316654</v>
      </c>
      <c r="D946" s="36">
        <f>'Lista de Preço 02_2022'!$C946*1.1712</f>
        <v>222.3308465</v>
      </c>
      <c r="E946" s="37">
        <v>3.25</v>
      </c>
      <c r="F946" s="38">
        <v>0.18</v>
      </c>
      <c r="G946" s="38" t="s">
        <v>22</v>
      </c>
      <c r="H946" s="39" t="s">
        <v>23</v>
      </c>
      <c r="I946" s="40" t="s">
        <v>2452</v>
      </c>
      <c r="J946" s="41" t="s">
        <v>25</v>
      </c>
      <c r="K946" s="42" t="s">
        <v>68</v>
      </c>
      <c r="L946" s="43">
        <v>9.0538939E7</v>
      </c>
      <c r="M946" s="44">
        <v>8.708999E7</v>
      </c>
      <c r="N946" s="44" t="s">
        <v>28</v>
      </c>
      <c r="O946" s="45">
        <v>2.702</v>
      </c>
      <c r="P946" s="44">
        <v>7.898233434159E12</v>
      </c>
      <c r="Q946" s="44">
        <v>1.0</v>
      </c>
    </row>
    <row r="947" ht="15.75" customHeight="1">
      <c r="A947" s="35" t="s">
        <v>2453</v>
      </c>
      <c r="B947" s="36">
        <v>454.8722954285462</v>
      </c>
      <c r="C947" s="36">
        <f>'Lista de Preço 02_2022'!$B947*0.9*0.9*0.9*0.9*0.9*0.97</f>
        <v>260.5396155</v>
      </c>
      <c r="D947" s="36">
        <f>'Lista de Preço 02_2022'!$C947*1.1712</f>
        <v>305.1439976</v>
      </c>
      <c r="E947" s="37">
        <v>3.25</v>
      </c>
      <c r="F947" s="38">
        <v>0.18</v>
      </c>
      <c r="G947" s="38" t="s">
        <v>22</v>
      </c>
      <c r="H947" s="39" t="s">
        <v>23</v>
      </c>
      <c r="I947" s="40" t="s">
        <v>2454</v>
      </c>
      <c r="J947" s="41" t="s">
        <v>500</v>
      </c>
      <c r="K947" s="42" t="s">
        <v>68</v>
      </c>
      <c r="L947" s="43" t="s">
        <v>2455</v>
      </c>
      <c r="M947" s="44">
        <v>8.708999E7</v>
      </c>
      <c r="N947" s="44" t="s">
        <v>28</v>
      </c>
      <c r="O947" s="45">
        <v>4.056</v>
      </c>
      <c r="P947" s="44">
        <v>7.898233434142E12</v>
      </c>
      <c r="Q947" s="44">
        <v>1.0</v>
      </c>
    </row>
    <row r="948" ht="15.75" customHeight="1">
      <c r="A948" s="35" t="s">
        <v>2456</v>
      </c>
      <c r="B948" s="36">
        <v>286.1827406817961</v>
      </c>
      <c r="C948" s="36">
        <f>'Lista de Preço 02_2022'!$B948*0.9*0.9*0.9*0.9*0.9*0.97</f>
        <v>163.9184051</v>
      </c>
      <c r="D948" s="36">
        <f>'Lista de Preço 02_2022'!$C948*1.1712</f>
        <v>191.9812361</v>
      </c>
      <c r="E948" s="37">
        <v>3.25</v>
      </c>
      <c r="F948" s="38">
        <v>0.18</v>
      </c>
      <c r="G948" s="38" t="s">
        <v>22</v>
      </c>
      <c r="H948" s="39" t="s">
        <v>23</v>
      </c>
      <c r="I948" s="40" t="s">
        <v>2457</v>
      </c>
      <c r="J948" s="41" t="s">
        <v>25</v>
      </c>
      <c r="K948" s="42" t="s">
        <v>68</v>
      </c>
      <c r="L948" s="43">
        <v>9.0235435E7</v>
      </c>
      <c r="M948" s="44">
        <v>8.708999E7</v>
      </c>
      <c r="N948" s="44" t="s">
        <v>28</v>
      </c>
      <c r="O948" s="45">
        <v>2.138</v>
      </c>
      <c r="P948" s="44">
        <v>7.898233434135E12</v>
      </c>
      <c r="Q948" s="44">
        <v>1.0</v>
      </c>
    </row>
    <row r="949" ht="15.75" customHeight="1">
      <c r="A949" s="35" t="s">
        <v>2458</v>
      </c>
      <c r="B949" s="36">
        <v>90.67823568132631</v>
      </c>
      <c r="C949" s="36">
        <f>'Lista de Preço 02_2022'!$B949*0.9*0.9*0.9*0.9*0.9*0.97</f>
        <v>51.93825365</v>
      </c>
      <c r="D949" s="36">
        <f>'Lista de Preço 02_2022'!$C949*1.1712</f>
        <v>60.83008267</v>
      </c>
      <c r="E949" s="37">
        <v>3.25</v>
      </c>
      <c r="F949" s="38">
        <v>0.18</v>
      </c>
      <c r="G949" s="38" t="s">
        <v>22</v>
      </c>
      <c r="H949" s="39" t="s">
        <v>23</v>
      </c>
      <c r="I949" s="40" t="s">
        <v>2459</v>
      </c>
      <c r="J949" s="41" t="s">
        <v>25</v>
      </c>
      <c r="K949" s="42" t="s">
        <v>68</v>
      </c>
      <c r="L949" s="43">
        <v>9.0576767E7</v>
      </c>
      <c r="M949" s="44">
        <v>8.708999E7</v>
      </c>
      <c r="N949" s="44" t="s">
        <v>28</v>
      </c>
      <c r="O949" s="45">
        <v>1.434</v>
      </c>
      <c r="P949" s="44">
        <v>7.898233434029E12</v>
      </c>
      <c r="Q949" s="44">
        <v>1.0</v>
      </c>
    </row>
    <row r="950" ht="15.75" customHeight="1">
      <c r="A950" s="35" t="s">
        <v>2460</v>
      </c>
      <c r="B950" s="36">
        <v>392.36776330778554</v>
      </c>
      <c r="C950" s="36">
        <f>'Lista de Preço 02_2022'!$B950*0.9*0.9*0.9*0.9*0.9*0.97</f>
        <v>224.7385633</v>
      </c>
      <c r="D950" s="36">
        <f>'Lista de Preço 02_2022'!$C950*1.1712</f>
        <v>263.2138054</v>
      </c>
      <c r="E950" s="37">
        <v>3.25</v>
      </c>
      <c r="F950" s="38">
        <v>0.18</v>
      </c>
      <c r="G950" s="38" t="s">
        <v>22</v>
      </c>
      <c r="H950" s="39" t="s">
        <v>23</v>
      </c>
      <c r="I950" s="40" t="s">
        <v>2461</v>
      </c>
      <c r="J950" s="41" t="s">
        <v>25</v>
      </c>
      <c r="K950" s="42" t="s">
        <v>68</v>
      </c>
      <c r="L950" s="43">
        <v>9.0575809E7</v>
      </c>
      <c r="M950" s="44">
        <v>8.708999E7</v>
      </c>
      <c r="N950" s="44" t="s">
        <v>28</v>
      </c>
      <c r="O950" s="45">
        <v>3.16</v>
      </c>
      <c r="P950" s="44">
        <v>7.898233434166E12</v>
      </c>
      <c r="Q950" s="44">
        <v>1.0</v>
      </c>
    </row>
    <row r="951" ht="15.75" customHeight="1">
      <c r="A951" s="35" t="s">
        <v>2462</v>
      </c>
      <c r="B951" s="36">
        <v>302.98531930377123</v>
      </c>
      <c r="C951" s="36">
        <f>'Lista de Preço 02_2022'!$B951*0.9*0.9*0.9*0.9*0.9*0.97</f>
        <v>173.5425072</v>
      </c>
      <c r="D951" s="36">
        <f>'Lista de Preço 02_2022'!$C951*1.1712</f>
        <v>203.2529844</v>
      </c>
      <c r="E951" s="37">
        <v>3.25</v>
      </c>
      <c r="F951" s="38">
        <v>0.18</v>
      </c>
      <c r="G951" s="38" t="s">
        <v>22</v>
      </c>
      <c r="H951" s="39" t="s">
        <v>23</v>
      </c>
      <c r="I951" s="40" t="s">
        <v>2463</v>
      </c>
      <c r="J951" s="41" t="s">
        <v>25</v>
      </c>
      <c r="K951" s="42" t="s">
        <v>68</v>
      </c>
      <c r="L951" s="43">
        <v>9.0235571E7</v>
      </c>
      <c r="M951" s="44">
        <v>8.708999E7</v>
      </c>
      <c r="N951" s="44" t="s">
        <v>28</v>
      </c>
      <c r="O951" s="45">
        <v>2.296</v>
      </c>
      <c r="P951" s="44">
        <v>7.898233434173E12</v>
      </c>
      <c r="Q951" s="44">
        <v>1.0</v>
      </c>
    </row>
    <row r="952" ht="15.75" customHeight="1">
      <c r="A952" s="35" t="s">
        <v>2464</v>
      </c>
      <c r="B952" s="36">
        <v>498.57228938752144</v>
      </c>
      <c r="C952" s="36">
        <f>'Lista de Preço 02_2022'!$B952*0.9*0.9*0.9*0.9*0.9*0.97</f>
        <v>285.5698926</v>
      </c>
      <c r="D952" s="36">
        <f>'Lista de Preço 02_2022'!$C952*1.1712</f>
        <v>334.4594582</v>
      </c>
      <c r="E952" s="37">
        <v>3.25</v>
      </c>
      <c r="F952" s="38">
        <v>0.18</v>
      </c>
      <c r="G952" s="38" t="s">
        <v>22</v>
      </c>
      <c r="H952" s="39" t="s">
        <v>23</v>
      </c>
      <c r="I952" s="40" t="s">
        <v>2465</v>
      </c>
      <c r="J952" s="41" t="s">
        <v>500</v>
      </c>
      <c r="K952" s="42" t="s">
        <v>68</v>
      </c>
      <c r="L952" s="43">
        <v>1.2413045E7</v>
      </c>
      <c r="M952" s="44">
        <v>8.708999E7</v>
      </c>
      <c r="N952" s="44" t="s">
        <v>28</v>
      </c>
      <c r="O952" s="45">
        <v>4.2</v>
      </c>
      <c r="P952" s="44">
        <v>7.898233434333E12</v>
      </c>
      <c r="Q952" s="44">
        <v>1.0</v>
      </c>
    </row>
    <row r="953" ht="15.75" customHeight="1">
      <c r="A953" s="35" t="s">
        <v>2466</v>
      </c>
      <c r="B953" s="36">
        <v>470.7263243028866</v>
      </c>
      <c r="C953" s="36">
        <f>'Lista de Preço 02_2022'!$B953*0.9*0.9*0.9*0.9*0.9*0.97</f>
        <v>269.6204116</v>
      </c>
      <c r="D953" s="36">
        <f>'Lista de Preço 02_2022'!$C953*1.1712</f>
        <v>315.7794261</v>
      </c>
      <c r="E953" s="37">
        <v>3.25</v>
      </c>
      <c r="F953" s="38">
        <v>0.18</v>
      </c>
      <c r="G953" s="38" t="s">
        <v>22</v>
      </c>
      <c r="H953" s="39" t="s">
        <v>23</v>
      </c>
      <c r="I953" s="40" t="s">
        <v>2467</v>
      </c>
      <c r="J953" s="41" t="s">
        <v>25</v>
      </c>
      <c r="K953" s="42" t="s">
        <v>68</v>
      </c>
      <c r="L953" s="43">
        <v>1.3123486E7</v>
      </c>
      <c r="M953" s="44">
        <v>8.708999E7</v>
      </c>
      <c r="N953" s="44" t="s">
        <v>28</v>
      </c>
      <c r="O953" s="45">
        <v>2.872</v>
      </c>
      <c r="P953" s="44">
        <v>7.898233434838E12</v>
      </c>
      <c r="Q953" s="44">
        <v>1.0</v>
      </c>
    </row>
    <row r="954" ht="15.75" customHeight="1">
      <c r="A954" s="35" t="s">
        <v>2468</v>
      </c>
      <c r="B954" s="36">
        <v>478.93671831477934</v>
      </c>
      <c r="C954" s="36">
        <f>'Lista de Preço 02_2022'!$B954*0.9*0.9*0.9*0.9*0.9*0.97</f>
        <v>274.3231225</v>
      </c>
      <c r="D954" s="36">
        <f>'Lista de Preço 02_2022'!$C954*1.1712</f>
        <v>321.2872411</v>
      </c>
      <c r="E954" s="37">
        <v>3.25</v>
      </c>
      <c r="F954" s="38">
        <v>0.18</v>
      </c>
      <c r="G954" s="38" t="s">
        <v>22</v>
      </c>
      <c r="H954" s="39" t="s">
        <v>23</v>
      </c>
      <c r="I954" s="40" t="s">
        <v>2469</v>
      </c>
      <c r="J954" s="41" t="s">
        <v>25</v>
      </c>
      <c r="K954" s="42" t="s">
        <v>68</v>
      </c>
      <c r="L954" s="43">
        <v>9.0538941E7</v>
      </c>
      <c r="M954" s="44">
        <v>8.708999E7</v>
      </c>
      <c r="N954" s="44" t="s">
        <v>28</v>
      </c>
      <c r="O954" s="45">
        <v>3.15</v>
      </c>
      <c r="P954" s="44">
        <v>7.898233434845E12</v>
      </c>
      <c r="Q954" s="44">
        <v>1.0</v>
      </c>
    </row>
    <row r="955" ht="15.75" customHeight="1">
      <c r="A955" s="35" t="s">
        <v>2470</v>
      </c>
      <c r="B955" s="36">
        <v>170.04695412210094</v>
      </c>
      <c r="C955" s="36">
        <f>'Lista de Preço 02_2022'!$B955*0.9*0.9*0.9*0.9*0.9*0.97</f>
        <v>97.39869516</v>
      </c>
      <c r="D955" s="36">
        <f>'Lista de Preço 02_2022'!$C955*1.1627</f>
        <v>113.2454629</v>
      </c>
      <c r="E955" s="37">
        <v>2.6</v>
      </c>
      <c r="F955" s="38">
        <v>0.18</v>
      </c>
      <c r="G955" s="38" t="s">
        <v>22</v>
      </c>
      <c r="H955" s="39" t="s">
        <v>38</v>
      </c>
      <c r="I955" s="40" t="s">
        <v>2471</v>
      </c>
      <c r="J955" s="41" t="s">
        <v>2209</v>
      </c>
      <c r="K955" s="42" t="s">
        <v>68</v>
      </c>
      <c r="L955" s="43">
        <v>9.3361186E7</v>
      </c>
      <c r="M955" s="44">
        <v>8.70893E7</v>
      </c>
      <c r="N955" s="44" t="s">
        <v>28</v>
      </c>
      <c r="O955" s="45">
        <v>1.22</v>
      </c>
      <c r="P955" s="44">
        <v>7.898233434876E12</v>
      </c>
      <c r="Q955" s="44">
        <v>1.0</v>
      </c>
    </row>
    <row r="956" ht="15.75" customHeight="1">
      <c r="A956" s="35" t="s">
        <v>2472</v>
      </c>
      <c r="B956" s="36">
        <v>387.83262191549557</v>
      </c>
      <c r="C956" s="36">
        <f>'Lista de Preço 02_2022'!$B956*0.9*0.9*0.9*0.9*0.9*0.97</f>
        <v>222.1409464</v>
      </c>
      <c r="D956" s="36">
        <f>'Lista de Preço 02_2022'!$C956*1.1712</f>
        <v>260.1714764</v>
      </c>
      <c r="E956" s="37">
        <v>3.25</v>
      </c>
      <c r="F956" s="38">
        <v>0.18</v>
      </c>
      <c r="G956" s="38" t="s">
        <v>22</v>
      </c>
      <c r="H956" s="39" t="s">
        <v>23</v>
      </c>
      <c r="I956" s="40" t="s">
        <v>2473</v>
      </c>
      <c r="J956" s="41" t="s">
        <v>25</v>
      </c>
      <c r="K956" s="42" t="s">
        <v>68</v>
      </c>
      <c r="L956" s="43">
        <v>9156306.0</v>
      </c>
      <c r="M956" s="44">
        <v>8.708999E7</v>
      </c>
      <c r="N956" s="44" t="s">
        <v>28</v>
      </c>
      <c r="O956" s="45">
        <v>3.534</v>
      </c>
      <c r="P956" s="44">
        <v>7.898233434821E12</v>
      </c>
      <c r="Q956" s="44">
        <v>1.0</v>
      </c>
    </row>
    <row r="957" ht="15.75" customHeight="1">
      <c r="A957" s="35" t="s">
        <v>2474</v>
      </c>
      <c r="B957" s="36">
        <v>105.8085985562359</v>
      </c>
      <c r="C957" s="36">
        <f>'Lista de Preço 02_2022'!$B957*0.9*0.9*0.9*0.9*0.9*0.97</f>
        <v>60.60455178</v>
      </c>
      <c r="D957" s="36">
        <f>'Lista de Preço 02_2022'!$C957*1.1712</f>
        <v>70.98005105</v>
      </c>
      <c r="E957" s="37">
        <v>3.25</v>
      </c>
      <c r="F957" s="38">
        <v>0.18</v>
      </c>
      <c r="G957" s="38" t="s">
        <v>22</v>
      </c>
      <c r="H957" s="39" t="s">
        <v>65</v>
      </c>
      <c r="I957" s="40" t="s">
        <v>2475</v>
      </c>
      <c r="J957" s="41" t="s">
        <v>67</v>
      </c>
      <c r="K957" s="42" t="s">
        <v>68</v>
      </c>
      <c r="L957" s="43">
        <v>9.3303028E7</v>
      </c>
      <c r="M957" s="44">
        <v>8.708999E7</v>
      </c>
      <c r="N957" s="44" t="s">
        <v>28</v>
      </c>
      <c r="O957" s="45">
        <v>0.832</v>
      </c>
      <c r="P957" s="44">
        <v>7.898233435118E12</v>
      </c>
      <c r="Q957" s="44">
        <v>1.0</v>
      </c>
    </row>
    <row r="958" ht="15.75" customHeight="1">
      <c r="A958" s="35" t="s">
        <v>2476</v>
      </c>
      <c r="B958" s="36">
        <v>177.45753079887842</v>
      </c>
      <c r="C958" s="36">
        <f>'Lista de Preço 02_2022'!$B958*0.9*0.9*0.9*0.9*0.9*0.97</f>
        <v>101.6432904</v>
      </c>
      <c r="D958" s="36">
        <f>'Lista de Preço 02_2022'!$C958*1.1712</f>
        <v>119.0446218</v>
      </c>
      <c r="E958" s="37">
        <v>3.25</v>
      </c>
      <c r="F958" s="38">
        <v>0.18</v>
      </c>
      <c r="G958" s="38" t="s">
        <v>22</v>
      </c>
      <c r="H958" s="39" t="s">
        <v>43</v>
      </c>
      <c r="I958" s="40" t="s">
        <v>2477</v>
      </c>
      <c r="J958" s="41" t="s">
        <v>45</v>
      </c>
      <c r="K958" s="42" t="s">
        <v>157</v>
      </c>
      <c r="L958" s="43" t="s">
        <v>2478</v>
      </c>
      <c r="M958" s="44">
        <v>8.708999E7</v>
      </c>
      <c r="N958" s="44" t="s">
        <v>28</v>
      </c>
      <c r="O958" s="45">
        <v>0.328</v>
      </c>
      <c r="P958" s="44">
        <v>7.898233439475E12</v>
      </c>
      <c r="Q958" s="44">
        <v>1.0</v>
      </c>
    </row>
    <row r="959" ht="15.75" customHeight="1">
      <c r="A959" s="35" t="s">
        <v>2479</v>
      </c>
      <c r="B959" s="36">
        <v>119.45</v>
      </c>
      <c r="C959" s="36">
        <f>'Lista de Preço 02_2022'!$B959*0.9*0.9*0.9*0.9*0.9*0.97</f>
        <v>68.41800959</v>
      </c>
      <c r="D959" s="36">
        <f>'Lista de Preço 02_2022'!$C959*1.1712</f>
        <v>80.13117283</v>
      </c>
      <c r="E959" s="37">
        <v>3.25</v>
      </c>
      <c r="F959" s="38">
        <v>0.18</v>
      </c>
      <c r="G959" s="38" t="s">
        <v>22</v>
      </c>
      <c r="H959" s="39" t="s">
        <v>525</v>
      </c>
      <c r="I959" s="40" t="s">
        <v>2480</v>
      </c>
      <c r="J959" s="41" t="s">
        <v>527</v>
      </c>
      <c r="K959" s="42" t="s">
        <v>68</v>
      </c>
      <c r="L959" s="43">
        <v>9.325884E7</v>
      </c>
      <c r="M959" s="44">
        <v>8.708999E7</v>
      </c>
      <c r="N959" s="44" t="s">
        <v>28</v>
      </c>
      <c r="O959" s="45">
        <v>1.316</v>
      </c>
      <c r="P959" s="44">
        <v>7.898233435712E12</v>
      </c>
      <c r="Q959" s="44">
        <v>1.0</v>
      </c>
    </row>
    <row r="960" ht="15.75" customHeight="1">
      <c r="A960" s="35" t="s">
        <v>2481</v>
      </c>
      <c r="B960" s="36">
        <v>119.45044041888052</v>
      </c>
      <c r="C960" s="36">
        <f>'Lista de Preço 02_2022'!$B960*0.9*0.9*0.9*0.9*0.9*0.97</f>
        <v>68.41826185</v>
      </c>
      <c r="D960" s="36">
        <f>'Lista de Preço 02_2022'!$C960*1.1712</f>
        <v>80.13146827</v>
      </c>
      <c r="E960" s="37">
        <v>3.25</v>
      </c>
      <c r="F960" s="38">
        <v>0.18</v>
      </c>
      <c r="G960" s="38" t="s">
        <v>22</v>
      </c>
      <c r="H960" s="39" t="s">
        <v>525</v>
      </c>
      <c r="I960" s="40" t="s">
        <v>2480</v>
      </c>
      <c r="J960" s="41" t="s">
        <v>527</v>
      </c>
      <c r="K960" s="42" t="s">
        <v>68</v>
      </c>
      <c r="L960" s="43">
        <v>9.3258841E7</v>
      </c>
      <c r="M960" s="44">
        <v>8.708999E7</v>
      </c>
      <c r="N960" s="44" t="s">
        <v>28</v>
      </c>
      <c r="O960" s="45">
        <v>1.318</v>
      </c>
      <c r="P960" s="44">
        <v>7.898233435729E12</v>
      </c>
      <c r="Q960" s="44">
        <v>1.0</v>
      </c>
    </row>
    <row r="961" ht="15.75" customHeight="1">
      <c r="A961" s="35" t="s">
        <v>2482</v>
      </c>
      <c r="B961" s="36">
        <v>141.52104740369055</v>
      </c>
      <c r="C961" s="36">
        <f>'Lista de Preço 02_2022'!$B961*0.9*0.9*0.9*0.9*0.9*0.97</f>
        <v>81.05976038</v>
      </c>
      <c r="D961" s="36">
        <f>'Lista de Preço 02_2022'!$C961*1.1712</f>
        <v>94.93719136</v>
      </c>
      <c r="E961" s="37">
        <v>3.25</v>
      </c>
      <c r="F961" s="38">
        <v>0.18</v>
      </c>
      <c r="G961" s="38" t="s">
        <v>22</v>
      </c>
      <c r="H961" s="39" t="s">
        <v>525</v>
      </c>
      <c r="I961" s="40" t="s">
        <v>2483</v>
      </c>
      <c r="J961" s="41" t="s">
        <v>527</v>
      </c>
      <c r="K961" s="42" t="s">
        <v>68</v>
      </c>
      <c r="L961" s="43">
        <v>9.3300119E7</v>
      </c>
      <c r="M961" s="44">
        <v>8.708999E7</v>
      </c>
      <c r="N961" s="44" t="s">
        <v>28</v>
      </c>
      <c r="O961" s="45">
        <v>1.89</v>
      </c>
      <c r="P961" s="44">
        <v>7.898233435736E12</v>
      </c>
      <c r="Q961" s="44">
        <v>1.0</v>
      </c>
    </row>
    <row r="962" ht="15.75" customHeight="1">
      <c r="A962" s="35" t="s">
        <v>2484</v>
      </c>
      <c r="B962" s="36">
        <v>141.52104740369055</v>
      </c>
      <c r="C962" s="36">
        <f>'Lista de Preço 02_2022'!$B962*0.9*0.9*0.9*0.9*0.9*0.97</f>
        <v>81.05976038</v>
      </c>
      <c r="D962" s="36">
        <f>'Lista de Preço 02_2022'!$C962*1.1712</f>
        <v>94.93719136</v>
      </c>
      <c r="E962" s="37">
        <v>3.25</v>
      </c>
      <c r="F962" s="38">
        <v>0.18</v>
      </c>
      <c r="G962" s="38" t="s">
        <v>22</v>
      </c>
      <c r="H962" s="39" t="s">
        <v>525</v>
      </c>
      <c r="I962" s="40" t="s">
        <v>2483</v>
      </c>
      <c r="J962" s="41" t="s">
        <v>527</v>
      </c>
      <c r="K962" s="42" t="s">
        <v>68</v>
      </c>
      <c r="L962" s="43">
        <v>9.330012E7</v>
      </c>
      <c r="M962" s="44">
        <v>8.708999E7</v>
      </c>
      <c r="N962" s="44" t="s">
        <v>28</v>
      </c>
      <c r="O962" s="45">
        <v>1.89</v>
      </c>
      <c r="P962" s="44">
        <v>7.898233435743E12</v>
      </c>
      <c r="Q962" s="44">
        <v>1.0</v>
      </c>
    </row>
    <row r="963" ht="15.75" customHeight="1">
      <c r="A963" s="35" t="s">
        <v>2485</v>
      </c>
      <c r="B963" s="36">
        <v>589.9288863995</v>
      </c>
      <c r="C963" s="36">
        <f>'Lista de Preço 02_2022'!$B963*0.9*0.9*0.9*0.9*0.9*0.97</f>
        <v>337.8966949</v>
      </c>
      <c r="D963" s="36">
        <f>'Lista de Preço 02_2022'!$C963*1.1712</f>
        <v>395.7446091</v>
      </c>
      <c r="E963" s="37">
        <v>3.25</v>
      </c>
      <c r="F963" s="38">
        <v>0.18</v>
      </c>
      <c r="G963" s="38" t="s">
        <v>22</v>
      </c>
      <c r="H963" s="39" t="s">
        <v>23</v>
      </c>
      <c r="I963" s="40" t="s">
        <v>2486</v>
      </c>
      <c r="J963" s="41" t="s">
        <v>1391</v>
      </c>
      <c r="K963" s="42" t="s">
        <v>68</v>
      </c>
      <c r="L963" s="43">
        <v>1.9206599E7</v>
      </c>
      <c r="M963" s="44">
        <v>8.708999E7</v>
      </c>
      <c r="N963" s="44" t="s">
        <v>28</v>
      </c>
      <c r="O963" s="45">
        <v>4.3</v>
      </c>
      <c r="P963" s="44">
        <v>7.89823343786E12</v>
      </c>
      <c r="Q963" s="44">
        <v>1.0</v>
      </c>
    </row>
    <row r="964" ht="15.75" customHeight="1">
      <c r="A964" s="35" t="s">
        <v>2487</v>
      </c>
      <c r="B964" s="36">
        <v>515.7193752206497</v>
      </c>
      <c r="C964" s="36">
        <f>'Lista de Preço 02_2022'!$B964*0.9*0.9*0.9*0.9*0.9*0.97</f>
        <v>295.3913199</v>
      </c>
      <c r="D964" s="36">
        <f>'Lista de Preço 02_2022'!$C964*1.1712</f>
        <v>345.9623138</v>
      </c>
      <c r="E964" s="37">
        <v>3.25</v>
      </c>
      <c r="F964" s="38">
        <v>0.18</v>
      </c>
      <c r="G964" s="38" t="s">
        <v>22</v>
      </c>
      <c r="H964" s="39" t="s">
        <v>23</v>
      </c>
      <c r="I964" s="40" t="s">
        <v>2488</v>
      </c>
      <c r="J964" s="41" t="s">
        <v>1391</v>
      </c>
      <c r="K964" s="42" t="s">
        <v>68</v>
      </c>
      <c r="L964" s="43">
        <v>1.92066E7</v>
      </c>
      <c r="M964" s="44">
        <v>8.708999E7</v>
      </c>
      <c r="N964" s="44" t="s">
        <v>28</v>
      </c>
      <c r="O964" s="45">
        <v>4.36</v>
      </c>
      <c r="P964" s="44">
        <v>7.898233437877E12</v>
      </c>
      <c r="Q964" s="44">
        <v>1.0</v>
      </c>
    </row>
    <row r="965" ht="15.75" customHeight="1">
      <c r="A965" s="35" t="s">
        <v>2489</v>
      </c>
      <c r="B965" s="36">
        <v>188.10776702229438</v>
      </c>
      <c r="C965" s="36">
        <f>'Lista de Preço 02_2022'!$B965*0.9*0.9*0.9*0.9*0.9*0.97</f>
        <v>107.7434827</v>
      </c>
      <c r="D965" s="36">
        <f>'Lista de Preço 02_2022'!$C965*1.1712</f>
        <v>126.1891669</v>
      </c>
      <c r="E965" s="37">
        <v>3.25</v>
      </c>
      <c r="F965" s="38">
        <v>0.18</v>
      </c>
      <c r="G965" s="38" t="s">
        <v>22</v>
      </c>
      <c r="H965" s="39" t="s">
        <v>43</v>
      </c>
      <c r="I965" s="40" t="s">
        <v>2490</v>
      </c>
      <c r="J965" s="41" t="s">
        <v>45</v>
      </c>
      <c r="K965" s="42" t="s">
        <v>26</v>
      </c>
      <c r="L965" s="43" t="s">
        <v>2491</v>
      </c>
      <c r="M965" s="44">
        <v>8.708999E7</v>
      </c>
      <c r="N965" s="44" t="s">
        <v>28</v>
      </c>
      <c r="O965" s="45">
        <v>0.578</v>
      </c>
      <c r="P965" s="44">
        <v>7.898233437655E12</v>
      </c>
      <c r="Q965" s="44">
        <v>1.0</v>
      </c>
    </row>
    <row r="966" ht="15.75" customHeight="1">
      <c r="A966" s="35" t="s">
        <v>2492</v>
      </c>
      <c r="B966" s="36">
        <v>166.38190387663323</v>
      </c>
      <c r="C966" s="36">
        <f>'Lista de Preço 02_2022'!$B966*0.9*0.9*0.9*0.9*0.9*0.97</f>
        <v>95.29944491</v>
      </c>
      <c r="D966" s="36">
        <f>'Lista de Preço 02_2022'!$C966*1.1712</f>
        <v>111.6147099</v>
      </c>
      <c r="E966" s="37">
        <v>3.25</v>
      </c>
      <c r="F966" s="38">
        <v>0.18</v>
      </c>
      <c r="G966" s="38" t="s">
        <v>22</v>
      </c>
      <c r="H966" s="39" t="s">
        <v>43</v>
      </c>
      <c r="I966" s="40" t="s">
        <v>2493</v>
      </c>
      <c r="J966" s="41" t="s">
        <v>2074</v>
      </c>
      <c r="K966" s="42" t="s">
        <v>68</v>
      </c>
      <c r="L966" s="43" t="s">
        <v>722</v>
      </c>
      <c r="M966" s="44">
        <v>8.708999E7</v>
      </c>
      <c r="N966" s="44" t="s">
        <v>28</v>
      </c>
      <c r="O966" s="45">
        <v>0.56</v>
      </c>
      <c r="P966" s="44">
        <v>7.898233436856E12</v>
      </c>
      <c r="Q966" s="44">
        <v>1.0</v>
      </c>
    </row>
    <row r="967" ht="15.75" customHeight="1">
      <c r="A967" s="35" t="s">
        <v>2494</v>
      </c>
      <c r="B967" s="36">
        <v>88.81349549226968</v>
      </c>
      <c r="C967" s="36">
        <f>'Lista de Preço 02_2022'!$B967*0.9*0.9*0.9*0.9*0.9*0.97</f>
        <v>50.87017652</v>
      </c>
      <c r="D967" s="36">
        <f>'Lista de Preço 02_2022'!$C967*1.1712</f>
        <v>59.57915075</v>
      </c>
      <c r="E967" s="37">
        <v>3.25</v>
      </c>
      <c r="F967" s="38">
        <v>0.18</v>
      </c>
      <c r="G967" s="38" t="s">
        <v>22</v>
      </c>
      <c r="H967" s="39" t="s">
        <v>65</v>
      </c>
      <c r="I967" s="40" t="s">
        <v>2495</v>
      </c>
      <c r="J967" s="41" t="s">
        <v>67</v>
      </c>
      <c r="K967" s="42" t="s">
        <v>73</v>
      </c>
      <c r="L967" s="43" t="s">
        <v>2496</v>
      </c>
      <c r="M967" s="44">
        <v>8.708999E7</v>
      </c>
      <c r="N967" s="44" t="s">
        <v>28</v>
      </c>
      <c r="O967" s="45">
        <v>0.918</v>
      </c>
      <c r="P967" s="44">
        <v>7.898233437761E12</v>
      </c>
      <c r="Q967" s="44">
        <v>1.0</v>
      </c>
    </row>
    <row r="968" ht="15.75" customHeight="1">
      <c r="A968" s="35" t="s">
        <v>2497</v>
      </c>
      <c r="B968" s="36">
        <v>79.36400830537632</v>
      </c>
      <c r="C968" s="36">
        <f>'Lista de Preço 02_2022'!$B968*0.9*0.9*0.9*0.9*0.9*0.97</f>
        <v>45.45774367</v>
      </c>
      <c r="D968" s="36">
        <f>'Lista de Preço 02_2022'!$C968*1.1712</f>
        <v>53.24010938</v>
      </c>
      <c r="E968" s="37">
        <v>3.25</v>
      </c>
      <c r="F968" s="38">
        <v>0.18</v>
      </c>
      <c r="G968" s="38" t="s">
        <v>22</v>
      </c>
      <c r="H968" s="39" t="s">
        <v>65</v>
      </c>
      <c r="I968" s="40" t="s">
        <v>2498</v>
      </c>
      <c r="J968" s="41" t="s">
        <v>67</v>
      </c>
      <c r="K968" s="42" t="s">
        <v>73</v>
      </c>
      <c r="L968" s="43" t="s">
        <v>2499</v>
      </c>
      <c r="M968" s="44">
        <v>8.708999E7</v>
      </c>
      <c r="N968" s="44" t="s">
        <v>28</v>
      </c>
      <c r="O968" s="45">
        <v>0.806</v>
      </c>
      <c r="P968" s="44">
        <v>7.898233437792E12</v>
      </c>
      <c r="Q968" s="44">
        <v>1.0</v>
      </c>
    </row>
    <row r="969" ht="15.75" customHeight="1">
      <c r="A969" s="35" t="s">
        <v>2500</v>
      </c>
      <c r="B969" s="36">
        <v>392.15737145983314</v>
      </c>
      <c r="C969" s="36">
        <f>'Lista de Preço 02_2022'!$B969*0.9*0.9*0.9*0.9*0.9*0.97</f>
        <v>224.6180561</v>
      </c>
      <c r="D969" s="36">
        <f>'Lista de Preço 02_2022'!$C969*1.1712</f>
        <v>263.0726673</v>
      </c>
      <c r="E969" s="37">
        <v>3.25</v>
      </c>
      <c r="F969" s="38">
        <v>0.18</v>
      </c>
      <c r="G969" s="38" t="s">
        <v>22</v>
      </c>
      <c r="H969" s="39" t="s">
        <v>23</v>
      </c>
      <c r="I969" s="40" t="s">
        <v>2501</v>
      </c>
      <c r="J969" s="41" t="s">
        <v>25</v>
      </c>
      <c r="K969" s="42" t="s">
        <v>68</v>
      </c>
      <c r="L969" s="43">
        <v>9.2115771E7</v>
      </c>
      <c r="M969" s="44">
        <v>8.708999E7</v>
      </c>
      <c r="N969" s="44" t="s">
        <v>28</v>
      </c>
      <c r="O969" s="45">
        <v>4.056</v>
      </c>
      <c r="P969" s="44">
        <v>7.898233438751E12</v>
      </c>
      <c r="Q969" s="44">
        <v>1.0</v>
      </c>
    </row>
    <row r="970" ht="15.75" customHeight="1">
      <c r="A970" s="35" t="s">
        <v>2502</v>
      </c>
      <c r="B970" s="36">
        <v>770.7021400102377</v>
      </c>
      <c r="C970" s="36">
        <f>'Lista de Preço 02_2022'!$B970*0.9*0.9*0.9*0.9*0.9*0.97</f>
        <v>441.4391495</v>
      </c>
      <c r="D970" s="36">
        <f>'Lista de Preço 02_2022'!$C970*1.1712</f>
        <v>517.0135318</v>
      </c>
      <c r="E970" s="37">
        <v>3.25</v>
      </c>
      <c r="F970" s="38">
        <v>0.18</v>
      </c>
      <c r="G970" s="38" t="s">
        <v>22</v>
      </c>
      <c r="H970" s="39" t="s">
        <v>23</v>
      </c>
      <c r="I970" s="40" t="s">
        <v>2503</v>
      </c>
      <c r="J970" s="41" t="s">
        <v>500</v>
      </c>
      <c r="K970" s="42" t="s">
        <v>86</v>
      </c>
      <c r="L970" s="43" t="s">
        <v>1620</v>
      </c>
      <c r="M970" s="44">
        <v>8.708999E7</v>
      </c>
      <c r="N970" s="44" t="s">
        <v>28</v>
      </c>
      <c r="O970" s="45">
        <v>5.9</v>
      </c>
      <c r="P970" s="44">
        <v>7.899823505419E12</v>
      </c>
      <c r="Q970" s="44">
        <v>1.0</v>
      </c>
    </row>
    <row r="971" ht="15.75" customHeight="1">
      <c r="A971" s="35" t="s">
        <v>2504</v>
      </c>
      <c r="B971" s="36">
        <v>693.1408122632639</v>
      </c>
      <c r="C971" s="36">
        <f>'Lista de Preço 02_2022'!$B971*0.9*0.9*0.9*0.9*0.9*0.97</f>
        <v>397.0139367</v>
      </c>
      <c r="D971" s="36">
        <f>'Lista de Preço 02_2022'!$C971*1.1712</f>
        <v>464.9827226</v>
      </c>
      <c r="E971" s="37">
        <v>3.25</v>
      </c>
      <c r="F971" s="38">
        <v>0.18</v>
      </c>
      <c r="G971" s="38" t="s">
        <v>22</v>
      </c>
      <c r="H971" s="39" t="s">
        <v>23</v>
      </c>
      <c r="I971" s="40" t="s">
        <v>2505</v>
      </c>
      <c r="J971" s="41" t="s">
        <v>500</v>
      </c>
      <c r="K971" s="42" t="s">
        <v>86</v>
      </c>
      <c r="L971" s="43" t="s">
        <v>1620</v>
      </c>
      <c r="M971" s="44">
        <v>8.708999E7</v>
      </c>
      <c r="N971" s="44" t="s">
        <v>28</v>
      </c>
      <c r="O971" s="45">
        <v>6.22</v>
      </c>
      <c r="P971" s="44">
        <v>7.899823505662E12</v>
      </c>
      <c r="Q971" s="44">
        <v>1.0</v>
      </c>
    </row>
    <row r="972" ht="15.75" customHeight="1">
      <c r="A972" s="35" t="s">
        <v>2506</v>
      </c>
      <c r="B972" s="36">
        <v>583.966812288639</v>
      </c>
      <c r="C972" s="36">
        <f>'Lista de Preço 02_2022'!$B972*0.9*0.9*0.9*0.9*0.9*0.97</f>
        <v>334.4817661</v>
      </c>
      <c r="D972" s="36">
        <f>'Lista de Preço 02_2022'!$C972*1.1712</f>
        <v>391.7450445</v>
      </c>
      <c r="E972" s="37">
        <v>3.25</v>
      </c>
      <c r="F972" s="38">
        <v>0.18</v>
      </c>
      <c r="G972" s="38" t="s">
        <v>22</v>
      </c>
      <c r="H972" s="39" t="s">
        <v>23</v>
      </c>
      <c r="I972" s="40" t="s">
        <v>2507</v>
      </c>
      <c r="J972" s="41" t="s">
        <v>1391</v>
      </c>
      <c r="K972" s="42" t="s">
        <v>2508</v>
      </c>
      <c r="L972" s="43" t="s">
        <v>2509</v>
      </c>
      <c r="M972" s="44">
        <v>8.708999E7</v>
      </c>
      <c r="N972" s="44" t="s">
        <v>28</v>
      </c>
      <c r="O972" s="45">
        <v>2.05</v>
      </c>
      <c r="P972" s="44">
        <v>7.899823505747E12</v>
      </c>
      <c r="Q972" s="44">
        <v>1.0</v>
      </c>
    </row>
    <row r="973" ht="15.75" customHeight="1">
      <c r="A973" s="35" t="s">
        <v>2510</v>
      </c>
      <c r="B973" s="36">
        <v>560.6015191709444</v>
      </c>
      <c r="C973" s="36">
        <f>'Lista de Preço 02_2022'!$B973*0.9*0.9*0.9*0.9*0.9*0.97</f>
        <v>321.0987033</v>
      </c>
      <c r="D973" s="36">
        <f>'Lista de Preço 02_2022'!$C973*1.1712</f>
        <v>376.0708013</v>
      </c>
      <c r="E973" s="37">
        <v>3.25</v>
      </c>
      <c r="F973" s="38">
        <v>0.18</v>
      </c>
      <c r="G973" s="38" t="s">
        <v>22</v>
      </c>
      <c r="H973" s="39" t="s">
        <v>23</v>
      </c>
      <c r="I973" s="40" t="s">
        <v>2507</v>
      </c>
      <c r="J973" s="41" t="s">
        <v>1391</v>
      </c>
      <c r="K973" s="42" t="s">
        <v>2508</v>
      </c>
      <c r="L973" s="43" t="s">
        <v>2511</v>
      </c>
      <c r="M973" s="44">
        <v>8.708999E7</v>
      </c>
      <c r="N973" s="44" t="s">
        <v>28</v>
      </c>
      <c r="O973" s="45">
        <v>1.892</v>
      </c>
      <c r="P973" s="44">
        <v>7.899823505754E12</v>
      </c>
      <c r="Q973" s="44">
        <v>1.0</v>
      </c>
    </row>
    <row r="974" ht="15.75" customHeight="1">
      <c r="A974" s="35" t="s">
        <v>2512</v>
      </c>
      <c r="B974" s="36">
        <v>238.47291630219604</v>
      </c>
      <c r="C974" s="36">
        <f>'Lista de Preço 02_2022'!$B974*0.9*0.9*0.9*0.9*0.9*0.97</f>
        <v>136.5913962</v>
      </c>
      <c r="D974" s="36">
        <f>'Lista de Preço 02_2022'!$C974*1.1712</f>
        <v>159.9758432</v>
      </c>
      <c r="E974" s="37">
        <v>3.25</v>
      </c>
      <c r="F974" s="38">
        <v>0.18</v>
      </c>
      <c r="G974" s="38" t="s">
        <v>22</v>
      </c>
      <c r="H974" s="39" t="s">
        <v>65</v>
      </c>
      <c r="I974" s="40" t="s">
        <v>2513</v>
      </c>
      <c r="J974" s="41" t="s">
        <v>1357</v>
      </c>
      <c r="K974" s="42" t="s">
        <v>86</v>
      </c>
      <c r="L974" s="43" t="s">
        <v>2514</v>
      </c>
      <c r="M974" s="44">
        <v>8.708999E7</v>
      </c>
      <c r="N974" s="44" t="s">
        <v>28</v>
      </c>
      <c r="O974" s="45">
        <v>1.922</v>
      </c>
      <c r="P974" s="44">
        <v>7.898233439062E12</v>
      </c>
      <c r="Q974" s="44">
        <v>1.0</v>
      </c>
    </row>
    <row r="975" ht="15.75" customHeight="1">
      <c r="A975" s="35" t="s">
        <v>2515</v>
      </c>
      <c r="B975" s="36">
        <v>109.19005801312613</v>
      </c>
      <c r="C975" s="36">
        <f>'Lista de Preço 02_2022'!$B975*0.9*0.9*0.9*0.9*0.9*0.97</f>
        <v>62.54136824</v>
      </c>
      <c r="D975" s="36">
        <f>'Lista de Preço 02_2022'!$C975*1.1712</f>
        <v>73.24845048</v>
      </c>
      <c r="E975" s="37">
        <v>3.25</v>
      </c>
      <c r="F975" s="38">
        <v>0.18</v>
      </c>
      <c r="G975" s="38" t="s">
        <v>22</v>
      </c>
      <c r="H975" s="39" t="s">
        <v>43</v>
      </c>
      <c r="I975" s="40" t="s">
        <v>2516</v>
      </c>
      <c r="J975" s="41" t="s">
        <v>45</v>
      </c>
      <c r="K975" s="42" t="s">
        <v>26</v>
      </c>
      <c r="L975" s="43" t="s">
        <v>2517</v>
      </c>
      <c r="M975" s="44">
        <v>8.708999E7</v>
      </c>
      <c r="N975" s="44" t="s">
        <v>28</v>
      </c>
      <c r="O975" s="45">
        <v>0.428</v>
      </c>
      <c r="P975" s="44">
        <v>7.898233435941E12</v>
      </c>
      <c r="Q975" s="44">
        <v>1.0</v>
      </c>
    </row>
    <row r="976" ht="15.75" customHeight="1">
      <c r="A976" s="35" t="s">
        <v>2518</v>
      </c>
      <c r="B976" s="36">
        <v>152.51674522024715</v>
      </c>
      <c r="C976" s="36">
        <f>'Lista de Preço 02_2022'!$B976*0.9*0.9*0.9*0.9*0.9*0.97</f>
        <v>87.3578245</v>
      </c>
      <c r="D976" s="36">
        <f>'Lista de Preço 02_2022'!$C976*1.1712</f>
        <v>102.3134841</v>
      </c>
      <c r="E976" s="37">
        <v>3.25</v>
      </c>
      <c r="F976" s="38">
        <v>0.18</v>
      </c>
      <c r="G976" s="38" t="s">
        <v>22</v>
      </c>
      <c r="H976" s="39" t="s">
        <v>43</v>
      </c>
      <c r="I976" s="40" t="s">
        <v>2519</v>
      </c>
      <c r="J976" s="41" t="s">
        <v>2074</v>
      </c>
      <c r="K976" s="42" t="s">
        <v>86</v>
      </c>
      <c r="L976" s="43" t="s">
        <v>2520</v>
      </c>
      <c r="M976" s="44">
        <v>8.708999E7</v>
      </c>
      <c r="N976" s="44" t="s">
        <v>28</v>
      </c>
      <c r="O976" s="45">
        <v>0.718</v>
      </c>
      <c r="P976" s="44">
        <v>7.898233437723E12</v>
      </c>
      <c r="Q976" s="44">
        <v>1.0</v>
      </c>
    </row>
    <row r="977" ht="15.75" customHeight="1">
      <c r="A977" s="35" t="s">
        <v>2521</v>
      </c>
      <c r="B977" s="36">
        <v>152.51674522024715</v>
      </c>
      <c r="C977" s="36">
        <f>'Lista de Preço 02_2022'!$B977*0.9*0.9*0.9*0.9*0.9*0.97</f>
        <v>87.3578245</v>
      </c>
      <c r="D977" s="36">
        <f>'Lista de Preço 02_2022'!$C977*1.1712</f>
        <v>102.3134841</v>
      </c>
      <c r="E977" s="37">
        <v>3.25</v>
      </c>
      <c r="F977" s="38">
        <v>0.18</v>
      </c>
      <c r="G977" s="38" t="s">
        <v>22</v>
      </c>
      <c r="H977" s="39" t="s">
        <v>43</v>
      </c>
      <c r="I977" s="40" t="s">
        <v>290</v>
      </c>
      <c r="J977" s="41" t="s">
        <v>2074</v>
      </c>
      <c r="K977" s="42" t="s">
        <v>86</v>
      </c>
      <c r="L977" s="43" t="s">
        <v>2522</v>
      </c>
      <c r="M977" s="44">
        <v>8.708999E7</v>
      </c>
      <c r="N977" s="44" t="s">
        <v>28</v>
      </c>
      <c r="O977" s="45">
        <v>0.676</v>
      </c>
      <c r="P977" s="44">
        <v>7.898233437808E12</v>
      </c>
      <c r="Q977" s="44">
        <v>1.0</v>
      </c>
    </row>
    <row r="978" ht="15.75" customHeight="1">
      <c r="A978" s="35" t="s">
        <v>2523</v>
      </c>
      <c r="B978" s="36">
        <v>169.4614747236123</v>
      </c>
      <c r="C978" s="36">
        <f>'Lista de Preço 02_2022'!$B978*0.9*0.9*0.9*0.9*0.9*0.97</f>
        <v>97.06334702</v>
      </c>
      <c r="D978" s="36">
        <f>'Lista de Preço 02_2022'!$C978*1.1712</f>
        <v>113.680592</v>
      </c>
      <c r="E978" s="37">
        <v>3.25</v>
      </c>
      <c r="F978" s="38">
        <v>0.18</v>
      </c>
      <c r="G978" s="38" t="s">
        <v>22</v>
      </c>
      <c r="H978" s="39" t="s">
        <v>43</v>
      </c>
      <c r="I978" s="40" t="s">
        <v>2524</v>
      </c>
      <c r="J978" s="41" t="s">
        <v>45</v>
      </c>
      <c r="K978" s="42" t="s">
        <v>26</v>
      </c>
      <c r="L978" s="43" t="s">
        <v>2525</v>
      </c>
      <c r="M978" s="44">
        <v>8.708999E7</v>
      </c>
      <c r="N978" s="44" t="s">
        <v>28</v>
      </c>
      <c r="O978" s="45">
        <v>0.396</v>
      </c>
      <c r="P978" s="44">
        <v>7.898233439697E12</v>
      </c>
      <c r="Q978" s="44">
        <v>1.0</v>
      </c>
    </row>
    <row r="979" ht="15.75" customHeight="1">
      <c r="A979" s="35" t="s">
        <v>2526</v>
      </c>
      <c r="B979" s="36">
        <v>144.05147031354508</v>
      </c>
      <c r="C979" s="36">
        <f>'Lista de Preço 02_2022'!$B979*0.9*0.9*0.9*0.9*0.9*0.97</f>
        <v>82.50912412</v>
      </c>
      <c r="D979" s="36">
        <f>'Lista de Preço 02_2022'!$C979*1.1712</f>
        <v>96.63468617</v>
      </c>
      <c r="E979" s="37">
        <v>3.25</v>
      </c>
      <c r="F979" s="38">
        <v>0.18</v>
      </c>
      <c r="G979" s="38" t="s">
        <v>22</v>
      </c>
      <c r="H979" s="39" t="s">
        <v>43</v>
      </c>
      <c r="I979" s="40" t="s">
        <v>2527</v>
      </c>
      <c r="J979" s="41" t="s">
        <v>45</v>
      </c>
      <c r="K979" s="42" t="s">
        <v>95</v>
      </c>
      <c r="L979" s="43">
        <v>4.630847E7</v>
      </c>
      <c r="M979" s="44">
        <v>8.708999E7</v>
      </c>
      <c r="N979" s="44" t="s">
        <v>28</v>
      </c>
      <c r="O979" s="45">
        <v>0.456</v>
      </c>
      <c r="P979" s="44">
        <v>7.898233439345E12</v>
      </c>
      <c r="Q979" s="44">
        <v>1.0</v>
      </c>
    </row>
    <row r="980" ht="15.75" customHeight="1">
      <c r="A980" s="35" t="s">
        <v>2528</v>
      </c>
      <c r="B980" s="36">
        <v>632.8590093902609</v>
      </c>
      <c r="C980" s="36">
        <f>'Lista de Preço 02_2022'!$B980*0.9*0.9*0.9*0.9*0.9*0.97</f>
        <v>362.486009</v>
      </c>
      <c r="D980" s="36">
        <f>'Lista de Preço 02_2022'!$C980*1.1712</f>
        <v>424.5436137</v>
      </c>
      <c r="E980" s="37">
        <v>3.25</v>
      </c>
      <c r="F980" s="38">
        <v>0.18</v>
      </c>
      <c r="G980" s="38" t="s">
        <v>22</v>
      </c>
      <c r="H980" s="39" t="s">
        <v>23</v>
      </c>
      <c r="I980" s="40" t="s">
        <v>2529</v>
      </c>
      <c r="J980" s="41" t="s">
        <v>500</v>
      </c>
      <c r="K980" s="42" t="s">
        <v>282</v>
      </c>
      <c r="L980" s="43" t="s">
        <v>2530</v>
      </c>
      <c r="M980" s="44">
        <v>8.708999E7</v>
      </c>
      <c r="N980" s="44" t="s">
        <v>28</v>
      </c>
      <c r="O980" s="45">
        <v>4.84</v>
      </c>
      <c r="P980" s="44">
        <v>7.89823343942E12</v>
      </c>
      <c r="Q980" s="44">
        <v>1.0</v>
      </c>
    </row>
    <row r="981" ht="15.75" customHeight="1">
      <c r="A981" s="35" t="s">
        <v>2531</v>
      </c>
      <c r="B981" s="36">
        <v>646.921615625558</v>
      </c>
      <c r="C981" s="36">
        <f>'Lista de Preço 02_2022'!$B981*0.9*0.9*0.9*0.9*0.9*0.97</f>
        <v>370.5407225</v>
      </c>
      <c r="D981" s="36">
        <f>'Lista de Preço 02_2022'!$C981*1.1712</f>
        <v>433.9772942</v>
      </c>
      <c r="E981" s="37">
        <v>3.25</v>
      </c>
      <c r="F981" s="38">
        <v>0.18</v>
      </c>
      <c r="G981" s="38" t="s">
        <v>22</v>
      </c>
      <c r="H981" s="39" t="s">
        <v>23</v>
      </c>
      <c r="I981" s="40" t="s">
        <v>2529</v>
      </c>
      <c r="J981" s="41" t="s">
        <v>500</v>
      </c>
      <c r="K981" s="42" t="s">
        <v>282</v>
      </c>
      <c r="L981" s="43" t="s">
        <v>2532</v>
      </c>
      <c r="M981" s="44">
        <v>8.708999E7</v>
      </c>
      <c r="N981" s="44" t="s">
        <v>28</v>
      </c>
      <c r="O981" s="45">
        <v>5.192</v>
      </c>
      <c r="P981" s="44">
        <v>7.898233439437E12</v>
      </c>
      <c r="Q981" s="44">
        <v>1.0</v>
      </c>
    </row>
    <row r="982" ht="15.75" customHeight="1">
      <c r="A982" s="35" t="s">
        <v>2533</v>
      </c>
      <c r="B982" s="36">
        <v>275.6844909271466</v>
      </c>
      <c r="C982" s="36">
        <f>'Lista de Preço 02_2022'!$B982*0.9*0.9*0.9*0.9*0.9*0.97</f>
        <v>157.905267</v>
      </c>
      <c r="D982" s="36">
        <f>'Lista de Preço 02_2022'!$C982*1.1712</f>
        <v>184.9386487</v>
      </c>
      <c r="E982" s="37">
        <v>3.25</v>
      </c>
      <c r="F982" s="38">
        <v>0.18</v>
      </c>
      <c r="G982" s="38" t="s">
        <v>22</v>
      </c>
      <c r="H982" s="39" t="s">
        <v>23</v>
      </c>
      <c r="I982" s="40" t="s">
        <v>2534</v>
      </c>
      <c r="J982" s="41" t="s">
        <v>1391</v>
      </c>
      <c r="K982" s="42" t="s">
        <v>668</v>
      </c>
      <c r="L982" s="43" t="s">
        <v>2535</v>
      </c>
      <c r="M982" s="44">
        <v>8.708999E7</v>
      </c>
      <c r="N982" s="44" t="s">
        <v>28</v>
      </c>
      <c r="O982" s="45">
        <v>3.304</v>
      </c>
      <c r="P982" s="44">
        <v>7.898233439338E12</v>
      </c>
      <c r="Q982" s="44">
        <v>1.0</v>
      </c>
    </row>
    <row r="983" ht="15.75" customHeight="1">
      <c r="A983" s="35" t="s">
        <v>2536</v>
      </c>
      <c r="B983" s="36">
        <v>200.17666194192756</v>
      </c>
      <c r="C983" s="36">
        <f>'Lista de Preço 02_2022'!$B983*0.9*0.9*0.9*0.9*0.9*0.97</f>
        <v>114.6562476</v>
      </c>
      <c r="D983" s="36">
        <f>'Lista de Preço 02_2022'!$C983*1.1712</f>
        <v>134.2853972</v>
      </c>
      <c r="E983" s="37">
        <v>3.25</v>
      </c>
      <c r="F983" s="38">
        <v>0.18</v>
      </c>
      <c r="G983" s="38" t="s">
        <v>22</v>
      </c>
      <c r="H983" s="39" t="s">
        <v>23</v>
      </c>
      <c r="I983" s="40" t="s">
        <v>2537</v>
      </c>
      <c r="J983" s="41" t="s">
        <v>25</v>
      </c>
      <c r="K983" s="42" t="s">
        <v>1934</v>
      </c>
      <c r="L983" s="43" t="s">
        <v>2538</v>
      </c>
      <c r="M983" s="44">
        <v>8.708999E7</v>
      </c>
      <c r="N983" s="44" t="s">
        <v>28</v>
      </c>
      <c r="O983" s="45">
        <v>2.236</v>
      </c>
      <c r="P983" s="44">
        <v>7.898233438584E12</v>
      </c>
      <c r="Q983" s="44">
        <v>1.0</v>
      </c>
    </row>
    <row r="984" ht="15.75" customHeight="1">
      <c r="A984" s="35" t="s">
        <v>2539</v>
      </c>
      <c r="B984" s="36">
        <v>296.6194514801845</v>
      </c>
      <c r="C984" s="36">
        <f>'Lista de Preço 02_2022'!$B984*0.9*0.9*0.9*0.9*0.9*0.97</f>
        <v>169.8962953</v>
      </c>
      <c r="D984" s="36">
        <f>'Lista de Preço 02_2022'!$C984*1.1712</f>
        <v>198.9825411</v>
      </c>
      <c r="E984" s="37">
        <v>3.25</v>
      </c>
      <c r="F984" s="38">
        <v>0.18</v>
      </c>
      <c r="G984" s="38" t="s">
        <v>22</v>
      </c>
      <c r="H984" s="39" t="s">
        <v>23</v>
      </c>
      <c r="I984" s="40" t="s">
        <v>2540</v>
      </c>
      <c r="J984" s="41" t="s">
        <v>25</v>
      </c>
      <c r="K984" s="42" t="s">
        <v>1934</v>
      </c>
      <c r="L984" s="43" t="s">
        <v>2541</v>
      </c>
      <c r="M984" s="44">
        <v>8.708999E7</v>
      </c>
      <c r="N984" s="44" t="s">
        <v>28</v>
      </c>
      <c r="O984" s="45">
        <v>2.224</v>
      </c>
      <c r="P984" s="44">
        <v>7.898233438591E12</v>
      </c>
      <c r="Q984" s="44">
        <v>1.0</v>
      </c>
    </row>
    <row r="985" ht="15.75" customHeight="1">
      <c r="A985" s="35" t="s">
        <v>2542</v>
      </c>
      <c r="B985" s="36">
        <v>42.00654879050261</v>
      </c>
      <c r="C985" s="36">
        <f>'Lista de Preço 02_2022'!$B985*0.9*0.9*0.9*0.9*0.9*0.97</f>
        <v>24.06031359</v>
      </c>
      <c r="D985" s="36">
        <f>'Lista de Preço 02_2022'!$C985*1.1712</f>
        <v>28.17943927</v>
      </c>
      <c r="E985" s="37">
        <v>3.25</v>
      </c>
      <c r="F985" s="38">
        <v>0.18</v>
      </c>
      <c r="G985" s="38" t="s">
        <v>22</v>
      </c>
      <c r="H985" s="39" t="s">
        <v>199</v>
      </c>
      <c r="I985" s="40" t="s">
        <v>2543</v>
      </c>
      <c r="J985" s="41" t="s">
        <v>338</v>
      </c>
      <c r="K985" s="42" t="s">
        <v>26</v>
      </c>
      <c r="L985" s="43">
        <v>663485.0</v>
      </c>
      <c r="M985" s="44">
        <v>8.708999E7</v>
      </c>
      <c r="N985" s="44" t="s">
        <v>28</v>
      </c>
      <c r="O985" s="45">
        <v>0.144</v>
      </c>
      <c r="P985" s="44">
        <v>7.898233439758E12</v>
      </c>
      <c r="Q985" s="48">
        <v>10.0</v>
      </c>
    </row>
    <row r="986" ht="15.75" customHeight="1">
      <c r="A986" s="35" t="s">
        <v>2544</v>
      </c>
      <c r="B986" s="36">
        <v>574.1298936170937</v>
      </c>
      <c r="C986" s="36">
        <f>'Lista de Preço 02_2022'!$B986*0.9*0.9*0.9*0.9*0.9*0.97</f>
        <v>328.8474221</v>
      </c>
      <c r="D986" s="36">
        <f>'Lista de Preço 02_2022'!$C986*1.1712</f>
        <v>385.1461007</v>
      </c>
      <c r="E986" s="37">
        <v>3.25</v>
      </c>
      <c r="F986" s="38">
        <v>0.18</v>
      </c>
      <c r="G986" s="38" t="s">
        <v>22</v>
      </c>
      <c r="H986" s="39" t="s">
        <v>23</v>
      </c>
      <c r="I986" s="40" t="s">
        <v>2545</v>
      </c>
      <c r="J986" s="41" t="s">
        <v>25</v>
      </c>
      <c r="K986" s="42" t="s">
        <v>68</v>
      </c>
      <c r="L986" s="43" t="s">
        <v>2546</v>
      </c>
      <c r="M986" s="44">
        <v>8.708999E7</v>
      </c>
      <c r="N986" s="44" t="s">
        <v>28</v>
      </c>
      <c r="O986" s="45">
        <v>2.66</v>
      </c>
      <c r="P986" s="44">
        <v>7.899823507055E12</v>
      </c>
      <c r="Q986" s="44">
        <v>1.0</v>
      </c>
    </row>
    <row r="987" ht="15.75" customHeight="1">
      <c r="A987" s="50" t="s">
        <v>2547</v>
      </c>
      <c r="B987" s="36">
        <v>127.37961075000001</v>
      </c>
      <c r="C987" s="51">
        <f>'Lista de Preço 02_2022'!$B987*0.9*0.9*0.9*0.9*0.9*0.97</f>
        <v>72.95989476</v>
      </c>
      <c r="D987" s="36">
        <f>'Lista de Preço 02_2022'!$C987*1.1712</f>
        <v>85.45062874</v>
      </c>
      <c r="E987" s="52">
        <v>3.25</v>
      </c>
      <c r="F987" s="53">
        <v>0.18</v>
      </c>
      <c r="G987" s="53" t="s">
        <v>22</v>
      </c>
      <c r="H987" s="54" t="s">
        <v>65</v>
      </c>
      <c r="I987" s="61" t="s">
        <v>2308</v>
      </c>
      <c r="J987" s="56" t="s">
        <v>67</v>
      </c>
      <c r="K987" s="57" t="s">
        <v>95</v>
      </c>
      <c r="L987" s="58" t="s">
        <v>2548</v>
      </c>
      <c r="M987" s="59">
        <v>8.708999E7</v>
      </c>
      <c r="N987" s="59" t="s">
        <v>28</v>
      </c>
      <c r="O987" s="60">
        <v>1.394</v>
      </c>
      <c r="P987" s="59">
        <v>7.899823511045E12</v>
      </c>
      <c r="Q987" s="59">
        <v>1.0</v>
      </c>
    </row>
    <row r="988" ht="15.75" customHeight="1">
      <c r="A988" s="35" t="s">
        <v>2549</v>
      </c>
      <c r="B988" s="36">
        <v>417.6536146272001</v>
      </c>
      <c r="C988" s="36">
        <f>'Lista de Preço 02_2022'!$B988*0.9*0.9*0.9*0.9*0.9*0.97</f>
        <v>239.2216744</v>
      </c>
      <c r="D988" s="36">
        <f>'Lista de Preço 02_2022'!$C988*1.1712</f>
        <v>280.1764251</v>
      </c>
      <c r="E988" s="37">
        <v>3.25</v>
      </c>
      <c r="F988" s="38">
        <v>0.18</v>
      </c>
      <c r="G988" s="38" t="s">
        <v>22</v>
      </c>
      <c r="H988" s="39" t="s">
        <v>23</v>
      </c>
      <c r="I988" s="40" t="s">
        <v>2550</v>
      </c>
      <c r="J988" s="41" t="s">
        <v>1391</v>
      </c>
      <c r="K988" s="42" t="s">
        <v>1392</v>
      </c>
      <c r="L988" s="43" t="s">
        <v>2551</v>
      </c>
      <c r="M988" s="44">
        <v>8.708999E7</v>
      </c>
      <c r="N988" s="44" t="s">
        <v>28</v>
      </c>
      <c r="O988" s="45">
        <v>3.854</v>
      </c>
      <c r="P988" s="44">
        <v>7.899823505792E12</v>
      </c>
      <c r="Q988" s="44">
        <v>1.0</v>
      </c>
    </row>
    <row r="989" ht="15.75" customHeight="1">
      <c r="A989" s="35" t="s">
        <v>2552</v>
      </c>
      <c r="B989" s="36">
        <v>529.9432247875033</v>
      </c>
      <c r="C989" s="36">
        <f>'Lista de Preço 02_2022'!$B989*0.9*0.9*0.9*0.9*0.9*0.97</f>
        <v>303.5383896</v>
      </c>
      <c r="D989" s="36">
        <f>'Lista de Preço 02_2022'!$C989*1.1712</f>
        <v>355.5041619</v>
      </c>
      <c r="E989" s="37">
        <v>3.25</v>
      </c>
      <c r="F989" s="38">
        <v>0.18</v>
      </c>
      <c r="G989" s="38" t="s">
        <v>22</v>
      </c>
      <c r="H989" s="39" t="s">
        <v>23</v>
      </c>
      <c r="I989" s="40" t="s">
        <v>2553</v>
      </c>
      <c r="J989" s="41" t="s">
        <v>1391</v>
      </c>
      <c r="K989" s="42" t="s">
        <v>668</v>
      </c>
      <c r="L989" s="43" t="s">
        <v>2554</v>
      </c>
      <c r="M989" s="44">
        <v>8.708999E7</v>
      </c>
      <c r="N989" s="44" t="s">
        <v>28</v>
      </c>
      <c r="O989" s="45">
        <v>4.068</v>
      </c>
      <c r="P989" s="44">
        <v>7.898233439277E12</v>
      </c>
      <c r="Q989" s="44">
        <v>1.0</v>
      </c>
    </row>
    <row r="990" ht="15.75" customHeight="1">
      <c r="A990" s="35" t="s">
        <v>2555</v>
      </c>
      <c r="B990" s="36">
        <v>544.2183422203973</v>
      </c>
      <c r="C990" s="36">
        <f>'Lista de Preço 02_2022'!$B990*0.9*0.9*0.9*0.9*0.9*0.97</f>
        <v>311.7148242</v>
      </c>
      <c r="D990" s="36">
        <f>'Lista de Preço 02_2022'!$C990*1.1712</f>
        <v>365.0804021</v>
      </c>
      <c r="E990" s="37">
        <v>3.25</v>
      </c>
      <c r="F990" s="38">
        <v>0.18</v>
      </c>
      <c r="G990" s="38" t="s">
        <v>22</v>
      </c>
      <c r="H990" s="39" t="s">
        <v>23</v>
      </c>
      <c r="I990" s="40" t="s">
        <v>2556</v>
      </c>
      <c r="J990" s="41" t="s">
        <v>25</v>
      </c>
      <c r="K990" s="42" t="s">
        <v>668</v>
      </c>
      <c r="L990" s="43" t="s">
        <v>2557</v>
      </c>
      <c r="M990" s="44">
        <v>8.708999E7</v>
      </c>
      <c r="N990" s="44" t="s">
        <v>28</v>
      </c>
      <c r="O990" s="45">
        <v>3.172</v>
      </c>
      <c r="P990" s="44">
        <v>7.898233439284E12</v>
      </c>
      <c r="Q990" s="44">
        <v>1.0</v>
      </c>
    </row>
    <row r="991" ht="15.75" customHeight="1">
      <c r="A991" s="35" t="s">
        <v>2558</v>
      </c>
      <c r="B991" s="36">
        <v>124.74560896289059</v>
      </c>
      <c r="C991" s="36">
        <f>'Lista de Preço 02_2022'!$B991*0.9*0.9*0.9*0.9*0.9*0.97</f>
        <v>71.4512036</v>
      </c>
      <c r="D991" s="36">
        <f>'Lista de Preço 02_2022'!$C991*1.1712</f>
        <v>83.68364965</v>
      </c>
      <c r="E991" s="37">
        <v>3.25</v>
      </c>
      <c r="F991" s="38">
        <v>0.18</v>
      </c>
      <c r="G991" s="38" t="s">
        <v>22</v>
      </c>
      <c r="H991" s="39" t="s">
        <v>23</v>
      </c>
      <c r="I991" s="40" t="s">
        <v>2559</v>
      </c>
      <c r="J991" s="41" t="s">
        <v>25</v>
      </c>
      <c r="K991" s="42" t="s">
        <v>668</v>
      </c>
      <c r="L991" s="43">
        <v>5.175007001E9</v>
      </c>
      <c r="M991" s="44">
        <v>8.708999E7</v>
      </c>
      <c r="N991" s="44" t="s">
        <v>28</v>
      </c>
      <c r="O991" s="45">
        <v>1.478</v>
      </c>
      <c r="P991" s="44">
        <v>7.898233438935E12</v>
      </c>
      <c r="Q991" s="44">
        <v>1.0</v>
      </c>
    </row>
    <row r="992" ht="15.75" customHeight="1">
      <c r="A992" s="35" t="s">
        <v>2560</v>
      </c>
      <c r="B992" s="36">
        <v>197.8241933180167</v>
      </c>
      <c r="C992" s="36">
        <f>'Lista de Preço 02_2022'!$B992*0.9*0.9*0.9*0.9*0.9*0.97</f>
        <v>113.3088117</v>
      </c>
      <c r="D992" s="36">
        <f>'Lista de Preço 02_2022'!$C992*1.1712</f>
        <v>132.7072802</v>
      </c>
      <c r="E992" s="37">
        <v>3.25</v>
      </c>
      <c r="F992" s="38">
        <v>0.18</v>
      </c>
      <c r="G992" s="38" t="s">
        <v>22</v>
      </c>
      <c r="H992" s="39" t="s">
        <v>23</v>
      </c>
      <c r="I992" s="40" t="s">
        <v>2561</v>
      </c>
      <c r="J992" s="41" t="s">
        <v>25</v>
      </c>
      <c r="K992" s="42" t="s">
        <v>1876</v>
      </c>
      <c r="L992" s="43" t="s">
        <v>2562</v>
      </c>
      <c r="M992" s="44">
        <v>8.708999E7</v>
      </c>
      <c r="N992" s="44" t="s">
        <v>28</v>
      </c>
      <c r="O992" s="45">
        <v>1.864</v>
      </c>
      <c r="P992" s="44">
        <v>7.898233439048E12</v>
      </c>
      <c r="Q992" s="44">
        <v>1.0</v>
      </c>
    </row>
    <row r="993" ht="15.75" customHeight="1">
      <c r="A993" s="35" t="s">
        <v>2563</v>
      </c>
      <c r="B993" s="36">
        <v>414.8597178926551</v>
      </c>
      <c r="C993" s="36">
        <f>'Lista de Preço 02_2022'!$B993*0.9*0.9*0.9*0.9*0.9*0.97</f>
        <v>237.6213994</v>
      </c>
      <c r="D993" s="36">
        <f>'Lista de Preço 02_2022'!$C993*1.1712</f>
        <v>278.3021829</v>
      </c>
      <c r="E993" s="37">
        <v>3.25</v>
      </c>
      <c r="F993" s="38">
        <v>0.18</v>
      </c>
      <c r="G993" s="38" t="s">
        <v>22</v>
      </c>
      <c r="H993" s="39" t="s">
        <v>23</v>
      </c>
      <c r="I993" s="40" t="s">
        <v>2564</v>
      </c>
      <c r="J993" s="41" t="s">
        <v>1391</v>
      </c>
      <c r="K993" s="42" t="s">
        <v>26</v>
      </c>
      <c r="L993" s="43" t="s">
        <v>2565</v>
      </c>
      <c r="M993" s="44">
        <v>8.708999E7</v>
      </c>
      <c r="N993" s="44" t="s">
        <v>28</v>
      </c>
      <c r="O993" s="45">
        <v>3.596</v>
      </c>
      <c r="P993" s="44">
        <v>7.898233439444E12</v>
      </c>
      <c r="Q993" s="44">
        <v>1.0</v>
      </c>
    </row>
    <row r="994" ht="15.75" customHeight="1">
      <c r="A994" s="35" t="s">
        <v>2566</v>
      </c>
      <c r="B994" s="36">
        <v>113.88316708657354</v>
      </c>
      <c r="C994" s="36">
        <f>'Lista de Preço 02_2022'!$B994*0.9*0.9*0.9*0.9*0.9*0.97</f>
        <v>65.22946519</v>
      </c>
      <c r="D994" s="36">
        <f>'Lista de Preço 02_2022'!$C994*1.1712</f>
        <v>76.39674963</v>
      </c>
      <c r="E994" s="37">
        <v>3.25</v>
      </c>
      <c r="F994" s="38">
        <v>0.18</v>
      </c>
      <c r="G994" s="38" t="s">
        <v>22</v>
      </c>
      <c r="H994" s="39" t="s">
        <v>43</v>
      </c>
      <c r="I994" s="40" t="s">
        <v>2567</v>
      </c>
      <c r="J994" s="41" t="s">
        <v>2074</v>
      </c>
      <c r="K994" s="42" t="s">
        <v>26</v>
      </c>
      <c r="L994" s="43" t="s">
        <v>2568</v>
      </c>
      <c r="M994" s="44">
        <v>8.708999E7</v>
      </c>
      <c r="N994" s="44" t="s">
        <v>28</v>
      </c>
      <c r="O994" s="45">
        <v>0.43</v>
      </c>
      <c r="P994" s="44">
        <v>7.898233437686E12</v>
      </c>
      <c r="Q994" s="44">
        <v>1.0</v>
      </c>
    </row>
    <row r="995" ht="15.75" customHeight="1">
      <c r="A995" s="35" t="s">
        <v>2569</v>
      </c>
      <c r="B995" s="36">
        <v>565.5530669053169</v>
      </c>
      <c r="C995" s="36">
        <f>'Lista de Preço 02_2022'!$B995*0.9*0.9*0.9*0.9*0.9*0.97</f>
        <v>323.9348276</v>
      </c>
      <c r="D995" s="36">
        <f>'Lista de Preço 02_2022'!$C995*1.1712</f>
        <v>379.39247</v>
      </c>
      <c r="E995" s="37">
        <v>3.25</v>
      </c>
      <c r="F995" s="38">
        <v>0.18</v>
      </c>
      <c r="G995" s="38" t="s">
        <v>22</v>
      </c>
      <c r="H995" s="39" t="s">
        <v>23</v>
      </c>
      <c r="I995" s="40" t="s">
        <v>2570</v>
      </c>
      <c r="J995" s="41" t="s">
        <v>1391</v>
      </c>
      <c r="K995" s="42" t="s">
        <v>26</v>
      </c>
      <c r="L995" s="43" t="s">
        <v>2571</v>
      </c>
      <c r="M995" s="44">
        <v>8.708999E7</v>
      </c>
      <c r="N995" s="44" t="s">
        <v>28</v>
      </c>
      <c r="O995" s="45">
        <v>4.102</v>
      </c>
      <c r="P995" s="44">
        <v>7.898233439536E12</v>
      </c>
      <c r="Q995" s="44">
        <v>1.0</v>
      </c>
    </row>
    <row r="996" ht="15.75" customHeight="1">
      <c r="A996" s="35" t="s">
        <v>2572</v>
      </c>
      <c r="B996" s="36">
        <v>245.72336389684617</v>
      </c>
      <c r="C996" s="36">
        <f>'Lista de Preço 02_2022'!$B996*0.9*0.9*0.9*0.9*0.9*0.97</f>
        <v>140.7442735</v>
      </c>
      <c r="D996" s="36">
        <f>'Lista de Preço 02_2022'!$C996*1.1712</f>
        <v>164.8396931</v>
      </c>
      <c r="E996" s="37">
        <v>3.25</v>
      </c>
      <c r="F996" s="38">
        <v>0.18</v>
      </c>
      <c r="G996" s="38" t="s">
        <v>22</v>
      </c>
      <c r="H996" s="39" t="s">
        <v>23</v>
      </c>
      <c r="I996" s="40" t="s">
        <v>2573</v>
      </c>
      <c r="J996" s="41" t="s">
        <v>25</v>
      </c>
      <c r="K996" s="42" t="s">
        <v>73</v>
      </c>
      <c r="L996" s="43" t="s">
        <v>2574</v>
      </c>
      <c r="M996" s="44">
        <v>8.708999E7</v>
      </c>
      <c r="N996" s="44" t="s">
        <v>28</v>
      </c>
      <c r="O996" s="45">
        <v>1.464</v>
      </c>
      <c r="P996" s="44">
        <v>7.898233439529E12</v>
      </c>
      <c r="Q996" s="44">
        <v>1.0</v>
      </c>
    </row>
    <row r="997" ht="15.75" customHeight="1">
      <c r="A997" s="35" t="s">
        <v>2575</v>
      </c>
      <c r="B997" s="36">
        <v>131.27728421525416</v>
      </c>
      <c r="C997" s="36">
        <f>'Lista de Preço 02_2022'!$B997*0.9*0.9*0.9*0.9*0.9*0.97</f>
        <v>75.19238585</v>
      </c>
      <c r="D997" s="36">
        <f>'Lista de Preço 02_2022'!$C997*1.1712</f>
        <v>88.06532231</v>
      </c>
      <c r="E997" s="37">
        <v>3.25</v>
      </c>
      <c r="F997" s="38">
        <v>0.18</v>
      </c>
      <c r="G997" s="38" t="s">
        <v>22</v>
      </c>
      <c r="H997" s="39" t="s">
        <v>23</v>
      </c>
      <c r="I997" s="40" t="s">
        <v>2576</v>
      </c>
      <c r="J997" s="41" t="s">
        <v>25</v>
      </c>
      <c r="K997" s="42" t="s">
        <v>68</v>
      </c>
      <c r="L997" s="43">
        <v>1.3504046E7</v>
      </c>
      <c r="M997" s="44">
        <v>8.708999E7</v>
      </c>
      <c r="N997" s="44" t="s">
        <v>28</v>
      </c>
      <c r="O997" s="45">
        <v>1.718</v>
      </c>
      <c r="P997" s="44">
        <v>7.898233439581E12</v>
      </c>
      <c r="Q997" s="44">
        <v>1.0</v>
      </c>
    </row>
    <row r="998" ht="15.75" customHeight="1">
      <c r="A998" s="35" t="s">
        <v>2577</v>
      </c>
      <c r="B998" s="36">
        <v>481.2123467498723</v>
      </c>
      <c r="C998" s="36">
        <f>'Lista de Preço 02_2022'!$B998*0.9*0.9*0.9*0.9*0.9*0.97</f>
        <v>275.6265463</v>
      </c>
      <c r="D998" s="36">
        <f>'Lista de Preço 02_2022'!$C998*1.1712</f>
        <v>322.813811</v>
      </c>
      <c r="E998" s="37">
        <v>3.25</v>
      </c>
      <c r="F998" s="38">
        <v>0.18</v>
      </c>
      <c r="G998" s="38" t="s">
        <v>22</v>
      </c>
      <c r="H998" s="39" t="s">
        <v>23</v>
      </c>
      <c r="I998" s="40" t="s">
        <v>2578</v>
      </c>
      <c r="J998" s="41" t="s">
        <v>25</v>
      </c>
      <c r="K998" s="42" t="s">
        <v>68</v>
      </c>
      <c r="L998" s="43">
        <v>1.350059E7</v>
      </c>
      <c r="M998" s="44">
        <v>8.708999E7</v>
      </c>
      <c r="N998" s="44" t="s">
        <v>28</v>
      </c>
      <c r="O998" s="45">
        <v>3.296</v>
      </c>
      <c r="P998" s="44">
        <v>7.898233439734E12</v>
      </c>
      <c r="Q998" s="44">
        <v>1.0</v>
      </c>
    </row>
    <row r="999" ht="15.75" customHeight="1">
      <c r="A999" s="35" t="s">
        <v>2579</v>
      </c>
      <c r="B999" s="36">
        <v>147.61361875226336</v>
      </c>
      <c r="C999" s="36">
        <f>'Lista de Preço 02_2022'!$B999*0.9*0.9*0.9*0.9*0.9*0.97</f>
        <v>84.54943476</v>
      </c>
      <c r="D999" s="36">
        <f>'Lista de Preço 02_2022'!$C999*1.1712</f>
        <v>99.024298</v>
      </c>
      <c r="E999" s="37">
        <v>3.25</v>
      </c>
      <c r="F999" s="38">
        <v>0.18</v>
      </c>
      <c r="G999" s="38" t="s">
        <v>22</v>
      </c>
      <c r="H999" s="39" t="s">
        <v>23</v>
      </c>
      <c r="I999" s="40" t="s">
        <v>2580</v>
      </c>
      <c r="J999" s="41" t="s">
        <v>25</v>
      </c>
      <c r="K999" s="42" t="s">
        <v>26</v>
      </c>
      <c r="L999" s="43" t="s">
        <v>2581</v>
      </c>
      <c r="M999" s="44">
        <v>8.708999E7</v>
      </c>
      <c r="N999" s="44" t="s">
        <v>28</v>
      </c>
      <c r="O999" s="45">
        <v>1.576</v>
      </c>
      <c r="P999" s="44">
        <v>7.898233439598E12</v>
      </c>
      <c r="Q999" s="44">
        <v>1.0</v>
      </c>
    </row>
    <row r="1000" ht="15.75" customHeight="1">
      <c r="A1000" s="35" t="s">
        <v>2582</v>
      </c>
      <c r="B1000" s="36">
        <v>397.51600649142074</v>
      </c>
      <c r="C1000" s="36">
        <f>'Lista de Preço 02_2022'!$B1000*0.9*0.9*0.9*0.9*0.9*0.97</f>
        <v>227.6873499</v>
      </c>
      <c r="D1000" s="36">
        <f>'Lista de Preço 02_2022'!$C1000*1.1712</f>
        <v>266.6674242</v>
      </c>
      <c r="E1000" s="37">
        <v>3.25</v>
      </c>
      <c r="F1000" s="38">
        <v>0.18</v>
      </c>
      <c r="G1000" s="38" t="s">
        <v>22</v>
      </c>
      <c r="H1000" s="39" t="s">
        <v>23</v>
      </c>
      <c r="I1000" s="40" t="s">
        <v>2583</v>
      </c>
      <c r="J1000" s="41" t="s">
        <v>25</v>
      </c>
      <c r="K1000" s="42" t="s">
        <v>26</v>
      </c>
      <c r="L1000" s="43" t="s">
        <v>2584</v>
      </c>
      <c r="M1000" s="44">
        <v>8.708999E7</v>
      </c>
      <c r="N1000" s="44" t="s">
        <v>28</v>
      </c>
      <c r="O1000" s="45">
        <v>2.654</v>
      </c>
      <c r="P1000" s="44">
        <v>7.898233439659E12</v>
      </c>
      <c r="Q1000" s="44">
        <v>1.0</v>
      </c>
    </row>
    <row r="1001" ht="15.75" customHeight="1">
      <c r="A1001" s="35" t="s">
        <v>2585</v>
      </c>
      <c r="B1001" s="36">
        <v>517.7515698981268</v>
      </c>
      <c r="C1001" s="36">
        <f>'Lista de Preço 02_2022'!$B1001*0.9*0.9*0.9*0.9*0.9*0.97</f>
        <v>296.5553108</v>
      </c>
      <c r="D1001" s="36">
        <f>'Lista de Preço 02_2022'!$C1001*1.1712</f>
        <v>347.32558</v>
      </c>
      <c r="E1001" s="37">
        <v>3.25</v>
      </c>
      <c r="F1001" s="38">
        <v>0.18</v>
      </c>
      <c r="G1001" s="38" t="s">
        <v>22</v>
      </c>
      <c r="H1001" s="39" t="s">
        <v>23</v>
      </c>
      <c r="I1001" s="40" t="s">
        <v>2586</v>
      </c>
      <c r="J1001" s="41" t="s">
        <v>25</v>
      </c>
      <c r="K1001" s="42" t="s">
        <v>26</v>
      </c>
      <c r="L1001" s="43" t="s">
        <v>2587</v>
      </c>
      <c r="M1001" s="44">
        <v>8.708999E7</v>
      </c>
      <c r="N1001" s="44" t="s">
        <v>28</v>
      </c>
      <c r="O1001" s="45">
        <v>2.642</v>
      </c>
      <c r="P1001" s="44">
        <v>7.898233439666E12</v>
      </c>
      <c r="Q1001" s="44">
        <v>1.0</v>
      </c>
    </row>
    <row r="1002" ht="15.75" customHeight="1">
      <c r="A1002" s="35" t="s">
        <v>2588</v>
      </c>
      <c r="B1002" s="36">
        <v>953.0471431026806</v>
      </c>
      <c r="C1002" s="36">
        <f>'Lista de Preço 02_2022'!$B1002*0.9*0.9*0.9*0.9*0.9*0.97</f>
        <v>545.8818633</v>
      </c>
      <c r="D1002" s="36">
        <f>'Lista de Preço 02_2022'!$C1002*1.1712</f>
        <v>639.3368383</v>
      </c>
      <c r="E1002" s="37">
        <v>3.25</v>
      </c>
      <c r="F1002" s="38">
        <v>0.18</v>
      </c>
      <c r="G1002" s="38" t="s">
        <v>22</v>
      </c>
      <c r="H1002" s="39" t="s">
        <v>23</v>
      </c>
      <c r="I1002" s="40" t="s">
        <v>2589</v>
      </c>
      <c r="J1002" s="41" t="s">
        <v>500</v>
      </c>
      <c r="K1002" s="42" t="s">
        <v>2590</v>
      </c>
      <c r="L1002" s="43" t="s">
        <v>2591</v>
      </c>
      <c r="M1002" s="44">
        <v>8.708999E7</v>
      </c>
      <c r="N1002" s="44" t="s">
        <v>28</v>
      </c>
      <c r="O1002" s="45">
        <v>8.8</v>
      </c>
      <c r="P1002" s="44">
        <v>7.898233439673E12</v>
      </c>
      <c r="Q1002" s="44">
        <v>1.0</v>
      </c>
    </row>
    <row r="1003" ht="15.75" customHeight="1">
      <c r="A1003" s="35" t="s">
        <v>2592</v>
      </c>
      <c r="B1003" s="36">
        <v>1079.1482509090852</v>
      </c>
      <c r="C1003" s="36">
        <f>'Lista de Preço 02_2022'!$B1003*0.9*0.9*0.9*0.9*0.9*0.97</f>
        <v>618.1094632</v>
      </c>
      <c r="D1003" s="36">
        <f>'Lista de Preço 02_2022'!$C1003*1.1712</f>
        <v>723.9298033</v>
      </c>
      <c r="E1003" s="37">
        <v>3.25</v>
      </c>
      <c r="F1003" s="38">
        <v>0.18</v>
      </c>
      <c r="G1003" s="38" t="s">
        <v>22</v>
      </c>
      <c r="H1003" s="39" t="s">
        <v>23</v>
      </c>
      <c r="I1003" s="40" t="s">
        <v>2593</v>
      </c>
      <c r="J1003" s="41" t="s">
        <v>500</v>
      </c>
      <c r="K1003" s="42" t="s">
        <v>2590</v>
      </c>
      <c r="L1003" s="43" t="s">
        <v>2594</v>
      </c>
      <c r="M1003" s="44">
        <v>8.708999E7</v>
      </c>
      <c r="N1003" s="44" t="s">
        <v>28</v>
      </c>
      <c r="O1003" s="45">
        <v>11.26</v>
      </c>
      <c r="P1003" s="44">
        <v>7.898233439451E12</v>
      </c>
      <c r="Q1003" s="44">
        <v>1.0</v>
      </c>
    </row>
    <row r="1004" ht="15.75" customHeight="1">
      <c r="A1004" s="35" t="s">
        <v>2595</v>
      </c>
      <c r="B1004" s="36">
        <v>139.6403136671636</v>
      </c>
      <c r="C1004" s="36">
        <f>'Lista de Preço 02_2022'!$B1004*0.9*0.9*0.9*0.9*0.9*0.97</f>
        <v>79.98252255</v>
      </c>
      <c r="D1004" s="36">
        <f>'Lista de Preço 02_2022'!$C1004*1.1712</f>
        <v>93.67553041</v>
      </c>
      <c r="E1004" s="37">
        <v>3.25</v>
      </c>
      <c r="F1004" s="38">
        <v>0.18</v>
      </c>
      <c r="G1004" s="38" t="s">
        <v>22</v>
      </c>
      <c r="H1004" s="39" t="s">
        <v>23</v>
      </c>
      <c r="I1004" s="40" t="s">
        <v>2596</v>
      </c>
      <c r="J1004" s="41" t="s">
        <v>25</v>
      </c>
      <c r="K1004" s="42" t="s">
        <v>507</v>
      </c>
      <c r="L1004" s="43" t="s">
        <v>2597</v>
      </c>
      <c r="M1004" s="44">
        <v>8.708999E7</v>
      </c>
      <c r="N1004" s="44" t="s">
        <v>28</v>
      </c>
      <c r="O1004" s="45">
        <v>1.522</v>
      </c>
      <c r="P1004" s="44">
        <v>7.898233439604E12</v>
      </c>
      <c r="Q1004" s="44">
        <v>1.0</v>
      </c>
    </row>
    <row r="1005" ht="15.75" customHeight="1">
      <c r="A1005" s="35" t="s">
        <v>2598</v>
      </c>
      <c r="B1005" s="36">
        <v>151.16258482897402</v>
      </c>
      <c r="C1005" s="36">
        <f>'Lista de Preço 02_2022'!$B1005*0.9*0.9*0.9*0.9*0.9*0.97</f>
        <v>86.58219487</v>
      </c>
      <c r="D1005" s="36">
        <f>'Lista de Preço 02_2022'!$C1005*1.1712</f>
        <v>101.4050666</v>
      </c>
      <c r="E1005" s="37">
        <v>3.25</v>
      </c>
      <c r="F1005" s="38">
        <v>0.18</v>
      </c>
      <c r="G1005" s="38" t="s">
        <v>22</v>
      </c>
      <c r="H1005" s="39" t="s">
        <v>65</v>
      </c>
      <c r="I1005" s="40" t="s">
        <v>2599</v>
      </c>
      <c r="J1005" s="41" t="s">
        <v>67</v>
      </c>
      <c r="K1005" s="42" t="s">
        <v>26</v>
      </c>
      <c r="L1005" s="43" t="s">
        <v>2600</v>
      </c>
      <c r="M1005" s="44">
        <v>8.708999E7</v>
      </c>
      <c r="N1005" s="44" t="s">
        <v>28</v>
      </c>
      <c r="O1005" s="45">
        <v>0.734</v>
      </c>
      <c r="P1005" s="44">
        <v>7.89823343674E12</v>
      </c>
      <c r="Q1005" s="44">
        <v>1.0</v>
      </c>
    </row>
    <row r="1006" ht="15.75" customHeight="1">
      <c r="A1006" s="35" t="s">
        <v>2601</v>
      </c>
      <c r="B1006" s="36">
        <v>403.39928876250156</v>
      </c>
      <c r="C1006" s="36">
        <f>'Lista de Preço 02_2022'!$B1006*0.9*0.9*0.9*0.9*0.9*0.97</f>
        <v>231.0571486</v>
      </c>
      <c r="D1006" s="36">
        <f>'Lista de Preço 02_2022'!$C1006*1.1712</f>
        <v>270.6141325</v>
      </c>
      <c r="E1006" s="37">
        <v>3.25</v>
      </c>
      <c r="F1006" s="38">
        <v>0.18</v>
      </c>
      <c r="G1006" s="38" t="s">
        <v>22</v>
      </c>
      <c r="H1006" s="39" t="s">
        <v>23</v>
      </c>
      <c r="I1006" s="40" t="s">
        <v>2602</v>
      </c>
      <c r="J1006" s="41" t="s">
        <v>25</v>
      </c>
      <c r="K1006" s="42" t="s">
        <v>507</v>
      </c>
      <c r="L1006" s="43" t="s">
        <v>2603</v>
      </c>
      <c r="M1006" s="44">
        <v>8.708999E7</v>
      </c>
      <c r="N1006" s="44" t="s">
        <v>28</v>
      </c>
      <c r="O1006" s="45">
        <v>2.896</v>
      </c>
      <c r="P1006" s="44">
        <v>7.898233439611E12</v>
      </c>
      <c r="Q1006" s="44">
        <v>1.0</v>
      </c>
    </row>
    <row r="1007" ht="15.75" customHeight="1">
      <c r="A1007" s="35" t="s">
        <v>2604</v>
      </c>
      <c r="B1007" s="36">
        <v>430.28236039251465</v>
      </c>
      <c r="C1007" s="36">
        <f>'Lista de Preço 02_2022'!$B1007*0.9*0.9*0.9*0.9*0.9*0.97</f>
        <v>246.4551081</v>
      </c>
      <c r="D1007" s="36">
        <f>'Lista de Preço 02_2022'!$C1007*1.1712</f>
        <v>288.6482226</v>
      </c>
      <c r="E1007" s="37">
        <v>3.25</v>
      </c>
      <c r="F1007" s="38">
        <v>0.18</v>
      </c>
      <c r="G1007" s="38" t="s">
        <v>22</v>
      </c>
      <c r="H1007" s="39" t="s">
        <v>23</v>
      </c>
      <c r="I1007" s="40" t="s">
        <v>2605</v>
      </c>
      <c r="J1007" s="41" t="s">
        <v>25</v>
      </c>
      <c r="K1007" s="42" t="s">
        <v>507</v>
      </c>
      <c r="L1007" s="43" t="s">
        <v>2606</v>
      </c>
      <c r="M1007" s="44">
        <v>8.708999E7</v>
      </c>
      <c r="N1007" s="44" t="s">
        <v>28</v>
      </c>
      <c r="O1007" s="45">
        <v>3.034</v>
      </c>
      <c r="P1007" s="44">
        <v>7.898233439543E12</v>
      </c>
      <c r="Q1007" s="44">
        <v>1.0</v>
      </c>
    </row>
    <row r="1008" ht="15.75" customHeight="1">
      <c r="A1008" s="35" t="s">
        <v>2607</v>
      </c>
      <c r="B1008" s="36">
        <v>213.4717783962542</v>
      </c>
      <c r="C1008" s="36">
        <f>'Lista de Preço 02_2022'!$B1008*0.9*0.9*0.9*0.9*0.9*0.97</f>
        <v>122.2713619</v>
      </c>
      <c r="D1008" s="36">
        <f>'Lista de Preço 02_2022'!$C1008*1.1712</f>
        <v>143.2042191</v>
      </c>
      <c r="E1008" s="37">
        <v>3.25</v>
      </c>
      <c r="F1008" s="38">
        <v>0.18</v>
      </c>
      <c r="G1008" s="38" t="s">
        <v>22</v>
      </c>
      <c r="H1008" s="39" t="s">
        <v>23</v>
      </c>
      <c r="I1008" s="40" t="s">
        <v>2608</v>
      </c>
      <c r="J1008" s="41" t="s">
        <v>25</v>
      </c>
      <c r="K1008" s="42" t="s">
        <v>73</v>
      </c>
      <c r="L1008" s="43" t="s">
        <v>2609</v>
      </c>
      <c r="M1008" s="44">
        <v>8.708999E7</v>
      </c>
      <c r="N1008" s="44" t="s">
        <v>28</v>
      </c>
      <c r="O1008" s="45">
        <v>1.142</v>
      </c>
      <c r="P1008" s="44">
        <v>7.89823343955E12</v>
      </c>
      <c r="Q1008" s="44">
        <v>1.0</v>
      </c>
    </row>
    <row r="1009" ht="15.75" customHeight="1">
      <c r="A1009" s="35" t="s">
        <v>2610</v>
      </c>
      <c r="B1009" s="36">
        <v>357.74852974577334</v>
      </c>
      <c r="C1009" s="36">
        <f>'Lista de Preço 02_2022'!$B1009*0.9*0.9*0.9*0.9*0.9*0.97</f>
        <v>204.9095214</v>
      </c>
      <c r="D1009" s="36">
        <f>'Lista de Preço 02_2022'!$C1009*1.1712</f>
        <v>239.9900315</v>
      </c>
      <c r="E1009" s="37">
        <v>3.25</v>
      </c>
      <c r="F1009" s="38">
        <v>0.18</v>
      </c>
      <c r="G1009" s="38" t="s">
        <v>22</v>
      </c>
      <c r="H1009" s="39" t="s">
        <v>23</v>
      </c>
      <c r="I1009" s="40" t="s">
        <v>2611</v>
      </c>
      <c r="J1009" s="41" t="s">
        <v>25</v>
      </c>
      <c r="K1009" s="42" t="s">
        <v>73</v>
      </c>
      <c r="L1009" s="43" t="s">
        <v>2612</v>
      </c>
      <c r="M1009" s="44">
        <v>8.708999E7</v>
      </c>
      <c r="N1009" s="44" t="s">
        <v>28</v>
      </c>
      <c r="O1009" s="45">
        <v>2.024</v>
      </c>
      <c r="P1009" s="44">
        <v>7.899823502241E12</v>
      </c>
      <c r="Q1009" s="44">
        <v>1.0</v>
      </c>
    </row>
    <row r="1010" ht="15.75" customHeight="1">
      <c r="A1010" s="35" t="s">
        <v>2613</v>
      </c>
      <c r="B1010" s="36">
        <v>626.06404303238</v>
      </c>
      <c r="C1010" s="36">
        <f>'Lista de Preço 02_2022'!$B1010*0.9*0.9*0.9*0.9*0.9*0.97</f>
        <v>358.5940201</v>
      </c>
      <c r="D1010" s="36">
        <f>'Lista de Preço 02_2022'!$C1010*1.1712</f>
        <v>419.9853163</v>
      </c>
      <c r="E1010" s="37">
        <v>3.25</v>
      </c>
      <c r="F1010" s="38">
        <v>0.18</v>
      </c>
      <c r="G1010" s="38" t="s">
        <v>22</v>
      </c>
      <c r="H1010" s="39" t="s">
        <v>23</v>
      </c>
      <c r="I1010" s="40" t="s">
        <v>2614</v>
      </c>
      <c r="J1010" s="41" t="s">
        <v>1391</v>
      </c>
      <c r="K1010" s="42" t="s">
        <v>2508</v>
      </c>
      <c r="L1010" s="43" t="s">
        <v>2615</v>
      </c>
      <c r="M1010" s="44">
        <v>8.708999E7</v>
      </c>
      <c r="N1010" s="44" t="s">
        <v>28</v>
      </c>
      <c r="O1010" s="45">
        <v>5.396</v>
      </c>
      <c r="P1010" s="44">
        <v>7.898233439642E12</v>
      </c>
      <c r="Q1010" s="44">
        <v>1.0</v>
      </c>
    </row>
    <row r="1011" ht="15.75" customHeight="1">
      <c r="A1011" s="35" t="s">
        <v>2616</v>
      </c>
      <c r="B1011" s="36">
        <v>452.96197158316915</v>
      </c>
      <c r="C1011" s="36">
        <f>'Lista de Preço 02_2022'!$B1011*0.9*0.9*0.9*0.9*0.9*0.97</f>
        <v>259.4454292</v>
      </c>
      <c r="D1011" s="36">
        <f>'Lista de Preço 02_2022'!$C1011*1.1712</f>
        <v>303.8624866</v>
      </c>
      <c r="E1011" s="37">
        <v>3.25</v>
      </c>
      <c r="F1011" s="38">
        <v>0.18</v>
      </c>
      <c r="G1011" s="38" t="s">
        <v>22</v>
      </c>
      <c r="H1011" s="39" t="s">
        <v>23</v>
      </c>
      <c r="I1011" s="40" t="s">
        <v>2617</v>
      </c>
      <c r="J1011" s="41" t="s">
        <v>25</v>
      </c>
      <c r="K1011" s="42" t="s">
        <v>68</v>
      </c>
      <c r="L1011" s="43" t="s">
        <v>2618</v>
      </c>
      <c r="M1011" s="44">
        <v>8.708999E7</v>
      </c>
      <c r="N1011" s="44" t="s">
        <v>28</v>
      </c>
      <c r="O1011" s="45">
        <v>3.368</v>
      </c>
      <c r="P1011" s="44">
        <v>7.899823502456E12</v>
      </c>
      <c r="Q1011" s="44">
        <v>1.0</v>
      </c>
    </row>
    <row r="1012" ht="15.75" customHeight="1">
      <c r="A1012" s="35" t="s">
        <v>2619</v>
      </c>
      <c r="B1012" s="36">
        <v>239.7242103223275</v>
      </c>
      <c r="C1012" s="36">
        <f>'Lista de Preço 02_2022'!$B1012*0.9*0.9*0.9*0.9*0.9*0.97</f>
        <v>137.3081065</v>
      </c>
      <c r="D1012" s="36">
        <f>'Lista de Preço 02_2022'!$C1012*1.1712</f>
        <v>160.8152543</v>
      </c>
      <c r="E1012" s="37">
        <v>3.25</v>
      </c>
      <c r="F1012" s="38">
        <v>0.18</v>
      </c>
      <c r="G1012" s="38" t="s">
        <v>22</v>
      </c>
      <c r="H1012" s="39" t="s">
        <v>23</v>
      </c>
      <c r="I1012" s="40" t="s">
        <v>2617</v>
      </c>
      <c r="J1012" s="41" t="s">
        <v>25</v>
      </c>
      <c r="K1012" s="42" t="s">
        <v>68</v>
      </c>
      <c r="L1012" s="43" t="s">
        <v>2620</v>
      </c>
      <c r="M1012" s="44">
        <v>8.708999E7</v>
      </c>
      <c r="N1012" s="44" t="s">
        <v>28</v>
      </c>
      <c r="O1012" s="45">
        <v>3.99</v>
      </c>
      <c r="P1012" s="44">
        <v>7.899823502463E12</v>
      </c>
      <c r="Q1012" s="44">
        <v>1.0</v>
      </c>
    </row>
    <row r="1013" ht="15.75" customHeight="1">
      <c r="A1013" s="35" t="s">
        <v>2621</v>
      </c>
      <c r="B1013" s="36">
        <v>545.3245016757713</v>
      </c>
      <c r="C1013" s="36">
        <f>'Lista de Preço 02_2022'!$B1013*0.9*0.9*0.9*0.9*0.9*0.97</f>
        <v>312.348405</v>
      </c>
      <c r="D1013" s="36">
        <f>'Lista de Preço 02_2022'!$C1013*1.1712</f>
        <v>365.822452</v>
      </c>
      <c r="E1013" s="37">
        <v>3.25</v>
      </c>
      <c r="F1013" s="38">
        <v>0.18</v>
      </c>
      <c r="G1013" s="38" t="s">
        <v>22</v>
      </c>
      <c r="H1013" s="39" t="s">
        <v>23</v>
      </c>
      <c r="I1013" s="40" t="s">
        <v>2622</v>
      </c>
      <c r="J1013" s="41" t="s">
        <v>25</v>
      </c>
      <c r="K1013" s="42" t="s">
        <v>86</v>
      </c>
      <c r="L1013" s="43" t="s">
        <v>2623</v>
      </c>
      <c r="M1013" s="44">
        <v>8.708999E7</v>
      </c>
      <c r="N1013" s="44" t="s">
        <v>28</v>
      </c>
      <c r="O1013" s="45">
        <v>2.42</v>
      </c>
      <c r="P1013" s="44">
        <v>7.899823502678E12</v>
      </c>
      <c r="Q1013" s="44">
        <v>1.0</v>
      </c>
    </row>
    <row r="1014" ht="15.75" customHeight="1">
      <c r="A1014" s="35" t="s">
        <v>2624</v>
      </c>
      <c r="B1014" s="36">
        <v>545.3245016757713</v>
      </c>
      <c r="C1014" s="36">
        <f>'Lista de Preço 02_2022'!$B1014*0.9*0.9*0.9*0.9*0.9*0.97</f>
        <v>312.348405</v>
      </c>
      <c r="D1014" s="36">
        <f>'Lista de Preço 02_2022'!$C1014*1.1712</f>
        <v>365.822452</v>
      </c>
      <c r="E1014" s="37">
        <v>3.25</v>
      </c>
      <c r="F1014" s="38">
        <v>0.18</v>
      </c>
      <c r="G1014" s="38" t="s">
        <v>22</v>
      </c>
      <c r="H1014" s="39" t="s">
        <v>23</v>
      </c>
      <c r="I1014" s="40" t="s">
        <v>2622</v>
      </c>
      <c r="J1014" s="41" t="s">
        <v>25</v>
      </c>
      <c r="K1014" s="42" t="s">
        <v>86</v>
      </c>
      <c r="L1014" s="43" t="s">
        <v>2625</v>
      </c>
      <c r="M1014" s="44">
        <v>8.708999E7</v>
      </c>
      <c r="N1014" s="44" t="s">
        <v>28</v>
      </c>
      <c r="O1014" s="45">
        <v>2.42</v>
      </c>
      <c r="P1014" s="44">
        <v>7.899823502685E12</v>
      </c>
      <c r="Q1014" s="44">
        <v>1.0</v>
      </c>
    </row>
    <row r="1015" ht="15.75" customHeight="1">
      <c r="A1015" s="35" t="s">
        <v>2626</v>
      </c>
      <c r="B1015" s="36">
        <v>577.8702453823269</v>
      </c>
      <c r="C1015" s="36">
        <f>'Lista de Preço 02_2022'!$B1015*0.9*0.9*0.9*0.9*0.9*0.97</f>
        <v>330.9898032</v>
      </c>
      <c r="D1015" s="36">
        <f>'Lista de Preço 02_2022'!$C1015*1.1712</f>
        <v>387.6552575</v>
      </c>
      <c r="E1015" s="37">
        <v>3.25</v>
      </c>
      <c r="F1015" s="38">
        <v>0.18</v>
      </c>
      <c r="G1015" s="38" t="s">
        <v>22</v>
      </c>
      <c r="H1015" s="39" t="s">
        <v>23</v>
      </c>
      <c r="I1015" s="40" t="s">
        <v>2622</v>
      </c>
      <c r="J1015" s="41" t="s">
        <v>25</v>
      </c>
      <c r="K1015" s="42" t="s">
        <v>86</v>
      </c>
      <c r="L1015" s="43" t="s">
        <v>2627</v>
      </c>
      <c r="M1015" s="44">
        <v>8.708999E7</v>
      </c>
      <c r="N1015" s="44" t="s">
        <v>28</v>
      </c>
      <c r="O1015" s="45">
        <v>2.48</v>
      </c>
      <c r="P1015" s="44">
        <v>7.899823502692E12</v>
      </c>
      <c r="Q1015" s="44">
        <v>1.0</v>
      </c>
    </row>
    <row r="1016" ht="15.75" customHeight="1">
      <c r="A1016" s="35" t="s">
        <v>2628</v>
      </c>
      <c r="B1016" s="36">
        <v>152.51674522024715</v>
      </c>
      <c r="C1016" s="36">
        <f>'Lista de Preço 02_2022'!$B1016*0.9*0.9*0.9*0.9*0.9*0.97</f>
        <v>87.3578245</v>
      </c>
      <c r="D1016" s="36">
        <f>'Lista de Preço 02_2022'!$C1016*1.1712</f>
        <v>102.3134841</v>
      </c>
      <c r="E1016" s="37">
        <v>3.25</v>
      </c>
      <c r="F1016" s="38">
        <v>0.18</v>
      </c>
      <c r="G1016" s="38" t="s">
        <v>22</v>
      </c>
      <c r="H1016" s="39" t="s">
        <v>43</v>
      </c>
      <c r="I1016" s="40" t="s">
        <v>2629</v>
      </c>
      <c r="J1016" s="41" t="s">
        <v>45</v>
      </c>
      <c r="K1016" s="42" t="s">
        <v>26</v>
      </c>
      <c r="L1016" s="43" t="s">
        <v>2630</v>
      </c>
      <c r="M1016" s="44">
        <v>8.708999E7</v>
      </c>
      <c r="N1016" s="44" t="s">
        <v>28</v>
      </c>
      <c r="O1016" s="45">
        <v>0.332</v>
      </c>
      <c r="P1016" s="44">
        <v>7.898233438164E12</v>
      </c>
      <c r="Q1016" s="44">
        <v>1.0</v>
      </c>
    </row>
    <row r="1017" ht="15.75" customHeight="1">
      <c r="A1017" s="35" t="s">
        <v>2631</v>
      </c>
      <c r="B1017" s="36">
        <v>677.1492847579221</v>
      </c>
      <c r="C1017" s="36">
        <f>'Lista de Preço 02_2022'!$B1017*0.9*0.9*0.9*0.9*0.9*0.97</f>
        <v>387.8543847</v>
      </c>
      <c r="D1017" s="36">
        <f>'Lista de Preço 02_2022'!$C1017*1.1712</f>
        <v>454.2550554</v>
      </c>
      <c r="E1017" s="37">
        <v>3.25</v>
      </c>
      <c r="F1017" s="38">
        <v>0.18</v>
      </c>
      <c r="G1017" s="38" t="s">
        <v>22</v>
      </c>
      <c r="H1017" s="39" t="s">
        <v>23</v>
      </c>
      <c r="I1017" s="40" t="s">
        <v>2632</v>
      </c>
      <c r="J1017" s="41" t="s">
        <v>500</v>
      </c>
      <c r="K1017" s="42" t="s">
        <v>68</v>
      </c>
      <c r="L1017" s="43" t="s">
        <v>2633</v>
      </c>
      <c r="M1017" s="44">
        <v>8.708999E7</v>
      </c>
      <c r="N1017" s="44" t="s">
        <v>28</v>
      </c>
      <c r="O1017" s="45">
        <v>4.166</v>
      </c>
      <c r="P1017" s="44">
        <v>7.89982350247E12</v>
      </c>
      <c r="Q1017" s="44">
        <v>1.0</v>
      </c>
    </row>
    <row r="1018" ht="15.75" customHeight="1">
      <c r="A1018" s="35" t="s">
        <v>2634</v>
      </c>
      <c r="B1018" s="36">
        <v>377.86603062010545</v>
      </c>
      <c r="C1018" s="36">
        <f>'Lista de Preço 02_2022'!$B1018*0.9*0.9*0.9*0.9*0.9*0.97</f>
        <v>216.432329</v>
      </c>
      <c r="D1018" s="36">
        <f>'Lista de Preço 02_2022'!$C1018*1.1712</f>
        <v>253.4855438</v>
      </c>
      <c r="E1018" s="37">
        <v>3.25</v>
      </c>
      <c r="F1018" s="38">
        <v>0.18</v>
      </c>
      <c r="G1018" s="38" t="s">
        <v>22</v>
      </c>
      <c r="H1018" s="39" t="s">
        <v>23</v>
      </c>
      <c r="I1018" s="40" t="s">
        <v>2635</v>
      </c>
      <c r="J1018" s="41" t="s">
        <v>500</v>
      </c>
      <c r="K1018" s="42" t="s">
        <v>26</v>
      </c>
      <c r="L1018" s="43" t="s">
        <v>2636</v>
      </c>
      <c r="M1018" s="44">
        <v>8.708999E7</v>
      </c>
      <c r="N1018" s="44" t="s">
        <v>28</v>
      </c>
      <c r="O1018" s="45">
        <v>3.206</v>
      </c>
      <c r="P1018" s="44">
        <v>7.899823502708E12</v>
      </c>
      <c r="Q1018" s="44">
        <v>1.0</v>
      </c>
    </row>
    <row r="1019" ht="15.75" customHeight="1">
      <c r="A1019" s="35" t="s">
        <v>2637</v>
      </c>
      <c r="B1019" s="36">
        <v>143.9425399694442</v>
      </c>
      <c r="C1019" s="36">
        <f>'Lista de Preço 02_2022'!$B1019*0.9*0.9*0.9*0.9*0.9*0.97</f>
        <v>82.44673151</v>
      </c>
      <c r="D1019" s="36">
        <f>'Lista de Preço 02_2022'!$C1019*1.1712</f>
        <v>96.56161195</v>
      </c>
      <c r="E1019" s="37">
        <v>3.25</v>
      </c>
      <c r="F1019" s="38">
        <v>0.18</v>
      </c>
      <c r="G1019" s="38" t="s">
        <v>22</v>
      </c>
      <c r="H1019" s="39" t="s">
        <v>23</v>
      </c>
      <c r="I1019" s="40" t="s">
        <v>2638</v>
      </c>
      <c r="J1019" s="41" t="s">
        <v>25</v>
      </c>
      <c r="K1019" s="42" t="s">
        <v>294</v>
      </c>
      <c r="L1019" s="43" t="s">
        <v>2639</v>
      </c>
      <c r="M1019" s="44">
        <v>8.708999E7</v>
      </c>
      <c r="N1019" s="44" t="s">
        <v>28</v>
      </c>
      <c r="O1019" s="45">
        <v>1.3</v>
      </c>
      <c r="P1019" s="44">
        <v>7.899823504412E12</v>
      </c>
      <c r="Q1019" s="44">
        <v>1.0</v>
      </c>
    </row>
    <row r="1020" ht="15.75" customHeight="1">
      <c r="A1020" s="35" t="s">
        <v>2640</v>
      </c>
      <c r="B1020" s="36">
        <v>145.06342232120704</v>
      </c>
      <c r="C1020" s="36">
        <f>'Lista de Preço 02_2022'!$B1020*0.9*0.9*0.9*0.9*0.9*0.97</f>
        <v>83.08874524</v>
      </c>
      <c r="D1020" s="36">
        <f>'Lista de Preço 02_2022'!$C1020*1.1712</f>
        <v>97.31353842</v>
      </c>
      <c r="E1020" s="37">
        <v>3.25</v>
      </c>
      <c r="F1020" s="38">
        <v>0.18</v>
      </c>
      <c r="G1020" s="38" t="s">
        <v>22</v>
      </c>
      <c r="H1020" s="39" t="s">
        <v>23</v>
      </c>
      <c r="I1020" s="40" t="s">
        <v>2641</v>
      </c>
      <c r="J1020" s="41" t="s">
        <v>1391</v>
      </c>
      <c r="K1020" s="42" t="s">
        <v>153</v>
      </c>
      <c r="L1020" s="43" t="s">
        <v>2642</v>
      </c>
      <c r="M1020" s="44">
        <v>8.708999E7</v>
      </c>
      <c r="N1020" s="44" t="s">
        <v>28</v>
      </c>
      <c r="O1020" s="45">
        <v>1.782</v>
      </c>
      <c r="P1020" s="44">
        <v>7.899823504429E12</v>
      </c>
      <c r="Q1020" s="44">
        <v>1.0</v>
      </c>
    </row>
    <row r="1021" ht="15.75" customHeight="1">
      <c r="A1021" s="35" t="s">
        <v>2643</v>
      </c>
      <c r="B1021" s="36">
        <v>222.85974367247007</v>
      </c>
      <c r="C1021" s="36">
        <f>'Lista de Preço 02_2022'!$B1021*0.9*0.9*0.9*0.9*0.9*0.97</f>
        <v>127.6485565</v>
      </c>
      <c r="D1021" s="36">
        <f>'Lista de Preço 02_2022'!$C1021*1.1712</f>
        <v>149.5019894</v>
      </c>
      <c r="E1021" s="37">
        <v>3.25</v>
      </c>
      <c r="F1021" s="38">
        <v>0.18</v>
      </c>
      <c r="G1021" s="38" t="s">
        <v>22</v>
      </c>
      <c r="H1021" s="39" t="s">
        <v>23</v>
      </c>
      <c r="I1021" s="40" t="s">
        <v>2644</v>
      </c>
      <c r="J1021" s="41" t="s">
        <v>500</v>
      </c>
      <c r="K1021" s="42" t="s">
        <v>73</v>
      </c>
      <c r="L1021" s="43" t="s">
        <v>2645</v>
      </c>
      <c r="M1021" s="44">
        <v>8.708999E7</v>
      </c>
      <c r="N1021" s="44" t="s">
        <v>28</v>
      </c>
      <c r="O1021" s="45">
        <v>3.1</v>
      </c>
      <c r="P1021" s="44">
        <v>7.899823504436E12</v>
      </c>
      <c r="Q1021" s="44">
        <v>1.0</v>
      </c>
    </row>
    <row r="1022" ht="15.75" customHeight="1">
      <c r="A1022" s="35" t="s">
        <v>2646</v>
      </c>
      <c r="B1022" s="36">
        <v>509.3058662300307</v>
      </c>
      <c r="C1022" s="36">
        <f>'Lista de Preço 02_2022'!$B1022*0.9*0.9*0.9*0.9*0.9*0.97</f>
        <v>291.7178203</v>
      </c>
      <c r="D1022" s="36">
        <f>'Lista de Preço 02_2022'!$C1022*1.1712</f>
        <v>341.6599112</v>
      </c>
      <c r="E1022" s="37">
        <v>3.25</v>
      </c>
      <c r="F1022" s="38">
        <v>0.18</v>
      </c>
      <c r="G1022" s="38" t="s">
        <v>22</v>
      </c>
      <c r="H1022" s="39" t="s">
        <v>23</v>
      </c>
      <c r="I1022" s="40" t="s">
        <v>2647</v>
      </c>
      <c r="J1022" s="41" t="s">
        <v>25</v>
      </c>
      <c r="K1022" s="42" t="s">
        <v>26</v>
      </c>
      <c r="L1022" s="43" t="s">
        <v>2648</v>
      </c>
      <c r="M1022" s="44">
        <v>8.708999E7</v>
      </c>
      <c r="N1022" s="44" t="s">
        <v>28</v>
      </c>
      <c r="O1022" s="45">
        <v>3.386</v>
      </c>
      <c r="P1022" s="44">
        <v>7.899823505983E12</v>
      </c>
      <c r="Q1022" s="44">
        <v>1.0</v>
      </c>
    </row>
    <row r="1023" ht="15.75" customHeight="1">
      <c r="A1023" s="35" t="s">
        <v>2649</v>
      </c>
      <c r="B1023" s="36">
        <v>139.18656473874114</v>
      </c>
      <c r="C1023" s="36">
        <f>'Lista de Preço 02_2022'!$B1023*0.9*0.9*0.9*0.9*0.9*0.97</f>
        <v>79.72262637</v>
      </c>
      <c r="D1023" s="36">
        <f>'Lista de Preço 02_2022'!$C1023*1.1712</f>
        <v>93.37114001</v>
      </c>
      <c r="E1023" s="37">
        <v>3.25</v>
      </c>
      <c r="F1023" s="38">
        <v>0.18</v>
      </c>
      <c r="G1023" s="38" t="s">
        <v>22</v>
      </c>
      <c r="H1023" s="39" t="s">
        <v>65</v>
      </c>
      <c r="I1023" s="40" t="s">
        <v>2650</v>
      </c>
      <c r="J1023" s="41" t="s">
        <v>67</v>
      </c>
      <c r="K1023" s="42" t="s">
        <v>294</v>
      </c>
      <c r="L1023" s="43" t="s">
        <v>2651</v>
      </c>
      <c r="M1023" s="44">
        <v>8.708999E7</v>
      </c>
      <c r="N1023" s="44" t="s">
        <v>28</v>
      </c>
      <c r="O1023" s="45">
        <v>0.745</v>
      </c>
      <c r="P1023" s="44">
        <v>7.899823504443E12</v>
      </c>
      <c r="Q1023" s="44">
        <v>1.0</v>
      </c>
    </row>
    <row r="1024" ht="15.75" customHeight="1">
      <c r="A1024" s="35" t="s">
        <v>2652</v>
      </c>
      <c r="B1024" s="36">
        <v>180.57721727781978</v>
      </c>
      <c r="C1024" s="36">
        <f>'Lista de Preço 02_2022'!$B1024*0.9*0.9*0.9*0.9*0.9*0.97</f>
        <v>103.4301698</v>
      </c>
      <c r="D1024" s="36">
        <f>'Lista de Preço 02_2022'!$C1024*1.1712</f>
        <v>121.1374149</v>
      </c>
      <c r="E1024" s="37">
        <v>3.25</v>
      </c>
      <c r="F1024" s="38">
        <v>0.18</v>
      </c>
      <c r="G1024" s="38" t="s">
        <v>22</v>
      </c>
      <c r="H1024" s="39" t="s">
        <v>65</v>
      </c>
      <c r="I1024" s="40" t="s">
        <v>2653</v>
      </c>
      <c r="J1024" s="41" t="s">
        <v>67</v>
      </c>
      <c r="K1024" s="42" t="s">
        <v>153</v>
      </c>
      <c r="L1024" s="43" t="s">
        <v>2654</v>
      </c>
      <c r="M1024" s="44">
        <v>8.708999E7</v>
      </c>
      <c r="N1024" s="44" t="s">
        <v>28</v>
      </c>
      <c r="O1024" s="45">
        <v>1.28</v>
      </c>
      <c r="P1024" s="44">
        <v>7.899823505006E12</v>
      </c>
      <c r="Q1024" s="44">
        <v>1.0</v>
      </c>
    </row>
    <row r="1025" ht="15.75" customHeight="1">
      <c r="A1025" s="35" t="s">
        <v>2655</v>
      </c>
      <c r="B1025" s="36">
        <v>261.66082114140846</v>
      </c>
      <c r="C1025" s="36">
        <f>'Lista de Preço 02_2022'!$B1025*0.9*0.9*0.9*0.9*0.9*0.97</f>
        <v>149.8728553</v>
      </c>
      <c r="D1025" s="36">
        <f>'Lista de Preço 02_2022'!$C1025*1.1712</f>
        <v>175.5310882</v>
      </c>
      <c r="E1025" s="37">
        <v>3.25</v>
      </c>
      <c r="F1025" s="38">
        <v>0.18</v>
      </c>
      <c r="G1025" s="38" t="s">
        <v>22</v>
      </c>
      <c r="H1025" s="39" t="s">
        <v>23</v>
      </c>
      <c r="I1025" s="40" t="s">
        <v>2656</v>
      </c>
      <c r="J1025" s="41" t="s">
        <v>1391</v>
      </c>
      <c r="K1025" s="42" t="s">
        <v>157</v>
      </c>
      <c r="L1025" s="43" t="s">
        <v>2657</v>
      </c>
      <c r="M1025" s="44">
        <v>8.708999E7</v>
      </c>
      <c r="N1025" s="44" t="s">
        <v>28</v>
      </c>
      <c r="O1025" s="45">
        <v>2.32</v>
      </c>
      <c r="P1025" s="44">
        <v>7.899823505129E12</v>
      </c>
      <c r="Q1025" s="44">
        <v>1.0</v>
      </c>
    </row>
    <row r="1026" ht="15.75" customHeight="1">
      <c r="A1026" s="35" t="s">
        <v>2658</v>
      </c>
      <c r="B1026" s="36">
        <v>468.6332231311391</v>
      </c>
      <c r="C1026" s="36">
        <f>'Lista de Preço 02_2022'!$B1026*0.9*0.9*0.9*0.9*0.9*0.97</f>
        <v>268.421535</v>
      </c>
      <c r="D1026" s="36">
        <f>'Lista de Preço 02_2022'!$C1026*1.1712</f>
        <v>314.3753018</v>
      </c>
      <c r="E1026" s="37">
        <v>3.25</v>
      </c>
      <c r="F1026" s="38">
        <v>0.18</v>
      </c>
      <c r="G1026" s="38" t="s">
        <v>22</v>
      </c>
      <c r="H1026" s="39" t="s">
        <v>23</v>
      </c>
      <c r="I1026" s="40" t="s">
        <v>2659</v>
      </c>
      <c r="J1026" s="41" t="s">
        <v>1391</v>
      </c>
      <c r="K1026" s="42" t="s">
        <v>157</v>
      </c>
      <c r="L1026" s="43" t="s">
        <v>2660</v>
      </c>
      <c r="M1026" s="44">
        <v>8.708999E7</v>
      </c>
      <c r="N1026" s="44" t="s">
        <v>28</v>
      </c>
      <c r="O1026" s="45">
        <v>3.374</v>
      </c>
      <c r="P1026" s="44">
        <v>7.899823507079E12</v>
      </c>
      <c r="Q1026" s="44">
        <v>1.0</v>
      </c>
    </row>
    <row r="1027" ht="15.75" customHeight="1">
      <c r="A1027" s="35" t="s">
        <v>2661</v>
      </c>
      <c r="B1027" s="36">
        <v>42.34571047436626</v>
      </c>
      <c r="C1027" s="36">
        <f>'Lista de Preço 02_2022'!$B1027*0.9*0.9*0.9*0.9*0.9*0.97</f>
        <v>24.25457702</v>
      </c>
      <c r="D1027" s="36">
        <f>'Lista de Preço 02_2022'!$C1027*1.1712</f>
        <v>28.40696061</v>
      </c>
      <c r="E1027" s="37">
        <v>3.25</v>
      </c>
      <c r="F1027" s="38">
        <v>0.18</v>
      </c>
      <c r="G1027" s="38" t="s">
        <v>22</v>
      </c>
      <c r="H1027" s="39" t="s">
        <v>30</v>
      </c>
      <c r="I1027" s="40" t="s">
        <v>2662</v>
      </c>
      <c r="J1027" s="41" t="s">
        <v>338</v>
      </c>
      <c r="K1027" s="42" t="s">
        <v>26</v>
      </c>
      <c r="L1027" s="43">
        <v>26434.0</v>
      </c>
      <c r="M1027" s="44">
        <v>8.708999E7</v>
      </c>
      <c r="N1027" s="44" t="s">
        <v>28</v>
      </c>
      <c r="O1027" s="45">
        <v>0.468</v>
      </c>
      <c r="P1027" s="44">
        <v>7.898233430335E12</v>
      </c>
      <c r="Q1027" s="44">
        <v>1.0</v>
      </c>
    </row>
    <row r="1028" ht="15.75" customHeight="1">
      <c r="A1028" s="35" t="s">
        <v>2663</v>
      </c>
      <c r="B1028" s="36">
        <v>88.13014922411703</v>
      </c>
      <c r="C1028" s="36">
        <f>'Lista de Preço 02_2022'!$B1028*0.9*0.9*0.9*0.9*0.9*0.97</f>
        <v>50.47877266</v>
      </c>
      <c r="D1028" s="36">
        <f>'Lista de Preço 02_2022'!$C1028*1.1712</f>
        <v>59.12073854</v>
      </c>
      <c r="E1028" s="37">
        <v>3.25</v>
      </c>
      <c r="F1028" s="38">
        <v>0.18</v>
      </c>
      <c r="G1028" s="38" t="s">
        <v>22</v>
      </c>
      <c r="H1028" s="39" t="s">
        <v>43</v>
      </c>
      <c r="I1028" s="40" t="s">
        <v>2664</v>
      </c>
      <c r="J1028" s="41" t="s">
        <v>45</v>
      </c>
      <c r="K1028" s="42" t="s">
        <v>68</v>
      </c>
      <c r="L1028" s="43" t="s">
        <v>2665</v>
      </c>
      <c r="M1028" s="44">
        <v>8.708999E7</v>
      </c>
      <c r="N1028" s="44" t="s">
        <v>28</v>
      </c>
      <c r="O1028" s="45">
        <v>0.392</v>
      </c>
      <c r="P1028" s="44">
        <v>7.899823502753E12</v>
      </c>
      <c r="Q1028" s="44">
        <v>1.0</v>
      </c>
    </row>
    <row r="1029" ht="15.75" customHeight="1">
      <c r="A1029" s="35" t="s">
        <v>2666</v>
      </c>
      <c r="B1029" s="36">
        <v>152.51674522024715</v>
      </c>
      <c r="C1029" s="36">
        <f>'Lista de Preço 02_2022'!$B1029*0.9*0.9*0.9*0.9*0.9*0.97</f>
        <v>87.3578245</v>
      </c>
      <c r="D1029" s="36">
        <f>'Lista de Preço 02_2022'!$C1029*1.1712</f>
        <v>102.3134841</v>
      </c>
      <c r="E1029" s="37">
        <v>3.25</v>
      </c>
      <c r="F1029" s="38">
        <v>0.18</v>
      </c>
      <c r="G1029" s="38" t="s">
        <v>22</v>
      </c>
      <c r="H1029" s="39" t="s">
        <v>43</v>
      </c>
      <c r="I1029" s="40" t="s">
        <v>2667</v>
      </c>
      <c r="J1029" s="41" t="s">
        <v>45</v>
      </c>
      <c r="K1029" s="42" t="s">
        <v>157</v>
      </c>
      <c r="L1029" s="43" t="s">
        <v>800</v>
      </c>
      <c r="M1029" s="44">
        <v>8.708999E7</v>
      </c>
      <c r="N1029" s="44" t="s">
        <v>28</v>
      </c>
      <c r="O1029" s="45">
        <v>0.332</v>
      </c>
      <c r="P1029" s="44">
        <v>7.89982350276E12</v>
      </c>
      <c r="Q1029" s="44">
        <v>1.0</v>
      </c>
    </row>
    <row r="1030" ht="15.75" customHeight="1">
      <c r="A1030" s="35" t="s">
        <v>2668</v>
      </c>
      <c r="B1030" s="36">
        <v>94.89588700549653</v>
      </c>
      <c r="C1030" s="36">
        <f>'Lista de Preço 02_2022'!$B1030*0.9*0.9*0.9*0.9*0.9*0.97</f>
        <v>54.35402015</v>
      </c>
      <c r="D1030" s="36">
        <f>'Lista de Preço 02_2022'!$C1030*1.1712</f>
        <v>63.6594284</v>
      </c>
      <c r="E1030" s="37">
        <v>3.25</v>
      </c>
      <c r="F1030" s="38">
        <v>0.18</v>
      </c>
      <c r="G1030" s="38" t="s">
        <v>22</v>
      </c>
      <c r="H1030" s="39" t="s">
        <v>43</v>
      </c>
      <c r="I1030" s="40" t="s">
        <v>2669</v>
      </c>
      <c r="J1030" s="41" t="s">
        <v>45</v>
      </c>
      <c r="K1030" s="42" t="s">
        <v>68</v>
      </c>
      <c r="L1030" s="43" t="s">
        <v>2670</v>
      </c>
      <c r="M1030" s="44">
        <v>8.708999E7</v>
      </c>
      <c r="N1030" s="44" t="s">
        <v>28</v>
      </c>
      <c r="O1030" s="45">
        <v>0.348</v>
      </c>
      <c r="P1030" s="44">
        <v>7.899823502777E12</v>
      </c>
      <c r="Q1030" s="44">
        <v>1.0</v>
      </c>
    </row>
    <row r="1031" ht="15.75" customHeight="1">
      <c r="A1031" s="35" t="s">
        <v>2671</v>
      </c>
      <c r="B1031" s="36">
        <v>110.1620113068148</v>
      </c>
      <c r="C1031" s="36">
        <f>'Lista de Preço 02_2022'!$B1031*0.9*0.9*0.9*0.9*0.9*0.97</f>
        <v>63.09807907</v>
      </c>
      <c r="D1031" s="36">
        <f>'Lista de Preço 02_2022'!$C1031*1.1712</f>
        <v>73.90047021</v>
      </c>
      <c r="E1031" s="37">
        <v>3.25</v>
      </c>
      <c r="F1031" s="38">
        <v>0.18</v>
      </c>
      <c r="G1031" s="38" t="s">
        <v>22</v>
      </c>
      <c r="H1031" s="39" t="s">
        <v>43</v>
      </c>
      <c r="I1031" s="40" t="s">
        <v>2672</v>
      </c>
      <c r="J1031" s="41" t="s">
        <v>45</v>
      </c>
      <c r="K1031" s="42" t="s">
        <v>68</v>
      </c>
      <c r="L1031" s="43" t="s">
        <v>811</v>
      </c>
      <c r="M1031" s="44">
        <v>8.708999E7</v>
      </c>
      <c r="N1031" s="44" t="s">
        <v>28</v>
      </c>
      <c r="O1031" s="45">
        <v>0.262</v>
      </c>
      <c r="P1031" s="44">
        <v>7.899823502784E12</v>
      </c>
      <c r="Q1031" s="44">
        <v>1.0</v>
      </c>
    </row>
    <row r="1032" ht="15.75" customHeight="1">
      <c r="A1032" s="35" t="s">
        <v>2673</v>
      </c>
      <c r="B1032" s="36">
        <v>122.01285599753251</v>
      </c>
      <c r="C1032" s="36">
        <f>'Lista de Preço 02_2022'!$B1032*0.9*0.9*0.9*0.9*0.9*0.97</f>
        <v>69.8859502</v>
      </c>
      <c r="D1032" s="36">
        <f>'Lista de Preço 02_2022'!$C1032*1.1712</f>
        <v>81.85042487</v>
      </c>
      <c r="E1032" s="37">
        <v>3.25</v>
      </c>
      <c r="F1032" s="38">
        <v>0.18</v>
      </c>
      <c r="G1032" s="38" t="s">
        <v>22</v>
      </c>
      <c r="H1032" s="39" t="s">
        <v>43</v>
      </c>
      <c r="I1032" s="40" t="s">
        <v>2674</v>
      </c>
      <c r="J1032" s="41" t="s">
        <v>45</v>
      </c>
      <c r="K1032" s="42" t="s">
        <v>507</v>
      </c>
      <c r="L1032" s="43" t="s">
        <v>2675</v>
      </c>
      <c r="M1032" s="44">
        <v>8.708999E7</v>
      </c>
      <c r="N1032" s="44" t="s">
        <v>28</v>
      </c>
      <c r="O1032" s="45">
        <v>0.486</v>
      </c>
      <c r="P1032" s="44">
        <v>7.899823502791E12</v>
      </c>
      <c r="Q1032" s="44">
        <v>1.0</v>
      </c>
    </row>
    <row r="1033" ht="15.75" customHeight="1">
      <c r="A1033" s="35" t="s">
        <v>2676</v>
      </c>
      <c r="B1033" s="36">
        <v>152.51674522024715</v>
      </c>
      <c r="C1033" s="36">
        <f>'Lista de Preço 02_2022'!$B1033*0.9*0.9*0.9*0.9*0.9*0.97</f>
        <v>87.3578245</v>
      </c>
      <c r="D1033" s="36">
        <f>'Lista de Preço 02_2022'!$C1033*1.1712</f>
        <v>102.3134841</v>
      </c>
      <c r="E1033" s="37">
        <v>3.25</v>
      </c>
      <c r="F1033" s="38">
        <v>0.18</v>
      </c>
      <c r="G1033" s="38" t="s">
        <v>22</v>
      </c>
      <c r="H1033" s="39" t="s">
        <v>43</v>
      </c>
      <c r="I1033" s="40" t="s">
        <v>2677</v>
      </c>
      <c r="J1033" s="41" t="s">
        <v>2104</v>
      </c>
      <c r="K1033" s="42" t="s">
        <v>157</v>
      </c>
      <c r="L1033" s="43" t="s">
        <v>838</v>
      </c>
      <c r="M1033" s="44">
        <v>8.708999E7</v>
      </c>
      <c r="N1033" s="44" t="s">
        <v>28</v>
      </c>
      <c r="O1033" s="45">
        <v>0.454</v>
      </c>
      <c r="P1033" s="44">
        <v>7.899823502807E12</v>
      </c>
      <c r="Q1033" s="44">
        <v>1.0</v>
      </c>
    </row>
    <row r="1034" ht="15.75" customHeight="1">
      <c r="A1034" s="35" t="s">
        <v>2678</v>
      </c>
      <c r="B1034" s="36">
        <v>162.67480501895702</v>
      </c>
      <c r="C1034" s="36">
        <f>'Lista de Preço 02_2022'!$B1034*0.9*0.9*0.9*0.9*0.9*0.97</f>
        <v>93.17611025</v>
      </c>
      <c r="D1034" s="36">
        <f>'Lista de Preço 02_2022'!$C1034*1.1712</f>
        <v>109.1278603</v>
      </c>
      <c r="E1034" s="37">
        <v>3.25</v>
      </c>
      <c r="F1034" s="38">
        <v>0.18</v>
      </c>
      <c r="G1034" s="38" t="s">
        <v>22</v>
      </c>
      <c r="H1034" s="39" t="s">
        <v>43</v>
      </c>
      <c r="I1034" s="40" t="s">
        <v>2679</v>
      </c>
      <c r="J1034" s="41" t="s">
        <v>45</v>
      </c>
      <c r="K1034" s="42" t="s">
        <v>507</v>
      </c>
      <c r="L1034" s="43" t="s">
        <v>2680</v>
      </c>
      <c r="M1034" s="44">
        <v>8.708999E7</v>
      </c>
      <c r="N1034" s="44" t="s">
        <v>28</v>
      </c>
      <c r="O1034" s="45">
        <v>0.68</v>
      </c>
      <c r="P1034" s="44">
        <v>7.899823502814E12</v>
      </c>
      <c r="Q1034" s="44">
        <v>1.0</v>
      </c>
    </row>
    <row r="1035" ht="15.75" customHeight="1">
      <c r="A1035" s="35" t="s">
        <v>2681</v>
      </c>
      <c r="B1035" s="36">
        <v>64.40280135608552</v>
      </c>
      <c r="C1035" s="36">
        <f>'Lista de Preço 02_2022'!$B1035*0.9*0.9*0.9*0.9*0.9*0.97</f>
        <v>36.88833387</v>
      </c>
      <c r="D1035" s="36">
        <f>'Lista de Preço 02_2022'!$C1035*1.1712</f>
        <v>43.20361663</v>
      </c>
      <c r="E1035" s="37">
        <v>3.25</v>
      </c>
      <c r="F1035" s="38">
        <v>0.18</v>
      </c>
      <c r="G1035" s="38" t="s">
        <v>22</v>
      </c>
      <c r="H1035" s="39" t="s">
        <v>43</v>
      </c>
      <c r="I1035" s="40" t="s">
        <v>2682</v>
      </c>
      <c r="J1035" s="41" t="s">
        <v>45</v>
      </c>
      <c r="K1035" s="42" t="s">
        <v>153</v>
      </c>
      <c r="L1035" s="43" t="s">
        <v>2683</v>
      </c>
      <c r="M1035" s="44">
        <v>8.708999E7</v>
      </c>
      <c r="N1035" s="44" t="s">
        <v>28</v>
      </c>
      <c r="O1035" s="45">
        <v>0.44</v>
      </c>
      <c r="P1035" s="44">
        <v>7.899823502821E12</v>
      </c>
      <c r="Q1035" s="44">
        <v>1.0</v>
      </c>
    </row>
    <row r="1036" ht="15.75" customHeight="1">
      <c r="A1036" s="35" t="s">
        <v>2684</v>
      </c>
      <c r="B1036" s="36">
        <v>176.23328951497504</v>
      </c>
      <c r="C1036" s="36">
        <f>'Lista de Preço 02_2022'!$B1036*0.9*0.9*0.9*0.9*0.9*0.97</f>
        <v>100.9420753</v>
      </c>
      <c r="D1036" s="36">
        <f>'Lista de Preço 02_2022'!$C1036*1.1712</f>
        <v>118.2233586</v>
      </c>
      <c r="E1036" s="37">
        <v>3.25</v>
      </c>
      <c r="F1036" s="38">
        <v>0.18</v>
      </c>
      <c r="G1036" s="38" t="s">
        <v>22</v>
      </c>
      <c r="H1036" s="39" t="s">
        <v>43</v>
      </c>
      <c r="I1036" s="40" t="s">
        <v>2685</v>
      </c>
      <c r="J1036" s="41" t="s">
        <v>2104</v>
      </c>
      <c r="K1036" s="42" t="s">
        <v>507</v>
      </c>
      <c r="L1036" s="43" t="s">
        <v>855</v>
      </c>
      <c r="M1036" s="44">
        <v>8.708999E7</v>
      </c>
      <c r="N1036" s="44" t="s">
        <v>28</v>
      </c>
      <c r="O1036" s="45">
        <v>0.44</v>
      </c>
      <c r="P1036" s="44">
        <v>7.899823504566E12</v>
      </c>
      <c r="Q1036" s="44">
        <v>1.0</v>
      </c>
    </row>
    <row r="1037" ht="15.75" customHeight="1">
      <c r="A1037" s="35" t="s">
        <v>2686</v>
      </c>
      <c r="B1037" s="36">
        <v>177.934852310292</v>
      </c>
      <c r="C1037" s="36">
        <f>'Lista de Preço 02_2022'!$B1037*0.9*0.9*0.9*0.9*0.9*0.97</f>
        <v>101.9166884</v>
      </c>
      <c r="D1037" s="36">
        <f>'Lista de Preço 02_2022'!$C1037*1.1712</f>
        <v>119.3648255</v>
      </c>
      <c r="E1037" s="37">
        <v>3.25</v>
      </c>
      <c r="F1037" s="38">
        <v>0.18</v>
      </c>
      <c r="G1037" s="38" t="s">
        <v>22</v>
      </c>
      <c r="H1037" s="39" t="s">
        <v>43</v>
      </c>
      <c r="I1037" s="40" t="s">
        <v>2687</v>
      </c>
      <c r="J1037" s="41" t="s">
        <v>45</v>
      </c>
      <c r="K1037" s="42" t="s">
        <v>95</v>
      </c>
      <c r="L1037" s="43" t="s">
        <v>2688</v>
      </c>
      <c r="M1037" s="44">
        <v>8.708999E7</v>
      </c>
      <c r="N1037" s="44" t="s">
        <v>28</v>
      </c>
      <c r="O1037" s="45">
        <v>0.448</v>
      </c>
      <c r="P1037" s="44">
        <v>7.899823502838E12</v>
      </c>
      <c r="Q1037" s="44">
        <v>1.0</v>
      </c>
    </row>
    <row r="1038" ht="15.75" customHeight="1">
      <c r="A1038" s="35" t="s">
        <v>2689</v>
      </c>
      <c r="B1038" s="36">
        <v>1113.1949042330734</v>
      </c>
      <c r="C1038" s="36">
        <f>'Lista de Preço 02_2022'!$B1038*0.9*0.9*0.9*0.9*0.9*0.97</f>
        <v>637.6105452</v>
      </c>
      <c r="D1038" s="36">
        <f>'Lista de Preço 02_2022'!$C1038*1.1712</f>
        <v>746.7694706</v>
      </c>
      <c r="E1038" s="37">
        <v>3.25</v>
      </c>
      <c r="F1038" s="38">
        <v>0.18</v>
      </c>
      <c r="G1038" s="38" t="s">
        <v>22</v>
      </c>
      <c r="H1038" s="39" t="s">
        <v>23</v>
      </c>
      <c r="I1038" s="40" t="s">
        <v>2690</v>
      </c>
      <c r="J1038" s="41" t="s">
        <v>2166</v>
      </c>
      <c r="K1038" s="42" t="s">
        <v>26</v>
      </c>
      <c r="L1038" s="43" t="s">
        <v>2691</v>
      </c>
      <c r="M1038" s="44">
        <v>8.708999E7</v>
      </c>
      <c r="N1038" s="44" t="s">
        <v>28</v>
      </c>
      <c r="O1038" s="45">
        <v>10.72</v>
      </c>
      <c r="P1038" s="44">
        <v>7.898233437815E12</v>
      </c>
      <c r="Q1038" s="44">
        <v>1.0</v>
      </c>
    </row>
    <row r="1039" ht="15.75" customHeight="1">
      <c r="A1039" s="35" t="s">
        <v>2692</v>
      </c>
      <c r="B1039" s="36">
        <v>149.12982498956856</v>
      </c>
      <c r="C1039" s="36">
        <f>'Lista de Preço 02_2022'!$B1039*0.9*0.9*0.9*0.9*0.9*0.97</f>
        <v>85.41788025</v>
      </c>
      <c r="D1039" s="36">
        <f>'Lista de Preço 02_2022'!$C1039*1.1712</f>
        <v>100.0414213</v>
      </c>
      <c r="E1039" s="37">
        <v>3.25</v>
      </c>
      <c r="F1039" s="38">
        <v>0.18</v>
      </c>
      <c r="G1039" s="38" t="s">
        <v>22</v>
      </c>
      <c r="H1039" s="39" t="s">
        <v>43</v>
      </c>
      <c r="I1039" s="40" t="s">
        <v>2693</v>
      </c>
      <c r="J1039" s="41" t="s">
        <v>2104</v>
      </c>
      <c r="K1039" s="42" t="s">
        <v>507</v>
      </c>
      <c r="L1039" s="43" t="s">
        <v>855</v>
      </c>
      <c r="M1039" s="44">
        <v>8.708999E7</v>
      </c>
      <c r="N1039" s="44" t="s">
        <v>28</v>
      </c>
      <c r="O1039" s="45">
        <v>0.564</v>
      </c>
      <c r="P1039" s="44">
        <v>7.899823502845E12</v>
      </c>
      <c r="Q1039" s="44">
        <v>1.0</v>
      </c>
    </row>
    <row r="1040" ht="15.75" customHeight="1">
      <c r="A1040" s="35" t="s">
        <v>2694</v>
      </c>
      <c r="B1040" s="36">
        <v>192.7303459495722</v>
      </c>
      <c r="C1040" s="36">
        <f>'Lista de Preço 02_2022'!$B1040*0.9*0.9*0.9*0.9*0.9*0.97</f>
        <v>110.3911817</v>
      </c>
      <c r="D1040" s="36">
        <f>'Lista de Preço 02_2022'!$C1040*1.1712</f>
        <v>129.290152</v>
      </c>
      <c r="E1040" s="37">
        <v>3.25</v>
      </c>
      <c r="F1040" s="38">
        <v>0.18</v>
      </c>
      <c r="G1040" s="38" t="s">
        <v>22</v>
      </c>
      <c r="H1040" s="39" t="s">
        <v>43</v>
      </c>
      <c r="I1040" s="40" t="s">
        <v>2695</v>
      </c>
      <c r="J1040" s="41" t="s">
        <v>45</v>
      </c>
      <c r="K1040" s="42" t="s">
        <v>507</v>
      </c>
      <c r="L1040" s="43" t="s">
        <v>855</v>
      </c>
      <c r="M1040" s="44">
        <v>8.708999E7</v>
      </c>
      <c r="N1040" s="44" t="s">
        <v>28</v>
      </c>
      <c r="O1040" s="45">
        <v>0.552</v>
      </c>
      <c r="P1040" s="44">
        <v>7.899823502852E12</v>
      </c>
      <c r="Q1040" s="44">
        <v>1.0</v>
      </c>
    </row>
    <row r="1041" ht="15.75" customHeight="1">
      <c r="A1041" s="35" t="s">
        <v>2696</v>
      </c>
      <c r="B1041" s="36">
        <v>98.12345452994701</v>
      </c>
      <c r="C1041" s="36">
        <f>'Lista de Preço 02_2022'!$B1041*0.9*0.9*0.9*0.9*0.9*0.97</f>
        <v>56.20269111</v>
      </c>
      <c r="D1041" s="36">
        <f>'Lista de Preço 02_2022'!$C1041*1.1712</f>
        <v>65.82459182</v>
      </c>
      <c r="E1041" s="37">
        <v>3.25</v>
      </c>
      <c r="F1041" s="38">
        <v>0.18</v>
      </c>
      <c r="G1041" s="38" t="s">
        <v>22</v>
      </c>
      <c r="H1041" s="39" t="s">
        <v>43</v>
      </c>
      <c r="I1041" s="40" t="s">
        <v>859</v>
      </c>
      <c r="J1041" s="41" t="s">
        <v>45</v>
      </c>
      <c r="K1041" s="42" t="s">
        <v>507</v>
      </c>
      <c r="L1041" s="43" t="s">
        <v>860</v>
      </c>
      <c r="M1041" s="44">
        <v>8.708999E7</v>
      </c>
      <c r="N1041" s="44" t="s">
        <v>28</v>
      </c>
      <c r="O1041" s="45">
        <v>0.256</v>
      </c>
      <c r="P1041" s="44">
        <v>7.899823502869E12</v>
      </c>
      <c r="Q1041" s="44">
        <v>1.0</v>
      </c>
    </row>
    <row r="1042" ht="15.75" customHeight="1">
      <c r="A1042" s="35" t="s">
        <v>2697</v>
      </c>
      <c r="B1042" s="36">
        <v>132.46531316876553</v>
      </c>
      <c r="C1042" s="36">
        <f>'Lista de Preço 02_2022'!$B1042*0.9*0.9*0.9*0.9*0.9*0.97</f>
        <v>75.87285949</v>
      </c>
      <c r="D1042" s="36">
        <f>'Lista de Preço 02_2022'!$C1042*1.1712</f>
        <v>88.86229303</v>
      </c>
      <c r="E1042" s="37">
        <v>3.25</v>
      </c>
      <c r="F1042" s="38">
        <v>0.18</v>
      </c>
      <c r="G1042" s="38" t="s">
        <v>22</v>
      </c>
      <c r="H1042" s="39" t="s">
        <v>43</v>
      </c>
      <c r="I1042" s="40" t="s">
        <v>1177</v>
      </c>
      <c r="J1042" s="41" t="s">
        <v>45</v>
      </c>
      <c r="K1042" s="42" t="s">
        <v>68</v>
      </c>
      <c r="L1042" s="43" t="s">
        <v>863</v>
      </c>
      <c r="M1042" s="44">
        <v>8.708999E7</v>
      </c>
      <c r="N1042" s="44" t="s">
        <v>28</v>
      </c>
      <c r="O1042" s="45">
        <v>0.468</v>
      </c>
      <c r="P1042" s="44">
        <v>7.899823502876E12</v>
      </c>
      <c r="Q1042" s="44">
        <v>1.0</v>
      </c>
    </row>
    <row r="1043" ht="15.75" customHeight="1">
      <c r="A1043" s="35" t="s">
        <v>2698</v>
      </c>
      <c r="B1043" s="36">
        <v>154.18049550900153</v>
      </c>
      <c r="C1043" s="36">
        <f>'Lista de Preço 02_2022'!$B1043*0.9*0.9*0.9*0.9*0.9*0.97</f>
        <v>88.31077957</v>
      </c>
      <c r="D1043" s="36">
        <f>'Lista de Preço 02_2022'!$C1043*1.1712</f>
        <v>103.429585</v>
      </c>
      <c r="E1043" s="37">
        <v>3.25</v>
      </c>
      <c r="F1043" s="38">
        <v>0.18</v>
      </c>
      <c r="G1043" s="38" t="s">
        <v>22</v>
      </c>
      <c r="H1043" s="39" t="s">
        <v>43</v>
      </c>
      <c r="I1043" s="40" t="s">
        <v>2699</v>
      </c>
      <c r="J1043" s="41" t="s">
        <v>2104</v>
      </c>
      <c r="K1043" s="42" t="s">
        <v>507</v>
      </c>
      <c r="L1043" s="43" t="s">
        <v>855</v>
      </c>
      <c r="M1043" s="44">
        <v>8.708999E7</v>
      </c>
      <c r="N1043" s="44" t="s">
        <v>28</v>
      </c>
      <c r="O1043" s="45">
        <v>0.578</v>
      </c>
      <c r="P1043" s="44">
        <v>7.899823502883E12</v>
      </c>
      <c r="Q1043" s="44">
        <v>1.0</v>
      </c>
    </row>
    <row r="1044" ht="15.75" customHeight="1">
      <c r="A1044" s="35" t="s">
        <v>2700</v>
      </c>
      <c r="B1044" s="36">
        <v>181.3582346008703</v>
      </c>
      <c r="C1044" s="36">
        <f>'Lista de Preço 02_2022'!$B1044*0.9*0.9*0.9*0.9*0.9*0.97</f>
        <v>103.8775172</v>
      </c>
      <c r="D1044" s="36">
        <f>'Lista de Preço 02_2022'!$C1044*1.1712</f>
        <v>121.6613482</v>
      </c>
      <c r="E1044" s="37">
        <v>3.25</v>
      </c>
      <c r="F1044" s="38">
        <v>0.18</v>
      </c>
      <c r="G1044" s="38" t="s">
        <v>22</v>
      </c>
      <c r="H1044" s="39" t="s">
        <v>43</v>
      </c>
      <c r="I1044" s="40" t="s">
        <v>2701</v>
      </c>
      <c r="J1044" s="41" t="s">
        <v>2074</v>
      </c>
      <c r="K1044" s="42" t="s">
        <v>26</v>
      </c>
      <c r="L1044" s="43" t="s">
        <v>2702</v>
      </c>
      <c r="M1044" s="44">
        <v>8.708999E7</v>
      </c>
      <c r="N1044" s="44" t="s">
        <v>28</v>
      </c>
      <c r="O1044" s="45">
        <v>0.6</v>
      </c>
      <c r="P1044" s="44">
        <v>7.899823505334E12</v>
      </c>
      <c r="Q1044" s="44">
        <v>1.0</v>
      </c>
    </row>
    <row r="1045" ht="15.75" customHeight="1">
      <c r="A1045" s="35" t="s">
        <v>2703</v>
      </c>
      <c r="B1045" s="36">
        <v>89.62982024332301</v>
      </c>
      <c r="C1045" s="36">
        <f>'Lista de Preço 02_2022'!$B1045*0.9*0.9*0.9*0.9*0.9*0.97</f>
        <v>51.33774718</v>
      </c>
      <c r="D1045" s="36">
        <f>'Lista de Preço 02_2022'!$C1045*1.1712</f>
        <v>60.1267695</v>
      </c>
      <c r="E1045" s="37">
        <v>3.25</v>
      </c>
      <c r="F1045" s="38">
        <v>0.18</v>
      </c>
      <c r="G1045" s="38" t="s">
        <v>22</v>
      </c>
      <c r="H1045" s="39" t="s">
        <v>43</v>
      </c>
      <c r="I1045" s="40" t="s">
        <v>2704</v>
      </c>
      <c r="J1045" s="41" t="s">
        <v>45</v>
      </c>
      <c r="K1045" s="42" t="s">
        <v>456</v>
      </c>
      <c r="L1045" s="43" t="s">
        <v>2705</v>
      </c>
      <c r="M1045" s="44">
        <v>8.708999E7</v>
      </c>
      <c r="N1045" s="44" t="s">
        <v>28</v>
      </c>
      <c r="O1045" s="45">
        <v>0.36</v>
      </c>
      <c r="P1045" s="44">
        <v>7.899823505341E12</v>
      </c>
      <c r="Q1045" s="44">
        <v>1.0</v>
      </c>
    </row>
    <row r="1046" ht="15.75" customHeight="1">
      <c r="A1046" s="35" t="s">
        <v>2706</v>
      </c>
      <c r="B1046" s="36">
        <v>91.17540644906927</v>
      </c>
      <c r="C1046" s="36">
        <f>'Lista de Preço 02_2022'!$B1046*0.9*0.9*0.9*0.9*0.9*0.97</f>
        <v>52.22302078</v>
      </c>
      <c r="D1046" s="36">
        <f>'Lista de Preço 02_2022'!$C1046*1.1712</f>
        <v>61.16360194</v>
      </c>
      <c r="E1046" s="37">
        <v>3.25</v>
      </c>
      <c r="F1046" s="38">
        <v>0.18</v>
      </c>
      <c r="G1046" s="38" t="s">
        <v>22</v>
      </c>
      <c r="H1046" s="39" t="s">
        <v>43</v>
      </c>
      <c r="I1046" s="40" t="s">
        <v>2707</v>
      </c>
      <c r="J1046" s="41" t="s">
        <v>45</v>
      </c>
      <c r="K1046" s="42" t="s">
        <v>456</v>
      </c>
      <c r="L1046" s="43" t="s">
        <v>2708</v>
      </c>
      <c r="M1046" s="44">
        <v>8.708999E7</v>
      </c>
      <c r="N1046" s="44" t="s">
        <v>28</v>
      </c>
      <c r="O1046" s="45">
        <v>0.34</v>
      </c>
      <c r="P1046" s="44">
        <v>7.899823505358E12</v>
      </c>
      <c r="Q1046" s="44">
        <v>1.0</v>
      </c>
    </row>
    <row r="1047" ht="15.75" customHeight="1">
      <c r="A1047" s="35" t="s">
        <v>2709</v>
      </c>
      <c r="B1047" s="36">
        <v>61.48583656411352</v>
      </c>
      <c r="C1047" s="36">
        <f>'Lista de Preço 02_2022'!$B1047*0.9*0.9*0.9*0.9*0.9*0.97</f>
        <v>35.21756848</v>
      </c>
      <c r="D1047" s="36">
        <f>'Lista de Preço 02_2022'!$C1047*1.1712</f>
        <v>41.24681621</v>
      </c>
      <c r="E1047" s="37">
        <v>3.25</v>
      </c>
      <c r="F1047" s="38">
        <v>0.18</v>
      </c>
      <c r="G1047" s="38" t="s">
        <v>22</v>
      </c>
      <c r="H1047" s="39" t="s">
        <v>43</v>
      </c>
      <c r="I1047" s="40" t="s">
        <v>2710</v>
      </c>
      <c r="J1047" s="41" t="s">
        <v>45</v>
      </c>
      <c r="K1047" s="42" t="s">
        <v>73</v>
      </c>
      <c r="L1047" s="43" t="s">
        <v>2711</v>
      </c>
      <c r="M1047" s="44">
        <v>8.708999E7</v>
      </c>
      <c r="N1047" s="44" t="s">
        <v>28</v>
      </c>
      <c r="O1047" s="45">
        <v>0.26</v>
      </c>
      <c r="P1047" s="44">
        <v>7.899823505365E12</v>
      </c>
      <c r="Q1047" s="44">
        <v>1.0</v>
      </c>
    </row>
    <row r="1048" ht="15.75" customHeight="1">
      <c r="A1048" s="35" t="s">
        <v>2712</v>
      </c>
      <c r="B1048" s="36">
        <v>175.2440018108925</v>
      </c>
      <c r="C1048" s="36">
        <f>'Lista de Preço 02_2022'!$B1048*0.9*0.9*0.9*0.9*0.9*0.97</f>
        <v>100.3754357</v>
      </c>
      <c r="D1048" s="36">
        <f>'Lista de Preço 02_2022'!$C1048*1.1712</f>
        <v>117.5597103</v>
      </c>
      <c r="E1048" s="37">
        <v>3.25</v>
      </c>
      <c r="F1048" s="38">
        <v>0.18</v>
      </c>
      <c r="G1048" s="38" t="s">
        <v>22</v>
      </c>
      <c r="H1048" s="39" t="s">
        <v>23</v>
      </c>
      <c r="I1048" s="40" t="s">
        <v>2713</v>
      </c>
      <c r="J1048" s="41" t="s">
        <v>25</v>
      </c>
      <c r="K1048" s="42" t="s">
        <v>95</v>
      </c>
      <c r="L1048" s="43" t="s">
        <v>2714</v>
      </c>
      <c r="M1048" s="44">
        <v>8.708999E7</v>
      </c>
      <c r="N1048" s="44" t="s">
        <v>28</v>
      </c>
      <c r="O1048" s="45">
        <v>1.522</v>
      </c>
      <c r="P1048" s="44">
        <v>7.898233430656E12</v>
      </c>
      <c r="Q1048" s="44">
        <v>1.0</v>
      </c>
    </row>
    <row r="1049" ht="15.75" customHeight="1">
      <c r="A1049" s="35" t="s">
        <v>2715</v>
      </c>
      <c r="B1049" s="36">
        <v>139.08254111975597</v>
      </c>
      <c r="C1049" s="36">
        <f>'Lista de Preço 02_2022'!$B1049*0.9*0.9*0.9*0.9*0.9*0.97</f>
        <v>79.66304421</v>
      </c>
      <c r="D1049" s="36">
        <f>'Lista de Preço 02_2022'!$C1049*1.1712</f>
        <v>93.30135738</v>
      </c>
      <c r="E1049" s="37">
        <v>3.25</v>
      </c>
      <c r="F1049" s="38">
        <v>0.18</v>
      </c>
      <c r="G1049" s="38" t="s">
        <v>22</v>
      </c>
      <c r="H1049" s="39" t="s">
        <v>23</v>
      </c>
      <c r="I1049" s="40" t="s">
        <v>2716</v>
      </c>
      <c r="J1049" s="41" t="s">
        <v>25</v>
      </c>
      <c r="K1049" s="42" t="s">
        <v>95</v>
      </c>
      <c r="L1049" s="43">
        <v>7526622.0</v>
      </c>
      <c r="M1049" s="44">
        <v>8.708999E7</v>
      </c>
      <c r="N1049" s="44" t="s">
        <v>28</v>
      </c>
      <c r="O1049" s="45">
        <v>1.504</v>
      </c>
      <c r="P1049" s="44">
        <v>7.898233430663E12</v>
      </c>
      <c r="Q1049" s="44">
        <v>1.0</v>
      </c>
    </row>
    <row r="1050" ht="15.75" customHeight="1">
      <c r="A1050" s="35" t="s">
        <v>2717</v>
      </c>
      <c r="B1050" s="36">
        <v>117.14915993947868</v>
      </c>
      <c r="C1050" s="36">
        <f>'Lista de Preço 02_2022'!$B1050*0.9*0.9*0.9*0.9*0.9*0.97</f>
        <v>67.10014523</v>
      </c>
      <c r="D1050" s="36">
        <f>'Lista de Preço 02_2022'!$C1050*1.1712</f>
        <v>78.58769009</v>
      </c>
      <c r="E1050" s="37">
        <v>3.25</v>
      </c>
      <c r="F1050" s="38">
        <v>0.18</v>
      </c>
      <c r="G1050" s="38" t="s">
        <v>22</v>
      </c>
      <c r="H1050" s="39" t="s">
        <v>23</v>
      </c>
      <c r="I1050" s="40" t="s">
        <v>2718</v>
      </c>
      <c r="J1050" s="41" t="s">
        <v>25</v>
      </c>
      <c r="K1050" s="42" t="s">
        <v>95</v>
      </c>
      <c r="L1050" s="43">
        <v>7526622.0</v>
      </c>
      <c r="M1050" s="44">
        <v>8.708999E7</v>
      </c>
      <c r="N1050" s="44" t="s">
        <v>28</v>
      </c>
      <c r="O1050" s="45">
        <v>1.442</v>
      </c>
      <c r="P1050" s="44">
        <v>7.898233433404E12</v>
      </c>
      <c r="Q1050" s="44">
        <v>1.0</v>
      </c>
    </row>
    <row r="1051" ht="15.75" customHeight="1">
      <c r="A1051" s="35" t="s">
        <v>2719</v>
      </c>
      <c r="B1051" s="36">
        <v>280.726749698468</v>
      </c>
      <c r="C1051" s="36">
        <f>'Lista de Preço 02_2022'!$B1051*0.9*0.9*0.9*0.9*0.9*0.97</f>
        <v>160.7933483</v>
      </c>
      <c r="D1051" s="36">
        <f>'Lista de Preço 02_2022'!$C1051*1.1712</f>
        <v>188.3211695</v>
      </c>
      <c r="E1051" s="37">
        <v>3.25</v>
      </c>
      <c r="F1051" s="38">
        <v>0.18</v>
      </c>
      <c r="G1051" s="38" t="s">
        <v>22</v>
      </c>
      <c r="H1051" s="39" t="s">
        <v>23</v>
      </c>
      <c r="I1051" s="40" t="s">
        <v>2720</v>
      </c>
      <c r="J1051" s="41" t="s">
        <v>372</v>
      </c>
      <c r="K1051" s="42" t="s">
        <v>26</v>
      </c>
      <c r="L1051" s="43" t="s">
        <v>2721</v>
      </c>
      <c r="M1051" s="44">
        <v>8.708999E7</v>
      </c>
      <c r="N1051" s="44" t="s">
        <v>28</v>
      </c>
      <c r="O1051" s="45">
        <v>4.48</v>
      </c>
      <c r="P1051" s="44">
        <v>7.898233437822E12</v>
      </c>
      <c r="Q1051" s="44">
        <v>1.0</v>
      </c>
    </row>
    <row r="1052" ht="15.75" customHeight="1">
      <c r="A1052" s="35" t="s">
        <v>2722</v>
      </c>
      <c r="B1052" s="36">
        <v>87.26245080500459</v>
      </c>
      <c r="C1052" s="36">
        <f>'Lista de Preço 02_2022'!$B1052*0.9*0.9*0.9*0.9*0.9*0.97</f>
        <v>49.98177644</v>
      </c>
      <c r="D1052" s="36">
        <f>'Lista de Preço 02_2022'!$C1052*1.1712</f>
        <v>58.53865656</v>
      </c>
      <c r="E1052" s="37">
        <v>3.25</v>
      </c>
      <c r="F1052" s="38">
        <v>0.18</v>
      </c>
      <c r="G1052" s="38" t="s">
        <v>22</v>
      </c>
      <c r="H1052" s="39" t="s">
        <v>23</v>
      </c>
      <c r="I1052" s="40" t="s">
        <v>2723</v>
      </c>
      <c r="J1052" s="41" t="s">
        <v>25</v>
      </c>
      <c r="K1052" s="42" t="s">
        <v>95</v>
      </c>
      <c r="L1052" s="43">
        <v>5961002.0</v>
      </c>
      <c r="M1052" s="44">
        <v>8.708999E7</v>
      </c>
      <c r="N1052" s="44" t="s">
        <v>28</v>
      </c>
      <c r="O1052" s="45">
        <v>1.246</v>
      </c>
      <c r="P1052" s="44">
        <v>7.89823343067E12</v>
      </c>
      <c r="Q1052" s="44">
        <v>1.0</v>
      </c>
    </row>
    <row r="1053" ht="15.75" customHeight="1">
      <c r="A1053" s="35" t="s">
        <v>2724</v>
      </c>
      <c r="B1053" s="36">
        <v>71.79927026492906</v>
      </c>
      <c r="C1053" s="36">
        <f>'Lista de Preço 02_2022'!$B1053*0.9*0.9*0.9*0.9*0.9*0.97</f>
        <v>41.12484857</v>
      </c>
      <c r="D1053" s="36">
        <f>'Lista de Preço 02_2022'!$C1053*1.1627</f>
        <v>47.81586143</v>
      </c>
      <c r="E1053" s="37">
        <v>2.6</v>
      </c>
      <c r="F1053" s="38">
        <v>0.18</v>
      </c>
      <c r="G1053" s="38" t="s">
        <v>22</v>
      </c>
      <c r="H1053" s="39" t="s">
        <v>38</v>
      </c>
      <c r="I1053" s="40" t="s">
        <v>2725</v>
      </c>
      <c r="J1053" s="41" t="s">
        <v>556</v>
      </c>
      <c r="K1053" s="42" t="s">
        <v>95</v>
      </c>
      <c r="L1053" s="43">
        <v>4333432.0</v>
      </c>
      <c r="M1053" s="44">
        <v>8.70893E7</v>
      </c>
      <c r="N1053" s="44" t="s">
        <v>28</v>
      </c>
      <c r="O1053" s="45">
        <v>0.212</v>
      </c>
      <c r="P1053" s="44">
        <v>7.898233430687E12</v>
      </c>
      <c r="Q1053" s="44">
        <v>1.0</v>
      </c>
    </row>
    <row r="1054" ht="15.75" customHeight="1">
      <c r="A1054" s="35" t="s">
        <v>2726</v>
      </c>
      <c r="B1054" s="36">
        <v>43.45957175264488</v>
      </c>
      <c r="C1054" s="36">
        <f>'Lista de Preço 02_2022'!$B1054*0.9*0.9*0.9*0.9*0.9*0.97</f>
        <v>24.89256925</v>
      </c>
      <c r="D1054" s="36">
        <f>'Lista de Preço 02_2022'!$C1054*1.1627</f>
        <v>28.94259027</v>
      </c>
      <c r="E1054" s="37">
        <v>2.6</v>
      </c>
      <c r="F1054" s="38">
        <v>0.18</v>
      </c>
      <c r="G1054" s="38" t="s">
        <v>22</v>
      </c>
      <c r="H1054" s="39" t="s">
        <v>38</v>
      </c>
      <c r="I1054" s="40" t="s">
        <v>2725</v>
      </c>
      <c r="J1054" s="41" t="s">
        <v>32</v>
      </c>
      <c r="K1054" s="42" t="s">
        <v>95</v>
      </c>
      <c r="L1054" s="43">
        <v>5954106.0</v>
      </c>
      <c r="M1054" s="44">
        <v>8.70893E7</v>
      </c>
      <c r="N1054" s="44" t="s">
        <v>28</v>
      </c>
      <c r="O1054" s="45">
        <v>0.512</v>
      </c>
      <c r="P1054" s="44">
        <v>7.898233430694E12</v>
      </c>
      <c r="Q1054" s="48">
        <v>10.0</v>
      </c>
    </row>
    <row r="1055" ht="15.75" customHeight="1">
      <c r="A1055" s="35" t="s">
        <v>2727</v>
      </c>
      <c r="B1055" s="36">
        <v>56.67939702456836</v>
      </c>
      <c r="C1055" s="36">
        <f>'Lista de Preço 02_2022'!$B1055*0.9*0.9*0.9*0.9*0.9*0.97</f>
        <v>32.46455863</v>
      </c>
      <c r="D1055" s="36">
        <f>'Lista de Preço 02_2022'!$C1055*1.1627</f>
        <v>37.74654232</v>
      </c>
      <c r="E1055" s="37">
        <v>2.6</v>
      </c>
      <c r="F1055" s="38">
        <v>0.18</v>
      </c>
      <c r="G1055" s="38" t="s">
        <v>22</v>
      </c>
      <c r="H1055" s="39" t="s">
        <v>38</v>
      </c>
      <c r="I1055" s="40" t="s">
        <v>2728</v>
      </c>
      <c r="J1055" s="41" t="s">
        <v>32</v>
      </c>
      <c r="K1055" s="42" t="s">
        <v>95</v>
      </c>
      <c r="L1055" s="43">
        <v>7681275.0</v>
      </c>
      <c r="M1055" s="44">
        <v>8.70893E7</v>
      </c>
      <c r="N1055" s="44" t="s">
        <v>28</v>
      </c>
      <c r="O1055" s="45">
        <v>0.434</v>
      </c>
      <c r="P1055" s="44">
        <v>7.8982334307E12</v>
      </c>
      <c r="Q1055" s="44">
        <v>1.0</v>
      </c>
    </row>
    <row r="1056" ht="15.75" customHeight="1">
      <c r="A1056" s="35" t="s">
        <v>2729</v>
      </c>
      <c r="B1056" s="36">
        <v>79.3511558343957</v>
      </c>
      <c r="C1056" s="36">
        <f>'Lista de Preço 02_2022'!$B1056*0.9*0.9*0.9*0.9*0.9*0.97</f>
        <v>45.45038209</v>
      </c>
      <c r="D1056" s="36">
        <f>'Lista de Preço 02_2022'!$C1056*1.1627</f>
        <v>52.84515925</v>
      </c>
      <c r="E1056" s="37">
        <v>2.6</v>
      </c>
      <c r="F1056" s="38">
        <v>0.18</v>
      </c>
      <c r="G1056" s="38" t="s">
        <v>22</v>
      </c>
      <c r="H1056" s="39" t="s">
        <v>38</v>
      </c>
      <c r="I1056" s="40" t="s">
        <v>2730</v>
      </c>
      <c r="J1056" s="41" t="s">
        <v>556</v>
      </c>
      <c r="K1056" s="42" t="s">
        <v>95</v>
      </c>
      <c r="L1056" s="43">
        <v>7581260.0</v>
      </c>
      <c r="M1056" s="44">
        <v>8.70893E7</v>
      </c>
      <c r="N1056" s="44" t="s">
        <v>28</v>
      </c>
      <c r="O1056" s="45">
        <v>0.424</v>
      </c>
      <c r="P1056" s="44">
        <v>7.898233433572E12</v>
      </c>
      <c r="Q1056" s="44">
        <v>1.0</v>
      </c>
    </row>
    <row r="1057" ht="15.75" customHeight="1">
      <c r="A1057" s="35" t="s">
        <v>2731</v>
      </c>
      <c r="B1057" s="36">
        <v>62.98221958330688</v>
      </c>
      <c r="C1057" s="36">
        <f>'Lista de Preço 02_2022'!$B1057*0.9*0.9*0.9*0.9*0.9*0.97</f>
        <v>36.07465972</v>
      </c>
      <c r="D1057" s="36">
        <f>'Lista de Preço 02_2022'!$C1057*1.1627</f>
        <v>41.94400685</v>
      </c>
      <c r="E1057" s="37">
        <v>2.6</v>
      </c>
      <c r="F1057" s="38">
        <v>0.18</v>
      </c>
      <c r="G1057" s="38" t="s">
        <v>22</v>
      </c>
      <c r="H1057" s="39" t="s">
        <v>38</v>
      </c>
      <c r="I1057" s="40" t="s">
        <v>2732</v>
      </c>
      <c r="J1057" s="41" t="s">
        <v>556</v>
      </c>
      <c r="K1057" s="42" t="s">
        <v>95</v>
      </c>
      <c r="L1057" s="43">
        <v>7575624.0</v>
      </c>
      <c r="M1057" s="44">
        <v>8.70893E7</v>
      </c>
      <c r="N1057" s="44" t="s">
        <v>28</v>
      </c>
      <c r="O1057" s="45">
        <v>0.4</v>
      </c>
      <c r="P1057" s="44">
        <v>7.898233433565E12</v>
      </c>
      <c r="Q1057" s="44">
        <v>1.0</v>
      </c>
    </row>
    <row r="1058" ht="15.75" customHeight="1">
      <c r="A1058" s="35" t="s">
        <v>2733</v>
      </c>
      <c r="B1058" s="36">
        <v>201.72168950094482</v>
      </c>
      <c r="C1058" s="36">
        <f>'Lista de Preço 02_2022'!$B1058*0.9*0.9*0.9*0.9*0.9*0.97</f>
        <v>115.5412012</v>
      </c>
      <c r="D1058" s="36">
        <f>'Lista de Preço 02_2022'!$C1058*1.1712</f>
        <v>135.3218549</v>
      </c>
      <c r="E1058" s="37">
        <v>3.25</v>
      </c>
      <c r="F1058" s="38">
        <v>0.18</v>
      </c>
      <c r="G1058" s="38" t="s">
        <v>22</v>
      </c>
      <c r="H1058" s="39" t="s">
        <v>23</v>
      </c>
      <c r="I1058" s="40" t="s">
        <v>2734</v>
      </c>
      <c r="J1058" s="41" t="s">
        <v>25</v>
      </c>
      <c r="K1058" s="42" t="s">
        <v>95</v>
      </c>
      <c r="L1058" s="43">
        <v>7769902.0</v>
      </c>
      <c r="M1058" s="44">
        <v>8.708999E7</v>
      </c>
      <c r="N1058" s="44" t="s">
        <v>28</v>
      </c>
      <c r="O1058" s="45">
        <v>1.68</v>
      </c>
      <c r="P1058" s="44">
        <v>7.898233434203E12</v>
      </c>
      <c r="Q1058" s="44">
        <v>1.0</v>
      </c>
    </row>
    <row r="1059" ht="15.75" customHeight="1">
      <c r="A1059" s="35" t="s">
        <v>2735</v>
      </c>
      <c r="B1059" s="36">
        <v>24.508792493890546</v>
      </c>
      <c r="C1059" s="36">
        <f>'Lista de Preço 02_2022'!$B1059*0.9*0.9*0.9*0.9*0.9*0.97</f>
        <v>14.03803097</v>
      </c>
      <c r="D1059" s="36">
        <f>'Lista de Preço 02_2022'!$C1059*1.1712</f>
        <v>16.44134188</v>
      </c>
      <c r="E1059" s="37">
        <v>3.25</v>
      </c>
      <c r="F1059" s="38">
        <v>0.18</v>
      </c>
      <c r="G1059" s="38" t="s">
        <v>22</v>
      </c>
      <c r="H1059" s="39" t="s">
        <v>559</v>
      </c>
      <c r="I1059" s="40" t="s">
        <v>2736</v>
      </c>
      <c r="J1059" s="41" t="s">
        <v>32</v>
      </c>
      <c r="K1059" s="42" t="s">
        <v>95</v>
      </c>
      <c r="L1059" s="43">
        <v>4336014.0</v>
      </c>
      <c r="M1059" s="44">
        <v>8.708999E7</v>
      </c>
      <c r="N1059" s="44" t="s">
        <v>28</v>
      </c>
      <c r="O1059" s="45">
        <v>0.304</v>
      </c>
      <c r="P1059" s="44">
        <v>7.898233430724E12</v>
      </c>
      <c r="Q1059" s="44">
        <v>1.0</v>
      </c>
    </row>
    <row r="1060" ht="15.75" customHeight="1">
      <c r="A1060" s="35" t="s">
        <v>2737</v>
      </c>
      <c r="B1060" s="36">
        <v>195.16124853334586</v>
      </c>
      <c r="C1060" s="36">
        <f>'Lista de Preço 02_2022'!$B1060*0.9*0.9*0.9*0.9*0.9*0.97</f>
        <v>111.7835427</v>
      </c>
      <c r="D1060" s="36">
        <f>'Lista de Preço 02_2022'!$C1060*1.1712</f>
        <v>130.9208852</v>
      </c>
      <c r="E1060" s="37">
        <v>3.25</v>
      </c>
      <c r="F1060" s="38">
        <v>0.18</v>
      </c>
      <c r="G1060" s="38" t="s">
        <v>22</v>
      </c>
      <c r="H1060" s="39" t="s">
        <v>23</v>
      </c>
      <c r="I1060" s="40" t="s">
        <v>2738</v>
      </c>
      <c r="J1060" s="41" t="s">
        <v>25</v>
      </c>
      <c r="K1060" s="42" t="s">
        <v>95</v>
      </c>
      <c r="L1060" s="43">
        <v>4.6512973E7</v>
      </c>
      <c r="M1060" s="44">
        <v>8.708999E7</v>
      </c>
      <c r="N1060" s="44" t="s">
        <v>28</v>
      </c>
      <c r="O1060" s="45">
        <v>1.458</v>
      </c>
      <c r="P1060" s="44">
        <v>7.89823343418E12</v>
      </c>
      <c r="Q1060" s="44">
        <v>1.0</v>
      </c>
    </row>
    <row r="1061" ht="15.75" customHeight="1">
      <c r="A1061" s="35" t="s">
        <v>2739</v>
      </c>
      <c r="B1061" s="36">
        <v>339.1254055980001</v>
      </c>
      <c r="C1061" s="36">
        <f>'Lista de Preço 02_2022'!$B1061*0.9*0.9*0.9*0.9*0.9*0.97</f>
        <v>194.2426559</v>
      </c>
      <c r="D1061" s="36">
        <f>'Lista de Preço 02_2022'!$C1061*1.1712</f>
        <v>227.4969986</v>
      </c>
      <c r="E1061" s="37">
        <v>3.25</v>
      </c>
      <c r="F1061" s="38">
        <v>0.18</v>
      </c>
      <c r="G1061" s="38" t="s">
        <v>22</v>
      </c>
      <c r="H1061" s="39" t="s">
        <v>2740</v>
      </c>
      <c r="I1061" s="40" t="s">
        <v>2720</v>
      </c>
      <c r="J1061" s="41" t="s">
        <v>372</v>
      </c>
      <c r="K1061" s="42" t="s">
        <v>26</v>
      </c>
      <c r="L1061" s="43" t="s">
        <v>2741</v>
      </c>
      <c r="M1061" s="44">
        <v>8.708999E7</v>
      </c>
      <c r="N1061" s="44" t="s">
        <v>28</v>
      </c>
      <c r="O1061" s="45">
        <v>1.756</v>
      </c>
      <c r="P1061" s="44">
        <v>7.898233437747E12</v>
      </c>
      <c r="Q1061" s="44">
        <v>1.0</v>
      </c>
    </row>
    <row r="1062" ht="15.75" customHeight="1">
      <c r="A1062" s="35" t="s">
        <v>2742</v>
      </c>
      <c r="B1062" s="36">
        <v>96.64280925605708</v>
      </c>
      <c r="C1062" s="36">
        <f>'Lista de Preço 02_2022'!$B1062*0.9*0.9*0.9*0.9*0.9*0.97</f>
        <v>55.35461406</v>
      </c>
      <c r="D1062" s="36">
        <f>'Lista de Preço 02_2022'!$C1062*1.1712</f>
        <v>64.83132399</v>
      </c>
      <c r="E1062" s="37">
        <v>3.25</v>
      </c>
      <c r="F1062" s="38">
        <v>0.18</v>
      </c>
      <c r="G1062" s="38" t="s">
        <v>22</v>
      </c>
      <c r="H1062" s="39" t="s">
        <v>23</v>
      </c>
      <c r="I1062" s="40" t="s">
        <v>2743</v>
      </c>
      <c r="J1062" s="41" t="s">
        <v>25</v>
      </c>
      <c r="K1062" s="42" t="s">
        <v>95</v>
      </c>
      <c r="L1062" s="43">
        <v>4.6745258E7</v>
      </c>
      <c r="M1062" s="44">
        <v>8.708999E7</v>
      </c>
      <c r="N1062" s="44" t="s">
        <v>28</v>
      </c>
      <c r="O1062" s="45">
        <v>1.388</v>
      </c>
      <c r="P1062" s="44">
        <v>7.898233434005E12</v>
      </c>
      <c r="Q1062" s="44">
        <v>1.0</v>
      </c>
    </row>
    <row r="1063" ht="15.75" customHeight="1">
      <c r="A1063" s="35" t="s">
        <v>2744</v>
      </c>
      <c r="B1063" s="36">
        <v>2.7019399220637874</v>
      </c>
      <c r="C1063" s="36">
        <f>'Lista de Preço 02_2022'!$B1063*0.9*0.9*0.9*0.9*0.9*0.97</f>
        <v>1.547604449</v>
      </c>
      <c r="D1063" s="36">
        <f>'Lista de Preço 02_2022'!$C1063*1.1712</f>
        <v>1.812554331</v>
      </c>
      <c r="E1063" s="37">
        <v>3.25</v>
      </c>
      <c r="F1063" s="38">
        <v>0.18</v>
      </c>
      <c r="G1063" s="38" t="s">
        <v>22</v>
      </c>
      <c r="H1063" s="39" t="s">
        <v>2328</v>
      </c>
      <c r="I1063" s="40" t="s">
        <v>2745</v>
      </c>
      <c r="J1063" s="41" t="s">
        <v>2330</v>
      </c>
      <c r="K1063" s="42" t="s">
        <v>95</v>
      </c>
      <c r="L1063" s="43">
        <v>1.4329201E7</v>
      </c>
      <c r="M1063" s="44">
        <v>8.708999E7</v>
      </c>
      <c r="N1063" s="44" t="s">
        <v>28</v>
      </c>
      <c r="O1063" s="45">
        <v>0.02</v>
      </c>
      <c r="P1063" s="44">
        <v>7.898233430731E12</v>
      </c>
      <c r="Q1063" s="48">
        <v>20.0</v>
      </c>
    </row>
    <row r="1064" ht="15.75" customHeight="1">
      <c r="A1064" s="35" t="s">
        <v>2746</v>
      </c>
      <c r="B1064" s="36">
        <v>1.4443097037940968</v>
      </c>
      <c r="C1064" s="36">
        <f>'Lista de Preço 02_2022'!$B1064*0.9*0.9*0.9*0.9*0.9*0.97</f>
        <v>0.8272649239</v>
      </c>
      <c r="D1064" s="36">
        <f>'Lista de Preço 02_2022'!$C1064*1.1712</f>
        <v>0.9688926789</v>
      </c>
      <c r="E1064" s="37">
        <v>3.25</v>
      </c>
      <c r="F1064" s="38">
        <v>0.18</v>
      </c>
      <c r="G1064" s="38" t="s">
        <v>22</v>
      </c>
      <c r="H1064" s="39" t="s">
        <v>2328</v>
      </c>
      <c r="I1064" s="40" t="s">
        <v>2745</v>
      </c>
      <c r="J1064" s="41" t="s">
        <v>2330</v>
      </c>
      <c r="K1064" s="42" t="s">
        <v>95</v>
      </c>
      <c r="L1064" s="43">
        <v>1.4329001E7</v>
      </c>
      <c r="M1064" s="44">
        <v>8.708999E7</v>
      </c>
      <c r="N1064" s="44" t="s">
        <v>28</v>
      </c>
      <c r="O1064" s="45">
        <v>0.014</v>
      </c>
      <c r="P1064" s="44">
        <v>7.898233430748E12</v>
      </c>
      <c r="Q1064" s="48">
        <v>20.0</v>
      </c>
    </row>
    <row r="1065" ht="15.75" customHeight="1">
      <c r="A1065" s="35" t="s">
        <v>2747</v>
      </c>
      <c r="B1065" s="36">
        <v>0.7731796927839827</v>
      </c>
      <c r="C1065" s="36">
        <f>'Lista de Preço 02_2022'!$B1065*0.9*0.9*0.9*0.9*0.9*0.97</f>
        <v>0.4428582305</v>
      </c>
      <c r="D1065" s="36">
        <f>'Lista de Preço 02_2022'!$C1065*1.1712</f>
        <v>0.5186755595</v>
      </c>
      <c r="E1065" s="37">
        <v>3.25</v>
      </c>
      <c r="F1065" s="38">
        <v>0.18</v>
      </c>
      <c r="G1065" s="38" t="s">
        <v>22</v>
      </c>
      <c r="H1065" s="39" t="s">
        <v>2328</v>
      </c>
      <c r="I1065" s="40" t="s">
        <v>2745</v>
      </c>
      <c r="J1065" s="41" t="s">
        <v>2330</v>
      </c>
      <c r="K1065" s="42" t="s">
        <v>95</v>
      </c>
      <c r="L1065" s="43">
        <v>1.4328701E7</v>
      </c>
      <c r="M1065" s="44">
        <v>8.708999E7</v>
      </c>
      <c r="N1065" s="44" t="s">
        <v>28</v>
      </c>
      <c r="O1065" s="45">
        <v>0.004</v>
      </c>
      <c r="P1065" s="44">
        <v>7.898233430755E12</v>
      </c>
      <c r="Q1065" s="48">
        <v>20.0</v>
      </c>
    </row>
    <row r="1066" ht="15.75" customHeight="1">
      <c r="A1066" s="35" t="s">
        <v>2748</v>
      </c>
      <c r="B1066" s="36">
        <v>0.5778301002860738</v>
      </c>
      <c r="C1066" s="36">
        <f>'Lista de Preço 02_2022'!$B1066*0.9*0.9*0.9*0.9*0.9*0.97</f>
        <v>0.330966809</v>
      </c>
      <c r="D1066" s="36">
        <f>'Lista de Preço 02_2022'!$C1066*1.1712</f>
        <v>0.3876283267</v>
      </c>
      <c r="E1066" s="37">
        <v>3.25</v>
      </c>
      <c r="F1066" s="38">
        <v>0.18</v>
      </c>
      <c r="G1066" s="38" t="s">
        <v>22</v>
      </c>
      <c r="H1066" s="39" t="s">
        <v>2328</v>
      </c>
      <c r="I1066" s="40" t="s">
        <v>2745</v>
      </c>
      <c r="J1066" s="41" t="s">
        <v>2330</v>
      </c>
      <c r="K1066" s="42" t="s">
        <v>95</v>
      </c>
      <c r="L1066" s="43">
        <v>1.4328501E7</v>
      </c>
      <c r="M1066" s="44">
        <v>8.708999E7</v>
      </c>
      <c r="N1066" s="44" t="s">
        <v>28</v>
      </c>
      <c r="O1066" s="45">
        <v>0.002</v>
      </c>
      <c r="P1066" s="44">
        <v>7.898233430762E12</v>
      </c>
      <c r="Q1066" s="48">
        <v>20.0</v>
      </c>
    </row>
    <row r="1067" ht="15.75" customHeight="1">
      <c r="A1067" s="35" t="s">
        <v>2749</v>
      </c>
      <c r="B1067" s="36">
        <v>0.4813037944708219</v>
      </c>
      <c r="C1067" s="36">
        <f>'Lista de Preço 02_2022'!$B1067*0.9*0.9*0.9*0.9*0.9*0.97</f>
        <v>0.2756789253</v>
      </c>
      <c r="D1067" s="36">
        <f>'Lista de Preço 02_2022'!$C1067*1.1712</f>
        <v>0.3228751573</v>
      </c>
      <c r="E1067" s="37">
        <v>3.25</v>
      </c>
      <c r="F1067" s="38">
        <v>0.18</v>
      </c>
      <c r="G1067" s="38" t="s">
        <v>22</v>
      </c>
      <c r="H1067" s="39" t="s">
        <v>2328</v>
      </c>
      <c r="I1067" s="40" t="s">
        <v>2745</v>
      </c>
      <c r="J1067" s="41" t="s">
        <v>2330</v>
      </c>
      <c r="K1067" s="42" t="s">
        <v>95</v>
      </c>
      <c r="L1067" s="43">
        <v>1.4328401E7</v>
      </c>
      <c r="M1067" s="44">
        <v>8.708999E7</v>
      </c>
      <c r="N1067" s="44" t="s">
        <v>28</v>
      </c>
      <c r="O1067" s="45">
        <v>0.002</v>
      </c>
      <c r="P1067" s="44">
        <v>7.898233430779E12</v>
      </c>
      <c r="Q1067" s="48">
        <v>20.0</v>
      </c>
    </row>
    <row r="1068" ht="15.75" customHeight="1">
      <c r="A1068" s="35" t="s">
        <v>2750</v>
      </c>
      <c r="B1068" s="36">
        <v>0.38784455559412917</v>
      </c>
      <c r="C1068" s="36">
        <f>'Lista de Preço 02_2022'!$B1068*0.9*0.9*0.9*0.9*0.9*0.97</f>
        <v>0.2221477817</v>
      </c>
      <c r="D1068" s="36">
        <f>'Lista de Preço 02_2022'!$C1068*1.1712</f>
        <v>0.2601794819</v>
      </c>
      <c r="E1068" s="37">
        <v>3.25</v>
      </c>
      <c r="F1068" s="38">
        <v>0.18</v>
      </c>
      <c r="G1068" s="38" t="s">
        <v>22</v>
      </c>
      <c r="H1068" s="39" t="s">
        <v>2328</v>
      </c>
      <c r="I1068" s="40" t="s">
        <v>2745</v>
      </c>
      <c r="J1068" s="41" t="s">
        <v>2330</v>
      </c>
      <c r="K1068" s="42" t="s">
        <v>95</v>
      </c>
      <c r="L1068" s="43">
        <v>1.4328301E7</v>
      </c>
      <c r="M1068" s="44">
        <v>8.708999E7</v>
      </c>
      <c r="N1068" s="44" t="s">
        <v>28</v>
      </c>
      <c r="O1068" s="45">
        <v>0.002</v>
      </c>
      <c r="P1068" s="44">
        <v>7.898233430786E12</v>
      </c>
      <c r="Q1068" s="48">
        <v>20.0</v>
      </c>
    </row>
    <row r="1069" ht="15.75" customHeight="1">
      <c r="A1069" s="35" t="s">
        <v>2751</v>
      </c>
      <c r="B1069" s="36">
        <v>0.3430932607178836</v>
      </c>
      <c r="C1069" s="36">
        <f>'Lista de Preço 02_2022'!$B1069*0.9*0.9*0.9*0.9*0.9*0.97</f>
        <v>0.1965153453</v>
      </c>
      <c r="D1069" s="36">
        <f>'Lista de Preço 02_2022'!$C1069*1.1712</f>
        <v>0.2301587725</v>
      </c>
      <c r="E1069" s="37">
        <v>3.25</v>
      </c>
      <c r="F1069" s="38">
        <v>0.18</v>
      </c>
      <c r="G1069" s="38" t="s">
        <v>22</v>
      </c>
      <c r="H1069" s="39" t="s">
        <v>2328</v>
      </c>
      <c r="I1069" s="40" t="s">
        <v>2745</v>
      </c>
      <c r="J1069" s="41" t="s">
        <v>2330</v>
      </c>
      <c r="K1069" s="42" t="s">
        <v>95</v>
      </c>
      <c r="L1069" s="43">
        <v>1.4328201E7</v>
      </c>
      <c r="M1069" s="44">
        <v>8.708999E7</v>
      </c>
      <c r="N1069" s="44" t="s">
        <v>28</v>
      </c>
      <c r="O1069" s="45">
        <v>0.001</v>
      </c>
      <c r="P1069" s="44">
        <v>7.898233430793E12</v>
      </c>
      <c r="Q1069" s="48">
        <v>20.0</v>
      </c>
    </row>
    <row r="1070" ht="15.75" customHeight="1">
      <c r="A1070" s="35" t="s">
        <v>2752</v>
      </c>
      <c r="B1070" s="36">
        <v>175.70314221314317</v>
      </c>
      <c r="C1070" s="36">
        <f>'Lista de Preço 02_2022'!$B1070*0.9*0.9*0.9*0.9*0.9*0.97</f>
        <v>100.63842</v>
      </c>
      <c r="D1070" s="36">
        <f>'Lista de Preço 02_2022'!$C1070*1.1712</f>
        <v>117.8677175</v>
      </c>
      <c r="E1070" s="37">
        <v>3.25</v>
      </c>
      <c r="F1070" s="38">
        <v>0.18</v>
      </c>
      <c r="G1070" s="38" t="s">
        <v>22</v>
      </c>
      <c r="H1070" s="39" t="s">
        <v>23</v>
      </c>
      <c r="I1070" s="40" t="s">
        <v>2753</v>
      </c>
      <c r="J1070" s="41" t="s">
        <v>25</v>
      </c>
      <c r="K1070" s="42" t="s">
        <v>95</v>
      </c>
      <c r="L1070" s="43">
        <v>6.0811481E7</v>
      </c>
      <c r="M1070" s="44">
        <v>8.708999E7</v>
      </c>
      <c r="N1070" s="44" t="s">
        <v>28</v>
      </c>
      <c r="O1070" s="45">
        <v>1.686</v>
      </c>
      <c r="P1070" s="44">
        <v>7.898233434197E12</v>
      </c>
      <c r="Q1070" s="44">
        <v>1.0</v>
      </c>
    </row>
    <row r="1071" ht="15.75" customHeight="1">
      <c r="A1071" s="35" t="s">
        <v>2754</v>
      </c>
      <c r="B1071" s="36">
        <v>211.78885885104793</v>
      </c>
      <c r="C1071" s="36">
        <f>'Lista de Preço 02_2022'!$B1071*0.9*0.9*0.9*0.9*0.9*0.97</f>
        <v>121.3074272</v>
      </c>
      <c r="D1071" s="36">
        <f>'Lista de Preço 02_2022'!$C1071*1.1712</f>
        <v>142.0752587</v>
      </c>
      <c r="E1071" s="37">
        <v>3.25</v>
      </c>
      <c r="F1071" s="38">
        <v>0.18</v>
      </c>
      <c r="G1071" s="38" t="s">
        <v>22</v>
      </c>
      <c r="H1071" s="39" t="s">
        <v>23</v>
      </c>
      <c r="I1071" s="40" t="s">
        <v>2755</v>
      </c>
      <c r="J1071" s="41" t="s">
        <v>372</v>
      </c>
      <c r="K1071" s="42" t="s">
        <v>95</v>
      </c>
      <c r="L1071" s="43">
        <v>4.6554134E7</v>
      </c>
      <c r="M1071" s="44">
        <v>8.708999E7</v>
      </c>
      <c r="N1071" s="44" t="s">
        <v>28</v>
      </c>
      <c r="O1071" s="45">
        <v>1.604</v>
      </c>
      <c r="P1071" s="44">
        <v>7.898233434319E12</v>
      </c>
      <c r="Q1071" s="44">
        <v>1.0</v>
      </c>
    </row>
    <row r="1072" ht="15.75" customHeight="1">
      <c r="A1072" s="35" t="s">
        <v>2756</v>
      </c>
      <c r="B1072" s="36">
        <v>530.2283982041843</v>
      </c>
      <c r="C1072" s="36">
        <f>'Lista de Preço 02_2022'!$B1072*0.9*0.9*0.9*0.9*0.9*0.97</f>
        <v>303.7017298</v>
      </c>
      <c r="D1072" s="36">
        <f>'Lista de Preço 02_2022'!$C1072*1.1712</f>
        <v>355.695466</v>
      </c>
      <c r="E1072" s="37">
        <v>3.25</v>
      </c>
      <c r="F1072" s="38">
        <v>0.18</v>
      </c>
      <c r="G1072" s="38" t="s">
        <v>22</v>
      </c>
      <c r="H1072" s="39" t="s">
        <v>23</v>
      </c>
      <c r="I1072" s="40" t="s">
        <v>2757</v>
      </c>
      <c r="J1072" s="41" t="s">
        <v>25</v>
      </c>
      <c r="K1072" s="42" t="s">
        <v>26</v>
      </c>
      <c r="L1072" s="43" t="s">
        <v>2758</v>
      </c>
      <c r="M1072" s="44">
        <v>8.708999E7</v>
      </c>
      <c r="N1072" s="44" t="s">
        <v>28</v>
      </c>
      <c r="O1072" s="45">
        <v>3.4</v>
      </c>
      <c r="P1072" s="44">
        <v>7.898233437839E12</v>
      </c>
      <c r="Q1072" s="44">
        <v>1.0</v>
      </c>
    </row>
    <row r="1073" ht="15.75" customHeight="1">
      <c r="A1073" s="35" t="s">
        <v>2759</v>
      </c>
      <c r="B1073" s="36">
        <v>242.32037102811017</v>
      </c>
      <c r="C1073" s="36">
        <f>'Lista de Preço 02_2022'!$B1073*0.9*0.9*0.9*0.9*0.9*0.97</f>
        <v>138.7951232</v>
      </c>
      <c r="D1073" s="36">
        <f>'Lista de Preço 02_2022'!$C1073*1.1712</f>
        <v>162.5568483</v>
      </c>
      <c r="E1073" s="37">
        <v>3.25</v>
      </c>
      <c r="F1073" s="38">
        <v>0.18</v>
      </c>
      <c r="G1073" s="38" t="s">
        <v>22</v>
      </c>
      <c r="H1073" s="39" t="s">
        <v>23</v>
      </c>
      <c r="I1073" s="40" t="s">
        <v>2760</v>
      </c>
      <c r="J1073" s="41" t="s">
        <v>372</v>
      </c>
      <c r="K1073" s="42" t="s">
        <v>95</v>
      </c>
      <c r="L1073" s="43">
        <v>4.6554135E7</v>
      </c>
      <c r="M1073" s="44">
        <v>8.708999E7</v>
      </c>
      <c r="N1073" s="44" t="s">
        <v>28</v>
      </c>
      <c r="O1073" s="45">
        <v>1.618</v>
      </c>
      <c r="P1073" s="44">
        <v>7.898233434326E12</v>
      </c>
      <c r="Q1073" s="44">
        <v>1.0</v>
      </c>
    </row>
    <row r="1074" ht="15.75" customHeight="1">
      <c r="A1074" s="35" t="s">
        <v>2761</v>
      </c>
      <c r="B1074" s="36">
        <v>376.08408608307786</v>
      </c>
      <c r="C1074" s="36">
        <f>'Lista de Preço 02_2022'!$B1074*0.9*0.9*0.9*0.9*0.9*0.97</f>
        <v>215.4116752</v>
      </c>
      <c r="D1074" s="36">
        <f>'Lista de Preço 02_2022'!$C1074*1.1712</f>
        <v>252.290154</v>
      </c>
      <c r="E1074" s="37">
        <v>3.25</v>
      </c>
      <c r="F1074" s="38">
        <v>0.18</v>
      </c>
      <c r="G1074" s="38" t="s">
        <v>22</v>
      </c>
      <c r="H1074" s="39" t="s">
        <v>23</v>
      </c>
      <c r="I1074" s="40" t="s">
        <v>2762</v>
      </c>
      <c r="J1074" s="41" t="s">
        <v>372</v>
      </c>
      <c r="K1074" s="42" t="s">
        <v>95</v>
      </c>
      <c r="L1074" s="43">
        <v>1.32994008E9</v>
      </c>
      <c r="M1074" s="44">
        <v>8.708999E7</v>
      </c>
      <c r="N1074" s="44" t="s">
        <v>28</v>
      </c>
      <c r="O1074" s="45">
        <v>4.308</v>
      </c>
      <c r="P1074" s="44">
        <v>7.89823343434E12</v>
      </c>
      <c r="Q1074" s="44">
        <v>1.0</v>
      </c>
    </row>
    <row r="1075" ht="15.75" customHeight="1">
      <c r="A1075" s="35" t="s">
        <v>2763</v>
      </c>
      <c r="B1075" s="36">
        <v>433.28420772999175</v>
      </c>
      <c r="C1075" s="36">
        <f>'Lista de Preço 02_2022'!$B1075*0.9*0.9*0.9*0.9*0.9*0.97</f>
        <v>248.1744921</v>
      </c>
      <c r="D1075" s="36">
        <f>'Lista de Preço 02_2022'!$C1075*1.1712</f>
        <v>290.6619651</v>
      </c>
      <c r="E1075" s="37">
        <v>3.25</v>
      </c>
      <c r="F1075" s="38">
        <v>0.18</v>
      </c>
      <c r="G1075" s="38" t="s">
        <v>22</v>
      </c>
      <c r="H1075" s="39" t="s">
        <v>23</v>
      </c>
      <c r="I1075" s="40" t="s">
        <v>2764</v>
      </c>
      <c r="J1075" s="41" t="s">
        <v>372</v>
      </c>
      <c r="K1075" s="42" t="s">
        <v>95</v>
      </c>
      <c r="L1075" s="43">
        <v>1.32996808E9</v>
      </c>
      <c r="M1075" s="44">
        <v>8.708999E7</v>
      </c>
      <c r="N1075" s="44" t="s">
        <v>28</v>
      </c>
      <c r="O1075" s="45">
        <v>4.4</v>
      </c>
      <c r="P1075" s="44">
        <v>7.89823343575E12</v>
      </c>
      <c r="Q1075" s="44">
        <v>1.0</v>
      </c>
    </row>
    <row r="1076" ht="15.75" customHeight="1">
      <c r="A1076" s="35" t="s">
        <v>2765</v>
      </c>
      <c r="B1076" s="36">
        <v>116.73260954539802</v>
      </c>
      <c r="C1076" s="36">
        <f>'Lista de Preço 02_2022'!$B1076*0.9*0.9*0.9*0.9*0.9*0.97</f>
        <v>66.86155545</v>
      </c>
      <c r="D1076" s="36">
        <f>'Lista de Preço 02_2022'!$C1076*1.1712</f>
        <v>78.30825375</v>
      </c>
      <c r="E1076" s="37">
        <v>3.25</v>
      </c>
      <c r="F1076" s="38">
        <v>0.18</v>
      </c>
      <c r="G1076" s="38" t="s">
        <v>22</v>
      </c>
      <c r="H1076" s="39" t="s">
        <v>43</v>
      </c>
      <c r="I1076" s="40" t="s">
        <v>2766</v>
      </c>
      <c r="J1076" s="41" t="s">
        <v>469</v>
      </c>
      <c r="K1076" s="42" t="s">
        <v>95</v>
      </c>
      <c r="L1076" s="43">
        <v>1.495554108E10</v>
      </c>
      <c r="M1076" s="44">
        <v>8.708999E7</v>
      </c>
      <c r="N1076" s="44" t="s">
        <v>28</v>
      </c>
      <c r="O1076" s="45">
        <v>1.112</v>
      </c>
      <c r="P1076" s="44">
        <v>7.898233434258E12</v>
      </c>
      <c r="Q1076" s="44">
        <v>1.0</v>
      </c>
    </row>
    <row r="1077" ht="15.75" customHeight="1">
      <c r="A1077" s="35" t="s">
        <v>2767</v>
      </c>
      <c r="B1077" s="36">
        <v>402.07282474501073</v>
      </c>
      <c r="C1077" s="36">
        <f>'Lista de Preço 02_2022'!$B1077*0.9*0.9*0.9*0.9*0.9*0.97</f>
        <v>230.2973828</v>
      </c>
      <c r="D1077" s="36">
        <f>'Lista de Preço 02_2022'!$C1077*1.1712</f>
        <v>269.7242948</v>
      </c>
      <c r="E1077" s="37">
        <v>3.25</v>
      </c>
      <c r="F1077" s="38">
        <v>0.18</v>
      </c>
      <c r="G1077" s="38" t="s">
        <v>22</v>
      </c>
      <c r="H1077" s="39" t="s">
        <v>23</v>
      </c>
      <c r="I1077" s="40" t="s">
        <v>2768</v>
      </c>
      <c r="J1077" s="41" t="s">
        <v>372</v>
      </c>
      <c r="K1077" s="42" t="s">
        <v>95</v>
      </c>
      <c r="L1077" s="43">
        <v>1.33311308E9</v>
      </c>
      <c r="M1077" s="44">
        <v>8.708999E7</v>
      </c>
      <c r="N1077" s="44" t="s">
        <v>28</v>
      </c>
      <c r="O1077" s="45">
        <v>4.708</v>
      </c>
      <c r="P1077" s="44">
        <v>7.898233434357E12</v>
      </c>
      <c r="Q1077" s="44">
        <v>1.0</v>
      </c>
    </row>
    <row r="1078" ht="15.75" customHeight="1">
      <c r="A1078" s="35" t="s">
        <v>2769</v>
      </c>
      <c r="B1078" s="36">
        <v>452.34076713218116</v>
      </c>
      <c r="C1078" s="36">
        <f>'Lista de Preço 02_2022'!$B1078*0.9*0.9*0.9*0.9*0.9*0.97</f>
        <v>259.0896186</v>
      </c>
      <c r="D1078" s="36">
        <f>'Lista de Preço 02_2022'!$C1078*1.1712</f>
        <v>303.4457613</v>
      </c>
      <c r="E1078" s="37">
        <v>3.25</v>
      </c>
      <c r="F1078" s="38">
        <v>0.18</v>
      </c>
      <c r="G1078" s="38" t="s">
        <v>22</v>
      </c>
      <c r="H1078" s="39" t="s">
        <v>23</v>
      </c>
      <c r="I1078" s="40" t="s">
        <v>2770</v>
      </c>
      <c r="J1078" s="41" t="s">
        <v>372</v>
      </c>
      <c r="K1078" s="42" t="s">
        <v>95</v>
      </c>
      <c r="L1078" s="43">
        <v>1.33311508E9</v>
      </c>
      <c r="M1078" s="44">
        <v>8.708999E7</v>
      </c>
      <c r="N1078" s="44" t="s">
        <v>28</v>
      </c>
      <c r="O1078" s="45">
        <v>4.796</v>
      </c>
      <c r="P1078" s="44">
        <v>7.898233435774E12</v>
      </c>
      <c r="Q1078" s="44">
        <v>1.0</v>
      </c>
    </row>
    <row r="1079" ht="15.75" customHeight="1">
      <c r="A1079" s="35" t="s">
        <v>2771</v>
      </c>
      <c r="B1079" s="36">
        <v>72.86942670945055</v>
      </c>
      <c r="C1079" s="36">
        <f>'Lista de Preço 02_2022'!$B1079*0.9*0.9*0.9*0.9*0.9*0.97</f>
        <v>41.73780774</v>
      </c>
      <c r="D1079" s="36">
        <f>'Lista de Preço 02_2022'!$C1079*1.1712</f>
        <v>48.88332043</v>
      </c>
      <c r="E1079" s="37">
        <v>3.25</v>
      </c>
      <c r="F1079" s="38">
        <v>0.18</v>
      </c>
      <c r="G1079" s="38" t="s">
        <v>22</v>
      </c>
      <c r="H1079" s="39" t="s">
        <v>43</v>
      </c>
      <c r="I1079" s="40" t="s">
        <v>2772</v>
      </c>
      <c r="J1079" s="41" t="s">
        <v>45</v>
      </c>
      <c r="K1079" s="42" t="s">
        <v>95</v>
      </c>
      <c r="L1079" s="43">
        <v>4.6307552E7</v>
      </c>
      <c r="M1079" s="44">
        <v>8.708999E7</v>
      </c>
      <c r="N1079" s="44" t="s">
        <v>28</v>
      </c>
      <c r="O1079" s="45">
        <v>0.29</v>
      </c>
      <c r="P1079" s="44">
        <v>7.89823343504E12</v>
      </c>
      <c r="Q1079" s="44">
        <v>1.0</v>
      </c>
    </row>
    <row r="1080" ht="15.75" customHeight="1">
      <c r="A1080" s="35" t="s">
        <v>2773</v>
      </c>
      <c r="B1080" s="36">
        <v>69.48048080877751</v>
      </c>
      <c r="C1080" s="36">
        <f>'Lista de Preço 02_2022'!$B1080*0.9*0.9*0.9*0.9*0.9*0.97</f>
        <v>39.79670324</v>
      </c>
      <c r="D1080" s="36">
        <f>'Lista de Preço 02_2022'!$C1080*1.1712</f>
        <v>46.60989883</v>
      </c>
      <c r="E1080" s="37">
        <v>3.25</v>
      </c>
      <c r="F1080" s="38">
        <v>0.18</v>
      </c>
      <c r="G1080" s="38" t="s">
        <v>22</v>
      </c>
      <c r="H1080" s="39" t="s">
        <v>43</v>
      </c>
      <c r="I1080" s="40" t="s">
        <v>2774</v>
      </c>
      <c r="J1080" s="41" t="s">
        <v>45</v>
      </c>
      <c r="K1080" s="42" t="s">
        <v>95</v>
      </c>
      <c r="L1080" s="43">
        <v>5.17631195E8</v>
      </c>
      <c r="M1080" s="44">
        <v>8.708999E7</v>
      </c>
      <c r="N1080" s="44" t="s">
        <v>28</v>
      </c>
      <c r="O1080" s="45">
        <v>0.292</v>
      </c>
      <c r="P1080" s="44">
        <v>7.898233435637E12</v>
      </c>
      <c r="Q1080" s="44">
        <v>1.0</v>
      </c>
    </row>
    <row r="1081" ht="15.75" customHeight="1">
      <c r="A1081" s="35" t="s">
        <v>2775</v>
      </c>
      <c r="B1081" s="36">
        <v>28.74609873906751</v>
      </c>
      <c r="C1081" s="36">
        <f>'Lista de Preço 02_2022'!$B1081*0.9*0.9*0.9*0.9*0.9*0.97</f>
        <v>16.46505533</v>
      </c>
      <c r="D1081" s="36">
        <f>'Lista de Preço 02_2022'!$C1081*1.1627</f>
        <v>19.14391983</v>
      </c>
      <c r="E1081" s="37">
        <v>2.6</v>
      </c>
      <c r="F1081" s="38">
        <v>0.18</v>
      </c>
      <c r="G1081" s="38" t="s">
        <v>22</v>
      </c>
      <c r="H1081" s="39" t="s">
        <v>2038</v>
      </c>
      <c r="I1081" s="40" t="s">
        <v>2776</v>
      </c>
      <c r="J1081" s="41" t="s">
        <v>32</v>
      </c>
      <c r="K1081" s="42" t="s">
        <v>95</v>
      </c>
      <c r="L1081" s="43" t="s">
        <v>2777</v>
      </c>
      <c r="M1081" s="44">
        <v>8.7089413E7</v>
      </c>
      <c r="N1081" s="44" t="s">
        <v>28</v>
      </c>
      <c r="O1081" s="45">
        <v>0.142</v>
      </c>
      <c r="P1081" s="44">
        <v>7.898233430823E12</v>
      </c>
      <c r="Q1081" s="44">
        <v>1.0</v>
      </c>
    </row>
    <row r="1082" ht="15.75" customHeight="1">
      <c r="A1082" s="35" t="s">
        <v>2778</v>
      </c>
      <c r="B1082" s="36">
        <v>46.10424907311302</v>
      </c>
      <c r="C1082" s="36">
        <f>'Lista de Preço 02_2022'!$B1082*0.9*0.9*0.9*0.9*0.9*0.97</f>
        <v>26.40737509</v>
      </c>
      <c r="D1082" s="36">
        <f>'Lista de Preço 02_2022'!$C1082*1.1712</f>
        <v>30.92831771</v>
      </c>
      <c r="E1082" s="37">
        <v>3.25</v>
      </c>
      <c r="F1082" s="38">
        <v>0.18</v>
      </c>
      <c r="G1082" s="38" t="s">
        <v>22</v>
      </c>
      <c r="H1082" s="39" t="s">
        <v>43</v>
      </c>
      <c r="I1082" s="40" t="s">
        <v>2779</v>
      </c>
      <c r="J1082" s="41" t="s">
        <v>45</v>
      </c>
      <c r="K1082" s="42" t="s">
        <v>95</v>
      </c>
      <c r="L1082" s="43">
        <v>4361662.0</v>
      </c>
      <c r="M1082" s="44">
        <v>8.708999E7</v>
      </c>
      <c r="N1082" s="44" t="s">
        <v>28</v>
      </c>
      <c r="O1082" s="45">
        <v>0.24</v>
      </c>
      <c r="P1082" s="44">
        <v>7.89823343083E12</v>
      </c>
      <c r="Q1082" s="44">
        <v>1.0</v>
      </c>
    </row>
    <row r="1083" ht="15.75" customHeight="1">
      <c r="A1083" s="35" t="s">
        <v>2780</v>
      </c>
      <c r="B1083" s="36">
        <v>398.0664740470001</v>
      </c>
      <c r="C1083" s="36">
        <f>'Lista de Preço 02_2022'!$B1083*0.9*0.9*0.9*0.9*0.9*0.97</f>
        <v>228.0026441</v>
      </c>
      <c r="D1083" s="36">
        <f>'Lista de Preço 02_2022'!$C1083*1.1712</f>
        <v>267.0366968</v>
      </c>
      <c r="E1083" s="37">
        <v>3.25</v>
      </c>
      <c r="F1083" s="38">
        <v>0.18</v>
      </c>
      <c r="G1083" s="38" t="s">
        <v>22</v>
      </c>
      <c r="H1083" s="39" t="s">
        <v>23</v>
      </c>
      <c r="I1083" s="40" t="s">
        <v>2781</v>
      </c>
      <c r="J1083" s="41" t="s">
        <v>25</v>
      </c>
      <c r="K1083" s="42" t="s">
        <v>26</v>
      </c>
      <c r="L1083" s="43" t="s">
        <v>2782</v>
      </c>
      <c r="M1083" s="44">
        <v>8.708999E7</v>
      </c>
      <c r="N1083" s="44" t="s">
        <v>28</v>
      </c>
      <c r="O1083" s="45">
        <v>2.702</v>
      </c>
      <c r="P1083" s="44">
        <v>7.898233437846E12</v>
      </c>
      <c r="Q1083" s="44">
        <v>1.0</v>
      </c>
    </row>
    <row r="1084" ht="15.75" customHeight="1">
      <c r="A1084" s="35" t="s">
        <v>2783</v>
      </c>
      <c r="B1084" s="36">
        <v>96.29263701525763</v>
      </c>
      <c r="C1084" s="36">
        <f>'Lista de Preço 02_2022'!$B1084*0.9*0.9*0.9*0.9*0.9*0.97</f>
        <v>55.15404405</v>
      </c>
      <c r="D1084" s="36">
        <f>'Lista de Preço 02_2022'!$C1084*1.1712</f>
        <v>64.5964164</v>
      </c>
      <c r="E1084" s="37">
        <v>3.25</v>
      </c>
      <c r="F1084" s="38">
        <v>0.18</v>
      </c>
      <c r="G1084" s="38" t="s">
        <v>22</v>
      </c>
      <c r="H1084" s="39" t="s">
        <v>23</v>
      </c>
      <c r="I1084" s="40" t="s">
        <v>2784</v>
      </c>
      <c r="J1084" s="41" t="s">
        <v>25</v>
      </c>
      <c r="K1084" s="42" t="s">
        <v>95</v>
      </c>
      <c r="L1084" s="43">
        <v>7667265.0</v>
      </c>
      <c r="M1084" s="44">
        <v>8.708999E7</v>
      </c>
      <c r="N1084" s="44" t="s">
        <v>28</v>
      </c>
      <c r="O1084" s="45">
        <v>1.332</v>
      </c>
      <c r="P1084" s="44">
        <v>7.898233430847E12</v>
      </c>
      <c r="Q1084" s="44">
        <v>1.0</v>
      </c>
    </row>
    <row r="1085" ht="15.75" customHeight="1">
      <c r="A1085" s="35" t="s">
        <v>2785</v>
      </c>
      <c r="B1085" s="36">
        <v>113.53677751752683</v>
      </c>
      <c r="C1085" s="36">
        <f>'Lista de Preço 02_2022'!$B1085*0.9*0.9*0.9*0.9*0.9*0.97</f>
        <v>65.0310618</v>
      </c>
      <c r="D1085" s="36">
        <f>'Lista de Preço 02_2022'!$C1085*1.1712</f>
        <v>76.16437958</v>
      </c>
      <c r="E1085" s="37">
        <v>3.25</v>
      </c>
      <c r="F1085" s="38">
        <v>0.18</v>
      </c>
      <c r="G1085" s="38" t="s">
        <v>22</v>
      </c>
      <c r="H1085" s="39" t="s">
        <v>43</v>
      </c>
      <c r="I1085" s="40" t="s">
        <v>2786</v>
      </c>
      <c r="J1085" s="41" t="s">
        <v>469</v>
      </c>
      <c r="K1085" s="42" t="s">
        <v>95</v>
      </c>
      <c r="L1085" s="43" t="s">
        <v>2787</v>
      </c>
      <c r="M1085" s="44">
        <v>8.708999E7</v>
      </c>
      <c r="N1085" s="44" t="s">
        <v>28</v>
      </c>
      <c r="O1085" s="45">
        <v>0.55</v>
      </c>
      <c r="P1085" s="44">
        <v>7.898233433831E12</v>
      </c>
      <c r="Q1085" s="44">
        <v>1.0</v>
      </c>
    </row>
    <row r="1086" ht="15.75" customHeight="1">
      <c r="A1086" s="35" t="s">
        <v>2788</v>
      </c>
      <c r="B1086" s="36">
        <v>8.838729268392449</v>
      </c>
      <c r="C1086" s="36">
        <f>'Lista de Preço 02_2022'!$B1086*0.9*0.9*0.9*0.9*0.9*0.97</f>
        <v>5.062605808</v>
      </c>
      <c r="D1086" s="36">
        <f>'Lista de Preço 02_2022'!$C1086*1.065</f>
        <v>5.391675186</v>
      </c>
      <c r="E1086" s="37">
        <v>6.5</v>
      </c>
      <c r="F1086" s="38">
        <v>0.18</v>
      </c>
      <c r="G1086" s="38" t="s">
        <v>22</v>
      </c>
      <c r="H1086" s="39" t="s">
        <v>48</v>
      </c>
      <c r="I1086" s="40" t="s">
        <v>2789</v>
      </c>
      <c r="J1086" s="41" t="s">
        <v>32</v>
      </c>
      <c r="K1086" s="42" t="s">
        <v>95</v>
      </c>
      <c r="L1086" s="43">
        <v>4307325.0</v>
      </c>
      <c r="M1086" s="44">
        <v>7.31816E7</v>
      </c>
      <c r="N1086" s="44" t="s">
        <v>920</v>
      </c>
      <c r="O1086" s="45">
        <v>0.052</v>
      </c>
      <c r="P1086" s="44">
        <v>7.898233430861E12</v>
      </c>
      <c r="Q1086" s="48">
        <v>5.0</v>
      </c>
    </row>
    <row r="1087" ht="15.75" customHeight="1">
      <c r="A1087" s="35" t="s">
        <v>2790</v>
      </c>
      <c r="B1087" s="36">
        <v>5.250818598812827</v>
      </c>
      <c r="C1087" s="36">
        <f>'Lista de Preço 02_2022'!$B1087*0.9*0.9*0.9*0.9*0.9*0.97</f>
        <v>3.007539198</v>
      </c>
      <c r="D1087" s="36">
        <f>'Lista de Preço 02_2022'!$C1087*1.1712</f>
        <v>3.522429909</v>
      </c>
      <c r="E1087" s="37">
        <v>3.25</v>
      </c>
      <c r="F1087" s="38">
        <v>0.18</v>
      </c>
      <c r="G1087" s="38" t="s">
        <v>22</v>
      </c>
      <c r="H1087" s="39" t="s">
        <v>48</v>
      </c>
      <c r="I1087" s="40" t="s">
        <v>2791</v>
      </c>
      <c r="J1087" s="41" t="s">
        <v>32</v>
      </c>
      <c r="K1087" s="42" t="s">
        <v>95</v>
      </c>
      <c r="L1087" s="43">
        <v>814635.0</v>
      </c>
      <c r="M1087" s="44">
        <v>8.708999E7</v>
      </c>
      <c r="N1087" s="44" t="s">
        <v>28</v>
      </c>
      <c r="O1087" s="45">
        <v>0.032</v>
      </c>
      <c r="P1087" s="44">
        <v>7.898233430878E12</v>
      </c>
      <c r="Q1087" s="48">
        <v>20.0</v>
      </c>
    </row>
    <row r="1088" ht="15.75" customHeight="1">
      <c r="A1088" s="35" t="s">
        <v>2792</v>
      </c>
      <c r="B1088" s="36">
        <v>64.38997211278749</v>
      </c>
      <c r="C1088" s="36">
        <f>'Lista de Preço 02_2022'!$B1088*0.9*0.9*0.9*0.9*0.9*0.97</f>
        <v>36.88098559</v>
      </c>
      <c r="D1088" s="36">
        <f>'Lista de Preço 02_2022'!$C1088*1.1712</f>
        <v>43.19501033</v>
      </c>
      <c r="E1088" s="37">
        <v>3.25</v>
      </c>
      <c r="F1088" s="38">
        <v>0.18</v>
      </c>
      <c r="G1088" s="38" t="s">
        <v>22</v>
      </c>
      <c r="H1088" s="39" t="s">
        <v>43</v>
      </c>
      <c r="I1088" s="40" t="s">
        <v>2793</v>
      </c>
      <c r="J1088" s="41" t="s">
        <v>45</v>
      </c>
      <c r="K1088" s="42" t="s">
        <v>95</v>
      </c>
      <c r="L1088" s="43">
        <v>7508720.0</v>
      </c>
      <c r="M1088" s="44">
        <v>8.708999E7</v>
      </c>
      <c r="N1088" s="44" t="s">
        <v>28</v>
      </c>
      <c r="O1088" s="45">
        <v>0.254</v>
      </c>
      <c r="P1088" s="44">
        <v>7.898233430885E12</v>
      </c>
      <c r="Q1088" s="44">
        <v>1.0</v>
      </c>
    </row>
    <row r="1089" ht="15.75" customHeight="1">
      <c r="A1089" s="35" t="s">
        <v>2794</v>
      </c>
      <c r="B1089" s="36">
        <v>179.54756519888278</v>
      </c>
      <c r="C1089" s="36">
        <f>'Lista de Preço 02_2022'!$B1089*0.9*0.9*0.9*0.9*0.9*0.97</f>
        <v>102.8404105</v>
      </c>
      <c r="D1089" s="36">
        <f>'Lista de Preço 02_2022'!$C1089*1.1712</f>
        <v>120.4466888</v>
      </c>
      <c r="E1089" s="37">
        <v>3.25</v>
      </c>
      <c r="F1089" s="38">
        <v>0.18</v>
      </c>
      <c r="G1089" s="38" t="s">
        <v>22</v>
      </c>
      <c r="H1089" s="39" t="s">
        <v>23</v>
      </c>
      <c r="I1089" s="40" t="s">
        <v>2795</v>
      </c>
      <c r="J1089" s="41" t="s">
        <v>25</v>
      </c>
      <c r="K1089" s="42" t="s">
        <v>95</v>
      </c>
      <c r="L1089" s="43" t="s">
        <v>2796</v>
      </c>
      <c r="M1089" s="44">
        <v>8.708999E7</v>
      </c>
      <c r="N1089" s="44" t="s">
        <v>28</v>
      </c>
      <c r="O1089" s="45">
        <v>1.97</v>
      </c>
      <c r="P1089" s="44">
        <v>7.898233433077E12</v>
      </c>
      <c r="Q1089" s="44">
        <v>1.0</v>
      </c>
    </row>
    <row r="1090" ht="15.75" customHeight="1">
      <c r="A1090" s="35" t="s">
        <v>2797</v>
      </c>
      <c r="B1090" s="36">
        <v>101.91119800688591</v>
      </c>
      <c r="C1090" s="36">
        <f>'Lista de Preço 02_2022'!$B1090*0.9*0.9*0.9*0.9*0.9*0.97</f>
        <v>58.37221701</v>
      </c>
      <c r="D1090" s="36">
        <f>'Lista de Preço 02_2022'!$C1090*1.1712</f>
        <v>68.36554056</v>
      </c>
      <c r="E1090" s="37">
        <v>3.25</v>
      </c>
      <c r="F1090" s="38">
        <v>0.18</v>
      </c>
      <c r="G1090" s="38" t="s">
        <v>22</v>
      </c>
      <c r="H1090" s="39" t="s">
        <v>23</v>
      </c>
      <c r="I1090" s="40" t="s">
        <v>2798</v>
      </c>
      <c r="J1090" s="41" t="s">
        <v>25</v>
      </c>
      <c r="K1090" s="42" t="s">
        <v>95</v>
      </c>
      <c r="L1090" s="43" t="s">
        <v>2799</v>
      </c>
      <c r="M1090" s="44">
        <v>8.708999E7</v>
      </c>
      <c r="N1090" s="44" t="s">
        <v>28</v>
      </c>
      <c r="O1090" s="45">
        <v>1.466</v>
      </c>
      <c r="P1090" s="44">
        <v>7.898233430892E12</v>
      </c>
      <c r="Q1090" s="44">
        <v>1.0</v>
      </c>
    </row>
    <row r="1091" ht="15.75" customHeight="1">
      <c r="A1091" s="35" t="s">
        <v>2800</v>
      </c>
      <c r="B1091" s="36">
        <v>91.80192798945606</v>
      </c>
      <c r="C1091" s="36">
        <f>'Lista de Preço 02_2022'!$B1091*0.9*0.9*0.9*0.9*0.9*0.97</f>
        <v>52.58187684</v>
      </c>
      <c r="D1091" s="36">
        <f>'Lista de Preço 02_2022'!$C1091*1.1712</f>
        <v>61.58389416</v>
      </c>
      <c r="E1091" s="37">
        <v>3.25</v>
      </c>
      <c r="F1091" s="38">
        <v>0.18</v>
      </c>
      <c r="G1091" s="38" t="s">
        <v>22</v>
      </c>
      <c r="H1091" s="39" t="s">
        <v>23</v>
      </c>
      <c r="I1091" s="40" t="s">
        <v>2801</v>
      </c>
      <c r="J1091" s="41" t="s">
        <v>25</v>
      </c>
      <c r="K1091" s="42" t="s">
        <v>95</v>
      </c>
      <c r="L1091" s="43">
        <v>5.0003785E7</v>
      </c>
      <c r="M1091" s="44">
        <v>8.708999E7</v>
      </c>
      <c r="N1091" s="44" t="s">
        <v>28</v>
      </c>
      <c r="O1091" s="45">
        <v>1.292</v>
      </c>
      <c r="P1091" s="44">
        <v>7.898233430908E12</v>
      </c>
      <c r="Q1091" s="44">
        <v>1.0</v>
      </c>
    </row>
    <row r="1092" ht="15.75" customHeight="1">
      <c r="A1092" s="35" t="s">
        <v>2802</v>
      </c>
      <c r="B1092" s="36">
        <v>67.77891801346053</v>
      </c>
      <c r="C1092" s="36">
        <f>'Lista de Preço 02_2022'!$B1092*0.9*0.9*0.9*0.9*0.9*0.97</f>
        <v>38.8220901</v>
      </c>
      <c r="D1092" s="36">
        <f>'Lista de Preço 02_2022'!$C1092*1.1712</f>
        <v>45.46843192</v>
      </c>
      <c r="E1092" s="37">
        <v>3.25</v>
      </c>
      <c r="F1092" s="38">
        <v>0.18</v>
      </c>
      <c r="G1092" s="38" t="s">
        <v>22</v>
      </c>
      <c r="H1092" s="39" t="s">
        <v>43</v>
      </c>
      <c r="I1092" s="40" t="s">
        <v>2803</v>
      </c>
      <c r="J1092" s="41" t="s">
        <v>45</v>
      </c>
      <c r="K1092" s="42" t="s">
        <v>95</v>
      </c>
      <c r="L1092" s="43">
        <v>7599432.0</v>
      </c>
      <c r="M1092" s="44">
        <v>8.708999E7</v>
      </c>
      <c r="N1092" s="44" t="s">
        <v>28</v>
      </c>
      <c r="O1092" s="45">
        <v>0.284</v>
      </c>
      <c r="P1092" s="44">
        <v>7.898233430915E12</v>
      </c>
      <c r="Q1092" s="44">
        <v>1.0</v>
      </c>
    </row>
    <row r="1093" ht="15.75" customHeight="1">
      <c r="A1093" s="35" t="s">
        <v>2804</v>
      </c>
      <c r="B1093" s="36">
        <v>304.31220484917054</v>
      </c>
      <c r="C1093" s="36">
        <f>'Lista de Preço 02_2022'!$B1093*0.9*0.9*0.9*0.9*0.9*0.97</f>
        <v>174.3025144</v>
      </c>
      <c r="D1093" s="36">
        <f>'Lista de Preço 02_2022'!$C1093*1.1712</f>
        <v>204.1431049</v>
      </c>
      <c r="E1093" s="37">
        <v>3.25</v>
      </c>
      <c r="F1093" s="38">
        <v>0.18</v>
      </c>
      <c r="G1093" s="38" t="s">
        <v>22</v>
      </c>
      <c r="H1093" s="39" t="s">
        <v>23</v>
      </c>
      <c r="I1093" s="40" t="s">
        <v>2805</v>
      </c>
      <c r="J1093" s="41" t="s">
        <v>25</v>
      </c>
      <c r="K1093" s="42" t="s">
        <v>26</v>
      </c>
      <c r="L1093" s="43" t="s">
        <v>2806</v>
      </c>
      <c r="M1093" s="44">
        <v>8.708999E7</v>
      </c>
      <c r="N1093" s="44" t="s">
        <v>28</v>
      </c>
      <c r="O1093" s="45">
        <v>3.016</v>
      </c>
      <c r="P1093" s="44">
        <v>7.898233437853E12</v>
      </c>
      <c r="Q1093" s="44">
        <v>1.0</v>
      </c>
    </row>
    <row r="1094" ht="15.75" customHeight="1">
      <c r="A1094" s="35" t="s">
        <v>2807</v>
      </c>
      <c r="B1094" s="36">
        <v>7.780524787859358</v>
      </c>
      <c r="C1094" s="36">
        <f>'Lista de Preço 02_2022'!$B1094*0.9*0.9*0.9*0.9*0.9*0.97</f>
        <v>4.45649242</v>
      </c>
      <c r="D1094" s="36">
        <f>'Lista de Preço 02_2022'!$C1094*1.1712</f>
        <v>5.219443922</v>
      </c>
      <c r="E1094" s="37">
        <v>3.25</v>
      </c>
      <c r="F1094" s="38">
        <v>0.18</v>
      </c>
      <c r="G1094" s="38" t="s">
        <v>22</v>
      </c>
      <c r="H1094" s="39" t="s">
        <v>30</v>
      </c>
      <c r="I1094" s="40" t="s">
        <v>2808</v>
      </c>
      <c r="J1094" s="41" t="s">
        <v>32</v>
      </c>
      <c r="K1094" s="42" t="s">
        <v>95</v>
      </c>
      <c r="L1094" s="43">
        <v>5.9669439E7</v>
      </c>
      <c r="M1094" s="44">
        <v>8.708999E7</v>
      </c>
      <c r="N1094" s="44" t="s">
        <v>28</v>
      </c>
      <c r="O1094" s="45">
        <v>0.282</v>
      </c>
      <c r="P1094" s="44">
        <v>7.898233430922E12</v>
      </c>
      <c r="Q1094" s="44">
        <v>1.0</v>
      </c>
    </row>
    <row r="1095" ht="15.75" customHeight="1">
      <c r="A1095" s="35" t="s">
        <v>2809</v>
      </c>
      <c r="B1095" s="36">
        <v>64.38997211278749</v>
      </c>
      <c r="C1095" s="36">
        <f>'Lista de Preço 02_2022'!$B1095*0.9*0.9*0.9*0.9*0.9*0.97</f>
        <v>36.88098559</v>
      </c>
      <c r="D1095" s="36">
        <f>'Lista de Preço 02_2022'!$C1095*1.1712</f>
        <v>43.19501033</v>
      </c>
      <c r="E1095" s="37">
        <v>3.25</v>
      </c>
      <c r="F1095" s="38">
        <v>0.18</v>
      </c>
      <c r="G1095" s="38" t="s">
        <v>22</v>
      </c>
      <c r="H1095" s="39" t="s">
        <v>43</v>
      </c>
      <c r="I1095" s="40" t="s">
        <v>2810</v>
      </c>
      <c r="J1095" s="41" t="s">
        <v>45</v>
      </c>
      <c r="K1095" s="42" t="s">
        <v>95</v>
      </c>
      <c r="L1095" s="43">
        <v>4.6448513E7</v>
      </c>
      <c r="M1095" s="44">
        <v>8.708999E7</v>
      </c>
      <c r="N1095" s="44" t="s">
        <v>28</v>
      </c>
      <c r="O1095" s="45">
        <v>0.296</v>
      </c>
      <c r="P1095" s="44">
        <v>7.898233430939E12</v>
      </c>
      <c r="Q1095" s="44">
        <v>1.0</v>
      </c>
    </row>
    <row r="1096" ht="15.75" customHeight="1">
      <c r="A1096" s="35" t="s">
        <v>2811</v>
      </c>
      <c r="B1096" s="36">
        <v>71.18204360409453</v>
      </c>
      <c r="C1096" s="36">
        <f>'Lista de Preço 02_2022'!$B1096*0.9*0.9*0.9*0.9*0.9*0.97</f>
        <v>40.77131638</v>
      </c>
      <c r="D1096" s="36">
        <f>'Lista de Preço 02_2022'!$C1096*1.1712</f>
        <v>47.75136574</v>
      </c>
      <c r="E1096" s="37">
        <v>3.25</v>
      </c>
      <c r="F1096" s="38">
        <v>0.18</v>
      </c>
      <c r="G1096" s="38" t="s">
        <v>22</v>
      </c>
      <c r="H1096" s="39" t="s">
        <v>43</v>
      </c>
      <c r="I1096" s="40" t="s">
        <v>2812</v>
      </c>
      <c r="J1096" s="41" t="s">
        <v>45</v>
      </c>
      <c r="K1096" s="42" t="s">
        <v>95</v>
      </c>
      <c r="L1096" s="43">
        <v>7702194.0</v>
      </c>
      <c r="M1096" s="44">
        <v>8.708999E7</v>
      </c>
      <c r="N1096" s="44" t="s">
        <v>28</v>
      </c>
      <c r="O1096" s="45">
        <v>0.298</v>
      </c>
      <c r="P1096" s="44">
        <v>7.898233430946E12</v>
      </c>
      <c r="Q1096" s="44">
        <v>1.0</v>
      </c>
    </row>
    <row r="1097" ht="15.75" customHeight="1">
      <c r="A1097" s="35" t="s">
        <v>2813</v>
      </c>
      <c r="B1097" s="36">
        <v>226.82283065249524</v>
      </c>
      <c r="C1097" s="36">
        <f>'Lista de Preço 02_2022'!$B1097*0.9*0.9*0.9*0.9*0.9*0.97</f>
        <v>129.9185149</v>
      </c>
      <c r="D1097" s="36">
        <f>'Lista de Preço 02_2022'!$C1097*1.1712</f>
        <v>152.1605646</v>
      </c>
      <c r="E1097" s="37">
        <v>3.25</v>
      </c>
      <c r="F1097" s="38">
        <v>0.18</v>
      </c>
      <c r="G1097" s="38" t="s">
        <v>22</v>
      </c>
      <c r="H1097" s="39" t="s">
        <v>23</v>
      </c>
      <c r="I1097" s="40" t="s">
        <v>2814</v>
      </c>
      <c r="J1097" s="41" t="s">
        <v>25</v>
      </c>
      <c r="K1097" s="42" t="s">
        <v>95</v>
      </c>
      <c r="L1097" s="43">
        <v>8.2403117E7</v>
      </c>
      <c r="M1097" s="44">
        <v>8.708999E7</v>
      </c>
      <c r="N1097" s="44" t="s">
        <v>28</v>
      </c>
      <c r="O1097" s="45">
        <v>1.604</v>
      </c>
      <c r="P1097" s="44">
        <v>7.898233430953E12</v>
      </c>
      <c r="Q1097" s="44">
        <v>1.0</v>
      </c>
    </row>
    <row r="1098" ht="15.75" customHeight="1">
      <c r="A1098" s="35" t="s">
        <v>2815</v>
      </c>
      <c r="B1098" s="36">
        <v>86.60875929863748</v>
      </c>
      <c r="C1098" s="36">
        <f>'Lista de Preço 02_2022'!$B1098*0.9*0.9*0.9*0.9*0.9*0.97</f>
        <v>49.60735809</v>
      </c>
      <c r="D1098" s="36">
        <f>'Lista de Preço 02_2022'!$C1098*1.1712</f>
        <v>58.10013779</v>
      </c>
      <c r="E1098" s="37">
        <v>3.25</v>
      </c>
      <c r="F1098" s="38">
        <v>0.18</v>
      </c>
      <c r="G1098" s="38" t="s">
        <v>22</v>
      </c>
      <c r="H1098" s="39" t="s">
        <v>23</v>
      </c>
      <c r="I1098" s="40" t="s">
        <v>2816</v>
      </c>
      <c r="J1098" s="41" t="s">
        <v>25</v>
      </c>
      <c r="K1098" s="42" t="s">
        <v>95</v>
      </c>
      <c r="L1098" s="43">
        <v>7608131.0</v>
      </c>
      <c r="M1098" s="44">
        <v>8.708999E7</v>
      </c>
      <c r="N1098" s="44" t="s">
        <v>28</v>
      </c>
      <c r="O1098" s="45">
        <v>1.116</v>
      </c>
      <c r="P1098" s="44">
        <v>7.89823343096E12</v>
      </c>
      <c r="Q1098" s="44">
        <v>1.0</v>
      </c>
    </row>
    <row r="1099" ht="15.75" customHeight="1">
      <c r="A1099" s="35" t="s">
        <v>2817</v>
      </c>
      <c r="B1099" s="36">
        <v>174.74559697777332</v>
      </c>
      <c r="C1099" s="36">
        <f>'Lista de Preço 02_2022'!$B1099*0.9*0.9*0.9*0.9*0.9*0.97</f>
        <v>100.0899617</v>
      </c>
      <c r="D1099" s="36">
        <f>'Lista de Preço 02_2022'!$C1099*1.1712</f>
        <v>117.2253632</v>
      </c>
      <c r="E1099" s="37">
        <v>3.25</v>
      </c>
      <c r="F1099" s="38">
        <v>0.18</v>
      </c>
      <c r="G1099" s="38" t="s">
        <v>22</v>
      </c>
      <c r="H1099" s="39" t="s">
        <v>23</v>
      </c>
      <c r="I1099" s="40" t="s">
        <v>2818</v>
      </c>
      <c r="J1099" s="41" t="s">
        <v>25</v>
      </c>
      <c r="K1099" s="42" t="s">
        <v>95</v>
      </c>
      <c r="L1099" s="43">
        <v>4.6453887E7</v>
      </c>
      <c r="M1099" s="44">
        <v>8.708999E7</v>
      </c>
      <c r="N1099" s="44" t="s">
        <v>28</v>
      </c>
      <c r="O1099" s="45">
        <v>1.504</v>
      </c>
      <c r="P1099" s="44">
        <v>7.898233430977E12</v>
      </c>
      <c r="Q1099" s="44">
        <v>1.0</v>
      </c>
    </row>
    <row r="1100" ht="15.75" customHeight="1">
      <c r="A1100" s="35" t="s">
        <v>2819</v>
      </c>
      <c r="B1100" s="36">
        <v>84.09787877409781</v>
      </c>
      <c r="C1100" s="36">
        <f>'Lista de Preço 02_2022'!$B1100*0.9*0.9*0.9*0.9*0.9*0.97</f>
        <v>48.16918774</v>
      </c>
      <c r="D1100" s="36">
        <f>'Lista de Preço 02_2022'!$C1100*1.1712</f>
        <v>56.41575269</v>
      </c>
      <c r="E1100" s="37">
        <v>3.25</v>
      </c>
      <c r="F1100" s="38">
        <v>0.18</v>
      </c>
      <c r="G1100" s="38" t="s">
        <v>22</v>
      </c>
      <c r="H1100" s="39" t="s">
        <v>23</v>
      </c>
      <c r="I1100" s="40" t="s">
        <v>2820</v>
      </c>
      <c r="J1100" s="41" t="s">
        <v>25</v>
      </c>
      <c r="K1100" s="42" t="s">
        <v>95</v>
      </c>
      <c r="L1100" s="43">
        <v>4.6447445E7</v>
      </c>
      <c r="M1100" s="44">
        <v>8.708999E7</v>
      </c>
      <c r="N1100" s="44" t="s">
        <v>28</v>
      </c>
      <c r="O1100" s="45">
        <v>1.356</v>
      </c>
      <c r="P1100" s="44">
        <v>7.898233430984E12</v>
      </c>
      <c r="Q1100" s="44">
        <v>1.0</v>
      </c>
    </row>
    <row r="1101" ht="15.75" customHeight="1">
      <c r="A1101" s="35" t="s">
        <v>2821</v>
      </c>
      <c r="B1101" s="36">
        <v>95.76995332318671</v>
      </c>
      <c r="C1101" s="36">
        <f>'Lista de Preço 02_2022'!$B1101*0.9*0.9*0.9*0.9*0.9*0.97</f>
        <v>54.85466375</v>
      </c>
      <c r="D1101" s="36">
        <f>'Lista de Preço 02_2022'!$C1101*1.1712</f>
        <v>64.24578218</v>
      </c>
      <c r="E1101" s="37">
        <v>3.25</v>
      </c>
      <c r="F1101" s="38">
        <v>0.18</v>
      </c>
      <c r="G1101" s="38" t="s">
        <v>22</v>
      </c>
      <c r="H1101" s="39" t="s">
        <v>23</v>
      </c>
      <c r="I1101" s="40" t="s">
        <v>2822</v>
      </c>
      <c r="J1101" s="41" t="s">
        <v>25</v>
      </c>
      <c r="K1101" s="42" t="s">
        <v>95</v>
      </c>
      <c r="L1101" s="43" t="s">
        <v>2823</v>
      </c>
      <c r="M1101" s="44">
        <v>8.708999E7</v>
      </c>
      <c r="N1101" s="44" t="s">
        <v>28</v>
      </c>
      <c r="O1101" s="45">
        <v>1.434</v>
      </c>
      <c r="P1101" s="44">
        <v>7.898233431004E12</v>
      </c>
      <c r="Q1101" s="44">
        <v>1.0</v>
      </c>
    </row>
    <row r="1102" ht="15.75" customHeight="1">
      <c r="A1102" s="35" t="s">
        <v>2824</v>
      </c>
      <c r="B1102" s="36">
        <v>162.4917763542194</v>
      </c>
      <c r="C1102" s="36">
        <f>'Lista de Preço 02_2022'!$B1102*0.9*0.9*0.9*0.9*0.9*0.97</f>
        <v>93.07127595</v>
      </c>
      <c r="D1102" s="36">
        <f>'Lista de Preço 02_2022'!$C1102*1.1712</f>
        <v>109.0050784</v>
      </c>
      <c r="E1102" s="37">
        <v>3.25</v>
      </c>
      <c r="F1102" s="38">
        <v>0.18</v>
      </c>
      <c r="G1102" s="38" t="s">
        <v>22</v>
      </c>
      <c r="H1102" s="39" t="s">
        <v>65</v>
      </c>
      <c r="I1102" s="40" t="s">
        <v>2825</v>
      </c>
      <c r="J1102" s="41" t="s">
        <v>67</v>
      </c>
      <c r="K1102" s="42" t="s">
        <v>95</v>
      </c>
      <c r="L1102" s="43">
        <v>7593762.0</v>
      </c>
      <c r="M1102" s="44">
        <v>8.708999E7</v>
      </c>
      <c r="N1102" s="44" t="s">
        <v>28</v>
      </c>
      <c r="O1102" s="45">
        <v>1.472</v>
      </c>
      <c r="P1102" s="44">
        <v>7.898233431011E12</v>
      </c>
      <c r="Q1102" s="44">
        <v>1.0</v>
      </c>
    </row>
    <row r="1103" ht="15.75" customHeight="1">
      <c r="A1103" s="35" t="s">
        <v>2826</v>
      </c>
      <c r="B1103" s="36">
        <v>194.25659621446263</v>
      </c>
      <c r="C1103" s="36">
        <f>'Lista de Preço 02_2022'!$B1103*0.9*0.9*0.9*0.9*0.9*0.97</f>
        <v>111.2653802</v>
      </c>
      <c r="D1103" s="36">
        <f>'Lista de Preço 02_2022'!$C1103*1.1712</f>
        <v>130.3140133</v>
      </c>
      <c r="E1103" s="37">
        <v>3.25</v>
      </c>
      <c r="F1103" s="38">
        <v>0.18</v>
      </c>
      <c r="G1103" s="38" t="s">
        <v>22</v>
      </c>
      <c r="H1103" s="39" t="s">
        <v>23</v>
      </c>
      <c r="I1103" s="40" t="s">
        <v>2827</v>
      </c>
      <c r="J1103" s="41" t="s">
        <v>25</v>
      </c>
      <c r="K1103" s="42" t="s">
        <v>95</v>
      </c>
      <c r="L1103" s="43">
        <v>7746191.0</v>
      </c>
      <c r="M1103" s="44">
        <v>8.708999E7</v>
      </c>
      <c r="N1103" s="44" t="s">
        <v>28</v>
      </c>
      <c r="O1103" s="45">
        <v>1.536</v>
      </c>
      <c r="P1103" s="44">
        <v>7.898233431028E12</v>
      </c>
      <c r="Q1103" s="44">
        <v>1.0</v>
      </c>
    </row>
    <row r="1104" ht="15.75" customHeight="1">
      <c r="A1104" s="35" t="s">
        <v>2828</v>
      </c>
      <c r="B1104" s="36">
        <v>193.4405276646257</v>
      </c>
      <c r="C1104" s="36">
        <f>'Lista de Preço 02_2022'!$B1104*0.9*0.9*0.9*0.9*0.9*0.97</f>
        <v>110.7979563</v>
      </c>
      <c r="D1104" s="36">
        <f>'Lista de Preço 02_2022'!$C1104*1.1712</f>
        <v>129.7665664</v>
      </c>
      <c r="E1104" s="37">
        <v>3.25</v>
      </c>
      <c r="F1104" s="38">
        <v>0.18</v>
      </c>
      <c r="G1104" s="38" t="s">
        <v>22</v>
      </c>
      <c r="H1104" s="39" t="s">
        <v>525</v>
      </c>
      <c r="I1104" s="40" t="s">
        <v>2829</v>
      </c>
      <c r="J1104" s="41" t="s">
        <v>527</v>
      </c>
      <c r="K1104" s="42" t="s">
        <v>95</v>
      </c>
      <c r="L1104" s="43">
        <v>7.5346391E7</v>
      </c>
      <c r="M1104" s="44">
        <v>8.708999E7</v>
      </c>
      <c r="N1104" s="44" t="s">
        <v>28</v>
      </c>
      <c r="O1104" s="45">
        <v>4.29</v>
      </c>
      <c r="P1104" s="44">
        <v>7.898233431035E12</v>
      </c>
      <c r="Q1104" s="44">
        <v>1.0</v>
      </c>
    </row>
    <row r="1105" ht="15.75" customHeight="1">
      <c r="A1105" s="35" t="s">
        <v>2830</v>
      </c>
      <c r="B1105" s="36">
        <v>243.2147765416408</v>
      </c>
      <c r="C1105" s="36">
        <f>'Lista de Preço 02_2022'!$B1105*0.9*0.9*0.9*0.9*0.9*0.97</f>
        <v>139.3074166</v>
      </c>
      <c r="D1105" s="36">
        <f>'Lista de Preço 02_2022'!$C1105*1.1712</f>
        <v>163.1568463</v>
      </c>
      <c r="E1105" s="37">
        <v>3.25</v>
      </c>
      <c r="F1105" s="38">
        <v>0.18</v>
      </c>
      <c r="G1105" s="38" t="s">
        <v>22</v>
      </c>
      <c r="H1105" s="39" t="s">
        <v>525</v>
      </c>
      <c r="I1105" s="40" t="s">
        <v>2831</v>
      </c>
      <c r="J1105" s="41" t="s">
        <v>527</v>
      </c>
      <c r="K1105" s="42" t="s">
        <v>95</v>
      </c>
      <c r="L1105" s="43">
        <v>7588233.0</v>
      </c>
      <c r="M1105" s="44">
        <v>8.708999E7</v>
      </c>
      <c r="N1105" s="44" t="s">
        <v>28</v>
      </c>
      <c r="O1105" s="45">
        <v>5.098</v>
      </c>
      <c r="P1105" s="44">
        <v>7.898233431042E12</v>
      </c>
      <c r="Q1105" s="44">
        <v>1.0</v>
      </c>
    </row>
    <row r="1106" ht="15.75" customHeight="1">
      <c r="A1106" s="35" t="s">
        <v>2832</v>
      </c>
      <c r="B1106" s="36">
        <v>266.1596358030656</v>
      </c>
      <c r="C1106" s="36">
        <f>'Lista de Preço 02_2022'!$B1106*0.9*0.9*0.9*0.9*0.9*0.97</f>
        <v>152.4496652</v>
      </c>
      <c r="D1106" s="36">
        <f>'Lista de Preço 02_2022'!$C1106*1.1712</f>
        <v>178.5490479</v>
      </c>
      <c r="E1106" s="37">
        <v>3.25</v>
      </c>
      <c r="F1106" s="38">
        <v>0.18</v>
      </c>
      <c r="G1106" s="38" t="s">
        <v>22</v>
      </c>
      <c r="H1106" s="39" t="s">
        <v>525</v>
      </c>
      <c r="I1106" s="40" t="s">
        <v>2833</v>
      </c>
      <c r="J1106" s="41" t="s">
        <v>527</v>
      </c>
      <c r="K1106" s="42" t="s">
        <v>95</v>
      </c>
      <c r="L1106" s="43">
        <v>7588232.0</v>
      </c>
      <c r="M1106" s="44">
        <v>8.708999E7</v>
      </c>
      <c r="N1106" s="44" t="s">
        <v>28</v>
      </c>
      <c r="O1106" s="45">
        <v>5.966</v>
      </c>
      <c r="P1106" s="44">
        <v>7.898233431059E12</v>
      </c>
      <c r="Q1106" s="44">
        <v>1.0</v>
      </c>
    </row>
    <row r="1107" ht="15.75" customHeight="1">
      <c r="A1107" s="35" t="s">
        <v>2834</v>
      </c>
      <c r="B1107" s="36">
        <v>93.67890658913402</v>
      </c>
      <c r="C1107" s="36">
        <f>'Lista de Preço 02_2022'!$B1107*0.9*0.9*0.9*0.9*0.9*0.97</f>
        <v>53.65696383</v>
      </c>
      <c r="D1107" s="36">
        <f>'Lista de Preço 02_2022'!$C1107*1.1712</f>
        <v>62.84303603</v>
      </c>
      <c r="E1107" s="37">
        <v>3.25</v>
      </c>
      <c r="F1107" s="38">
        <v>0.18</v>
      </c>
      <c r="G1107" s="38" t="s">
        <v>22</v>
      </c>
      <c r="H1107" s="39" t="s">
        <v>525</v>
      </c>
      <c r="I1107" s="40" t="s">
        <v>2835</v>
      </c>
      <c r="J1107" s="41" t="s">
        <v>527</v>
      </c>
      <c r="K1107" s="42" t="s">
        <v>95</v>
      </c>
      <c r="L1107" s="43">
        <v>7692476.0</v>
      </c>
      <c r="M1107" s="44">
        <v>8.708999E7</v>
      </c>
      <c r="N1107" s="44" t="s">
        <v>28</v>
      </c>
      <c r="O1107" s="45">
        <v>2.218</v>
      </c>
      <c r="P1107" s="44">
        <v>7.898233431066E12</v>
      </c>
      <c r="Q1107" s="44">
        <v>1.0</v>
      </c>
    </row>
    <row r="1108" ht="15.75" customHeight="1">
      <c r="A1108" s="35" t="s">
        <v>2836</v>
      </c>
      <c r="B1108" s="36">
        <v>207.6147826148918</v>
      </c>
      <c r="C1108" s="36">
        <f>'Lista de Preço 02_2022'!$B1108*0.9*0.9*0.9*0.9*0.9*0.97</f>
        <v>118.9166194</v>
      </c>
      <c r="D1108" s="36">
        <f>'Lista de Preço 02_2022'!$C1108*1.1712</f>
        <v>139.2751446</v>
      </c>
      <c r="E1108" s="37">
        <v>3.25</v>
      </c>
      <c r="F1108" s="38">
        <v>0.18</v>
      </c>
      <c r="G1108" s="38" t="s">
        <v>22</v>
      </c>
      <c r="H1108" s="39" t="s">
        <v>525</v>
      </c>
      <c r="I1108" s="40" t="s">
        <v>2837</v>
      </c>
      <c r="J1108" s="41" t="s">
        <v>527</v>
      </c>
      <c r="K1108" s="42" t="s">
        <v>95</v>
      </c>
      <c r="L1108" s="43">
        <v>7624533.0</v>
      </c>
      <c r="M1108" s="44">
        <v>8.708999E7</v>
      </c>
      <c r="N1108" s="44" t="s">
        <v>28</v>
      </c>
      <c r="O1108" s="45">
        <v>6.42</v>
      </c>
      <c r="P1108" s="44">
        <v>7.898233431073E12</v>
      </c>
      <c r="Q1108" s="44">
        <v>1.0</v>
      </c>
    </row>
    <row r="1109" ht="15.75" customHeight="1">
      <c r="A1109" s="35" t="s">
        <v>2838</v>
      </c>
      <c r="B1109" s="36">
        <v>180.79877209752203</v>
      </c>
      <c r="C1109" s="36">
        <f>'Lista de Preço 02_2022'!$B1109*0.9*0.9*0.9*0.9*0.9*0.97</f>
        <v>103.5570709</v>
      </c>
      <c r="D1109" s="36">
        <f>'Lista de Preço 02_2022'!$C1109*1.1712</f>
        <v>121.2860415</v>
      </c>
      <c r="E1109" s="37">
        <v>3.25</v>
      </c>
      <c r="F1109" s="38">
        <v>0.18</v>
      </c>
      <c r="G1109" s="38" t="s">
        <v>22</v>
      </c>
      <c r="H1109" s="39" t="s">
        <v>525</v>
      </c>
      <c r="I1109" s="40" t="s">
        <v>2839</v>
      </c>
      <c r="J1109" s="41" t="s">
        <v>527</v>
      </c>
      <c r="K1109" s="42" t="s">
        <v>95</v>
      </c>
      <c r="L1109" s="43">
        <v>7692439.0</v>
      </c>
      <c r="M1109" s="44">
        <v>8.708999E7</v>
      </c>
      <c r="N1109" s="44" t="s">
        <v>28</v>
      </c>
      <c r="O1109" s="45">
        <v>3.432</v>
      </c>
      <c r="P1109" s="44">
        <v>7.89823343108E12</v>
      </c>
      <c r="Q1109" s="44">
        <v>1.0</v>
      </c>
    </row>
    <row r="1110" ht="15.75" customHeight="1">
      <c r="A1110" s="35" t="s">
        <v>2840</v>
      </c>
      <c r="B1110" s="36">
        <v>118.52315057044349</v>
      </c>
      <c r="C1110" s="36">
        <f>'Lista de Preço 02_2022'!$B1110*0.9*0.9*0.9*0.9*0.9*0.97</f>
        <v>67.88713312</v>
      </c>
      <c r="D1110" s="36">
        <f>'Lista de Preço 02_2022'!$C1110*1.1712</f>
        <v>79.50941032</v>
      </c>
      <c r="E1110" s="37">
        <v>3.25</v>
      </c>
      <c r="F1110" s="38">
        <v>0.18</v>
      </c>
      <c r="G1110" s="38" t="s">
        <v>22</v>
      </c>
      <c r="H1110" s="39" t="s">
        <v>525</v>
      </c>
      <c r="I1110" s="40" t="s">
        <v>2841</v>
      </c>
      <c r="J1110" s="41" t="s">
        <v>527</v>
      </c>
      <c r="K1110" s="42" t="s">
        <v>95</v>
      </c>
      <c r="L1110" s="43">
        <v>775875.0</v>
      </c>
      <c r="M1110" s="44">
        <v>8.708999E7</v>
      </c>
      <c r="N1110" s="44" t="s">
        <v>28</v>
      </c>
      <c r="O1110" s="45">
        <v>2.806</v>
      </c>
      <c r="P1110" s="44">
        <v>7.898233431097E12</v>
      </c>
      <c r="Q1110" s="44">
        <v>1.0</v>
      </c>
    </row>
    <row r="1111" ht="15.75" customHeight="1">
      <c r="A1111" s="35" t="s">
        <v>2842</v>
      </c>
      <c r="B1111" s="36">
        <v>204.85787189280006</v>
      </c>
      <c r="C1111" s="36">
        <f>'Lista de Preço 02_2022'!$B1111*0.9*0.9*0.9*0.9*0.9*0.97</f>
        <v>117.337529</v>
      </c>
      <c r="D1111" s="36">
        <f>'Lista de Preço 02_2022'!$C1111*1.1712</f>
        <v>137.425714</v>
      </c>
      <c r="E1111" s="37">
        <v>3.25</v>
      </c>
      <c r="F1111" s="38">
        <v>0.18</v>
      </c>
      <c r="G1111" s="38" t="s">
        <v>22</v>
      </c>
      <c r="H1111" s="39" t="s">
        <v>525</v>
      </c>
      <c r="I1111" s="40" t="s">
        <v>2843</v>
      </c>
      <c r="J1111" s="41" t="s">
        <v>527</v>
      </c>
      <c r="K1111" s="42" t="s">
        <v>95</v>
      </c>
      <c r="L1111" s="43">
        <v>4.6466278E7</v>
      </c>
      <c r="M1111" s="44">
        <v>8.708999E7</v>
      </c>
      <c r="N1111" s="44" t="s">
        <v>28</v>
      </c>
      <c r="O1111" s="45">
        <v>3.896</v>
      </c>
      <c r="P1111" s="44">
        <v>7.898233431103E12</v>
      </c>
      <c r="Q1111" s="44">
        <v>1.0</v>
      </c>
    </row>
    <row r="1112" ht="15.75" customHeight="1">
      <c r="A1112" s="35" t="s">
        <v>2844</v>
      </c>
      <c r="B1112" s="36">
        <v>89.22892173624452</v>
      </c>
      <c r="C1112" s="36">
        <f>'Lista de Preço 02_2022'!$B1112*0.9*0.9*0.9*0.9*0.9*0.97</f>
        <v>51.10812242</v>
      </c>
      <c r="D1112" s="36">
        <f>'Lista de Preço 02_2022'!$C1112*1.1712</f>
        <v>59.85783297</v>
      </c>
      <c r="E1112" s="37">
        <v>3.25</v>
      </c>
      <c r="F1112" s="38">
        <v>0.18</v>
      </c>
      <c r="G1112" s="38" t="s">
        <v>22</v>
      </c>
      <c r="H1112" s="39" t="s">
        <v>525</v>
      </c>
      <c r="I1112" s="40" t="s">
        <v>2845</v>
      </c>
      <c r="J1112" s="41" t="s">
        <v>527</v>
      </c>
      <c r="K1112" s="42" t="s">
        <v>95</v>
      </c>
      <c r="L1112" s="43">
        <v>4.6450459E7</v>
      </c>
      <c r="M1112" s="44">
        <v>8.708999E7</v>
      </c>
      <c r="N1112" s="44" t="s">
        <v>28</v>
      </c>
      <c r="O1112" s="45">
        <v>4.286</v>
      </c>
      <c r="P1112" s="44">
        <v>7.89823343111E12</v>
      </c>
      <c r="Q1112" s="44">
        <v>1.0</v>
      </c>
    </row>
    <row r="1113" ht="15.75" customHeight="1">
      <c r="A1113" s="35" t="s">
        <v>2846</v>
      </c>
      <c r="B1113" s="36">
        <v>183.4322076170715</v>
      </c>
      <c r="C1113" s="36">
        <f>'Lista de Preço 02_2022'!$B1113*0.9*0.9*0.9*0.9*0.9*0.97</f>
        <v>105.0654377</v>
      </c>
      <c r="D1113" s="36">
        <f>'Lista de Preço 02_2022'!$C1113*1.1712</f>
        <v>123.0526407</v>
      </c>
      <c r="E1113" s="37">
        <v>3.25</v>
      </c>
      <c r="F1113" s="38">
        <v>0.18</v>
      </c>
      <c r="G1113" s="38" t="s">
        <v>22</v>
      </c>
      <c r="H1113" s="39" t="s">
        <v>525</v>
      </c>
      <c r="I1113" s="40" t="s">
        <v>2847</v>
      </c>
      <c r="J1113" s="41" t="s">
        <v>527</v>
      </c>
      <c r="K1113" s="42" t="s">
        <v>95</v>
      </c>
      <c r="L1113" s="43">
        <v>4.6470775E7</v>
      </c>
      <c r="M1113" s="44">
        <v>8.708999E7</v>
      </c>
      <c r="N1113" s="44" t="s">
        <v>28</v>
      </c>
      <c r="O1113" s="45">
        <v>5.522</v>
      </c>
      <c r="P1113" s="44">
        <v>7.898233433886E12</v>
      </c>
      <c r="Q1113" s="44">
        <v>1.0</v>
      </c>
    </row>
    <row r="1114" ht="15.75" customHeight="1">
      <c r="A1114" s="35" t="s">
        <v>2848</v>
      </c>
      <c r="B1114" s="36">
        <v>578.029232251918</v>
      </c>
      <c r="C1114" s="36">
        <f>'Lista de Preço 02_2022'!$B1114*0.9*0.9*0.9*0.9*0.9*0.97</f>
        <v>331.0808669</v>
      </c>
      <c r="D1114" s="36">
        <f>'Lista de Preço 02_2022'!$C1114*1.1712</f>
        <v>387.7619113</v>
      </c>
      <c r="E1114" s="37">
        <v>3.25</v>
      </c>
      <c r="F1114" s="38">
        <v>0.18</v>
      </c>
      <c r="G1114" s="38" t="s">
        <v>37</v>
      </c>
      <c r="H1114" s="39" t="s">
        <v>23</v>
      </c>
      <c r="I1114" s="40" t="s">
        <v>2849</v>
      </c>
      <c r="J1114" s="41" t="s">
        <v>302</v>
      </c>
      <c r="K1114" s="42" t="s">
        <v>1901</v>
      </c>
      <c r="L1114" s="43" t="s">
        <v>2850</v>
      </c>
      <c r="M1114" s="42">
        <v>8.708999E7</v>
      </c>
      <c r="N1114" s="44" t="s">
        <v>28</v>
      </c>
      <c r="O1114" s="45">
        <v>3.442</v>
      </c>
      <c r="P1114" s="44">
        <v>7.899823505488E12</v>
      </c>
      <c r="Q1114" s="44">
        <v>1.0</v>
      </c>
    </row>
    <row r="1115" ht="15.75" customHeight="1">
      <c r="A1115" s="35" t="s">
        <v>2851</v>
      </c>
      <c r="B1115" s="36">
        <v>606.3871206871255</v>
      </c>
      <c r="C1115" s="36">
        <f>'Lista de Preço 02_2022'!$B1115*0.9*0.9*0.9*0.9*0.9*0.97</f>
        <v>347.323565</v>
      </c>
      <c r="D1115" s="36">
        <f>'Lista de Preço 02_2022'!$C1115*1.1712</f>
        <v>406.7853593</v>
      </c>
      <c r="E1115" s="37">
        <v>3.25</v>
      </c>
      <c r="F1115" s="38">
        <v>0.18</v>
      </c>
      <c r="G1115" s="38" t="s">
        <v>37</v>
      </c>
      <c r="H1115" s="39" t="s">
        <v>23</v>
      </c>
      <c r="I1115" s="40" t="s">
        <v>2852</v>
      </c>
      <c r="J1115" s="41" t="s">
        <v>302</v>
      </c>
      <c r="K1115" s="42" t="s">
        <v>1901</v>
      </c>
      <c r="L1115" s="43" t="s">
        <v>2853</v>
      </c>
      <c r="M1115" s="42">
        <v>8.708999E7</v>
      </c>
      <c r="N1115" s="44" t="s">
        <v>28</v>
      </c>
      <c r="O1115" s="45">
        <v>3.678</v>
      </c>
      <c r="P1115" s="44">
        <v>7.899823507048E12</v>
      </c>
      <c r="Q1115" s="44">
        <v>1.0</v>
      </c>
    </row>
    <row r="1116" ht="15.75" customHeight="1">
      <c r="A1116" s="35" t="s">
        <v>2854</v>
      </c>
      <c r="B1116" s="36">
        <v>112.4793026464954</v>
      </c>
      <c r="C1116" s="36">
        <f>'Lista de Preço 02_2022'!$B1116*0.9*0.9*0.9*0.9*0.9*0.97</f>
        <v>64.42536632</v>
      </c>
      <c r="D1116" s="36">
        <f>'Lista de Preço 02_2022'!$C1116*1.1712</f>
        <v>75.45498903</v>
      </c>
      <c r="E1116" s="37">
        <v>3.25</v>
      </c>
      <c r="F1116" s="38">
        <v>0.18</v>
      </c>
      <c r="G1116" s="38" t="s">
        <v>22</v>
      </c>
      <c r="H1116" s="39" t="s">
        <v>525</v>
      </c>
      <c r="I1116" s="40" t="s">
        <v>2855</v>
      </c>
      <c r="J1116" s="41" t="s">
        <v>527</v>
      </c>
      <c r="K1116" s="42" t="s">
        <v>95</v>
      </c>
      <c r="L1116" s="43">
        <v>4.6537401E7</v>
      </c>
      <c r="M1116" s="44">
        <v>8.708999E7</v>
      </c>
      <c r="N1116" s="44" t="s">
        <v>28</v>
      </c>
      <c r="O1116" s="45">
        <v>2.874</v>
      </c>
      <c r="P1116" s="44">
        <v>7.898233433916E12</v>
      </c>
      <c r="Q1116" s="44">
        <v>1.0</v>
      </c>
    </row>
    <row r="1117" ht="15.75" customHeight="1">
      <c r="A1117" s="35" t="s">
        <v>2856</v>
      </c>
      <c r="B1117" s="36">
        <v>121.76986644643159</v>
      </c>
      <c r="C1117" s="36">
        <f>'Lista de Preço 02_2022'!$B1117*0.9*0.9*0.9*0.9*0.9*0.97</f>
        <v>69.74677178</v>
      </c>
      <c r="D1117" s="36">
        <f>'Lista de Preço 02_2022'!$C1117*1.1712</f>
        <v>81.68741911</v>
      </c>
      <c r="E1117" s="37">
        <v>3.25</v>
      </c>
      <c r="F1117" s="38">
        <v>0.18</v>
      </c>
      <c r="G1117" s="38" t="s">
        <v>22</v>
      </c>
      <c r="H1117" s="39" t="s">
        <v>525</v>
      </c>
      <c r="I1117" s="40" t="s">
        <v>2857</v>
      </c>
      <c r="J1117" s="41" t="s">
        <v>527</v>
      </c>
      <c r="K1117" s="42" t="s">
        <v>95</v>
      </c>
      <c r="L1117" s="43">
        <v>7691120.0</v>
      </c>
      <c r="M1117" s="44">
        <v>8.708999E7</v>
      </c>
      <c r="N1117" s="44" t="s">
        <v>28</v>
      </c>
      <c r="O1117" s="45">
        <v>1.356</v>
      </c>
      <c r="P1117" s="44">
        <v>7.898233433015E12</v>
      </c>
      <c r="Q1117" s="44">
        <v>1.0</v>
      </c>
    </row>
    <row r="1118" ht="15.75" customHeight="1">
      <c r="A1118" s="35" t="s">
        <v>2858</v>
      </c>
      <c r="B1118" s="36">
        <v>131.39548446076859</v>
      </c>
      <c r="C1118" s="36">
        <f>'Lista de Preço 02_2022'!$B1118*0.9*0.9*0.9*0.9*0.9*0.97</f>
        <v>75.26008803</v>
      </c>
      <c r="D1118" s="36">
        <f>'Lista de Preço 02_2022'!$C1118*1.1712</f>
        <v>88.1446151</v>
      </c>
      <c r="E1118" s="37">
        <v>3.25</v>
      </c>
      <c r="F1118" s="38">
        <v>0.18</v>
      </c>
      <c r="G1118" s="38" t="s">
        <v>22</v>
      </c>
      <c r="H1118" s="39" t="s">
        <v>525</v>
      </c>
      <c r="I1118" s="40" t="s">
        <v>2857</v>
      </c>
      <c r="J1118" s="41" t="s">
        <v>2859</v>
      </c>
      <c r="K1118" s="42" t="s">
        <v>95</v>
      </c>
      <c r="L1118" s="43">
        <v>7691122.0</v>
      </c>
      <c r="M1118" s="44">
        <v>8.708999E7</v>
      </c>
      <c r="N1118" s="44" t="s">
        <v>28</v>
      </c>
      <c r="O1118" s="45">
        <v>1.356</v>
      </c>
      <c r="P1118" s="44">
        <v>7.898233433022E12</v>
      </c>
      <c r="Q1118" s="44">
        <v>1.0</v>
      </c>
    </row>
    <row r="1119" ht="15.75" customHeight="1">
      <c r="A1119" s="35" t="s">
        <v>2860</v>
      </c>
      <c r="B1119" s="36">
        <v>131.39548446076859</v>
      </c>
      <c r="C1119" s="36">
        <f>'Lista de Preço 02_2022'!$B1119*0.9*0.9*0.9*0.9*0.9*0.97</f>
        <v>75.26008803</v>
      </c>
      <c r="D1119" s="36">
        <f>'Lista de Preço 02_2022'!$C1119*1.1712</f>
        <v>88.1446151</v>
      </c>
      <c r="E1119" s="37">
        <v>3.25</v>
      </c>
      <c r="F1119" s="38">
        <v>0.18</v>
      </c>
      <c r="G1119" s="38" t="s">
        <v>22</v>
      </c>
      <c r="H1119" s="39" t="s">
        <v>525</v>
      </c>
      <c r="I1119" s="40" t="s">
        <v>2861</v>
      </c>
      <c r="J1119" s="41" t="s">
        <v>2859</v>
      </c>
      <c r="K1119" s="42" t="s">
        <v>95</v>
      </c>
      <c r="L1119" s="43">
        <v>7524704.0</v>
      </c>
      <c r="M1119" s="44">
        <v>8.708999E7</v>
      </c>
      <c r="N1119" s="44" t="s">
        <v>28</v>
      </c>
      <c r="O1119" s="45">
        <v>1.372</v>
      </c>
      <c r="P1119" s="44">
        <v>7.898233433039E12</v>
      </c>
      <c r="Q1119" s="44">
        <v>1.0</v>
      </c>
    </row>
    <row r="1120" ht="15.75" customHeight="1">
      <c r="A1120" s="35" t="s">
        <v>2862</v>
      </c>
      <c r="B1120" s="36">
        <v>131.39548446076859</v>
      </c>
      <c r="C1120" s="36">
        <f>'Lista de Preço 02_2022'!$B1120*0.9*0.9*0.9*0.9*0.9*0.97</f>
        <v>75.26008803</v>
      </c>
      <c r="D1120" s="36">
        <f>'Lista de Preço 02_2022'!$C1120*1.1712</f>
        <v>88.1446151</v>
      </c>
      <c r="E1120" s="37">
        <v>3.25</v>
      </c>
      <c r="F1120" s="38">
        <v>0.18</v>
      </c>
      <c r="G1120" s="38" t="s">
        <v>22</v>
      </c>
      <c r="H1120" s="39" t="s">
        <v>525</v>
      </c>
      <c r="I1120" s="40" t="s">
        <v>2863</v>
      </c>
      <c r="J1120" s="41" t="s">
        <v>2859</v>
      </c>
      <c r="K1120" s="42" t="s">
        <v>95</v>
      </c>
      <c r="L1120" s="43">
        <v>7524706.0</v>
      </c>
      <c r="M1120" s="44">
        <v>8.708999E7</v>
      </c>
      <c r="N1120" s="44" t="s">
        <v>28</v>
      </c>
      <c r="O1120" s="45">
        <v>1.372</v>
      </c>
      <c r="P1120" s="44">
        <v>7.898233433046E12</v>
      </c>
      <c r="Q1120" s="44">
        <v>1.0</v>
      </c>
    </row>
    <row r="1121" ht="15.75" customHeight="1">
      <c r="A1121" s="35" t="s">
        <v>2864</v>
      </c>
      <c r="B1121" s="36">
        <v>430.765865114086</v>
      </c>
      <c r="C1121" s="36">
        <f>'Lista de Preço 02_2022'!$B1121*0.9*0.9*0.9*0.9*0.9*0.97</f>
        <v>246.7320476</v>
      </c>
      <c r="D1121" s="36">
        <f>'Lista de Preço 02_2022'!$C1121*1.1712</f>
        <v>288.9725742</v>
      </c>
      <c r="E1121" s="37">
        <v>3.25</v>
      </c>
      <c r="F1121" s="38">
        <v>0.18</v>
      </c>
      <c r="G1121" s="38" t="s">
        <v>22</v>
      </c>
      <c r="H1121" s="39" t="s">
        <v>23</v>
      </c>
      <c r="I1121" s="40" t="s">
        <v>2865</v>
      </c>
      <c r="J1121" s="41" t="s">
        <v>25</v>
      </c>
      <c r="K1121" s="42" t="s">
        <v>157</v>
      </c>
      <c r="L1121" s="43" t="s">
        <v>2866</v>
      </c>
      <c r="M1121" s="44">
        <v>8.708999E7</v>
      </c>
      <c r="N1121" s="44" t="s">
        <v>28</v>
      </c>
      <c r="O1121" s="45">
        <v>2.762</v>
      </c>
      <c r="P1121" s="44">
        <v>7.899823506669E12</v>
      </c>
      <c r="Q1121" s="44">
        <v>1.0</v>
      </c>
    </row>
    <row r="1122" ht="15.75" customHeight="1">
      <c r="A1122" s="35" t="s">
        <v>2867</v>
      </c>
      <c r="B1122" s="36">
        <v>171.27169005680966</v>
      </c>
      <c r="C1122" s="36">
        <f>'Lista de Preço 02_2022'!$B1122*0.9*0.9*0.9*0.9*0.9*0.97</f>
        <v>98.10019365</v>
      </c>
      <c r="D1122" s="36">
        <f>'Lista de Preço 02_2022'!$C1122*1.1712</f>
        <v>114.8949468</v>
      </c>
      <c r="E1122" s="37">
        <v>3.25</v>
      </c>
      <c r="F1122" s="38">
        <v>0.18</v>
      </c>
      <c r="G1122" s="38" t="s">
        <v>22</v>
      </c>
      <c r="H1122" s="39" t="s">
        <v>23</v>
      </c>
      <c r="I1122" s="40" t="s">
        <v>2868</v>
      </c>
      <c r="J1122" s="41" t="s">
        <v>25</v>
      </c>
      <c r="K1122" s="42" t="s">
        <v>95</v>
      </c>
      <c r="L1122" s="43">
        <v>9.7659391E7</v>
      </c>
      <c r="M1122" s="44">
        <v>8.708999E7</v>
      </c>
      <c r="N1122" s="44" t="s">
        <v>28</v>
      </c>
      <c r="O1122" s="45">
        <v>1.504</v>
      </c>
      <c r="P1122" s="44">
        <v>7.898233434371E12</v>
      </c>
      <c r="Q1122" s="44">
        <v>1.0</v>
      </c>
    </row>
    <row r="1123" ht="15.75" customHeight="1">
      <c r="A1123" s="35" t="s">
        <v>2869</v>
      </c>
      <c r="B1123" s="36">
        <v>216.34948336132317</v>
      </c>
      <c r="C1123" s="36">
        <f>'Lista de Preço 02_2022'!$B1123*0.9*0.9*0.9*0.9*0.9*0.97</f>
        <v>123.9196402</v>
      </c>
      <c r="D1123" s="36">
        <f>'Lista de Preço 02_2022'!$C1123*1.1712</f>
        <v>145.1346826</v>
      </c>
      <c r="E1123" s="37">
        <v>3.25</v>
      </c>
      <c r="F1123" s="38">
        <v>0.18</v>
      </c>
      <c r="G1123" s="38" t="s">
        <v>22</v>
      </c>
      <c r="H1123" s="39" t="s">
        <v>23</v>
      </c>
      <c r="I1123" s="40" t="s">
        <v>2870</v>
      </c>
      <c r="J1123" s="41" t="s">
        <v>500</v>
      </c>
      <c r="K1123" s="42" t="s">
        <v>95</v>
      </c>
      <c r="L1123" s="43">
        <v>7746191.0</v>
      </c>
      <c r="M1123" s="44">
        <v>8.708999E7</v>
      </c>
      <c r="N1123" s="44" t="s">
        <v>28</v>
      </c>
      <c r="O1123" s="45">
        <v>1.732</v>
      </c>
      <c r="P1123" s="44">
        <v>7.898233435767E12</v>
      </c>
      <c r="Q1123" s="44">
        <v>1.0</v>
      </c>
    </row>
    <row r="1124" ht="15.75" customHeight="1">
      <c r="A1124" s="35" t="s">
        <v>2871</v>
      </c>
      <c r="B1124" s="36">
        <v>169.4614747236123</v>
      </c>
      <c r="C1124" s="36">
        <f>'Lista de Preço 02_2022'!$B1124*0.9*0.9*0.9*0.9*0.9*0.97</f>
        <v>97.06334702</v>
      </c>
      <c r="D1124" s="36">
        <f>'Lista de Preço 02_2022'!$C1124*1.1712</f>
        <v>113.680592</v>
      </c>
      <c r="E1124" s="37">
        <v>3.25</v>
      </c>
      <c r="F1124" s="38">
        <v>0.18</v>
      </c>
      <c r="G1124" s="38" t="s">
        <v>22</v>
      </c>
      <c r="H1124" s="39" t="s">
        <v>43</v>
      </c>
      <c r="I1124" s="40" t="s">
        <v>2872</v>
      </c>
      <c r="J1124" s="41" t="s">
        <v>469</v>
      </c>
      <c r="K1124" s="42" t="s">
        <v>95</v>
      </c>
      <c r="L1124" s="43" t="s">
        <v>2873</v>
      </c>
      <c r="M1124" s="44">
        <v>8.708999E7</v>
      </c>
      <c r="N1124" s="44" t="s">
        <v>28</v>
      </c>
      <c r="O1124" s="45">
        <v>0.73</v>
      </c>
      <c r="P1124" s="44">
        <v>7.898233438218E12</v>
      </c>
      <c r="Q1124" s="44">
        <v>1.0</v>
      </c>
    </row>
    <row r="1125" ht="15.75" customHeight="1">
      <c r="A1125" s="35" t="s">
        <v>2874</v>
      </c>
      <c r="B1125" s="36">
        <v>514.7749338509454</v>
      </c>
      <c r="C1125" s="36">
        <f>'Lista de Preço 02_2022'!$B1125*0.9*0.9*0.9*0.9*0.9*0.97</f>
        <v>294.8503672</v>
      </c>
      <c r="D1125" s="36">
        <f>'Lista de Preço 02_2022'!$C1125*1.1712</f>
        <v>345.32875</v>
      </c>
      <c r="E1125" s="37">
        <v>3.25</v>
      </c>
      <c r="F1125" s="38">
        <v>0.18</v>
      </c>
      <c r="G1125" s="38" t="s">
        <v>22</v>
      </c>
      <c r="H1125" s="39" t="s">
        <v>23</v>
      </c>
      <c r="I1125" s="40" t="s">
        <v>2875</v>
      </c>
      <c r="J1125" s="41" t="s">
        <v>25</v>
      </c>
      <c r="K1125" s="42" t="s">
        <v>73</v>
      </c>
      <c r="L1125" s="43" t="s">
        <v>2876</v>
      </c>
      <c r="M1125" s="44">
        <v>8.708999E7</v>
      </c>
      <c r="N1125" s="44" t="s">
        <v>28</v>
      </c>
      <c r="O1125" s="45">
        <v>3.034</v>
      </c>
      <c r="P1125" s="44">
        <v>7.89982350599E12</v>
      </c>
      <c r="Q1125" s="44">
        <v>1.0</v>
      </c>
    </row>
    <row r="1126" ht="15.75" customHeight="1">
      <c r="A1126" s="35" t="s">
        <v>2877</v>
      </c>
      <c r="B1126" s="36">
        <v>162.4917763542194</v>
      </c>
      <c r="C1126" s="36">
        <f>'Lista de Preço 02_2022'!$B1126*0.9*0.9*0.9*0.9*0.9*0.97</f>
        <v>93.07127595</v>
      </c>
      <c r="D1126" s="36">
        <f>'Lista de Preço 02_2022'!$C1126*1.1712</f>
        <v>109.0050784</v>
      </c>
      <c r="E1126" s="37">
        <v>3.25</v>
      </c>
      <c r="F1126" s="38">
        <v>0.18</v>
      </c>
      <c r="G1126" s="38" t="s">
        <v>22</v>
      </c>
      <c r="H1126" s="39" t="s">
        <v>65</v>
      </c>
      <c r="I1126" s="40" t="s">
        <v>2878</v>
      </c>
      <c r="J1126" s="41" t="s">
        <v>67</v>
      </c>
      <c r="K1126" s="42" t="s">
        <v>95</v>
      </c>
      <c r="L1126" s="43" t="s">
        <v>2879</v>
      </c>
      <c r="M1126" s="44">
        <v>8.708999E7</v>
      </c>
      <c r="N1126" s="44" t="s">
        <v>28</v>
      </c>
      <c r="O1126" s="45">
        <v>1.51</v>
      </c>
      <c r="P1126" s="44">
        <v>7.899823502654E12</v>
      </c>
      <c r="Q1126" s="44">
        <v>1.0</v>
      </c>
    </row>
    <row r="1127" ht="15.75" customHeight="1">
      <c r="A1127" s="35" t="s">
        <v>2880</v>
      </c>
      <c r="B1127" s="36">
        <v>567.5872078833548</v>
      </c>
      <c r="C1127" s="36">
        <f>'Lista de Preço 02_2022'!$B1127*0.9*0.9*0.9*0.9*0.9*0.97</f>
        <v>325.0999333</v>
      </c>
      <c r="D1127" s="36">
        <f>'Lista de Preço 02_2022'!$C1127*1.1712</f>
        <v>380.7570418</v>
      </c>
      <c r="E1127" s="37">
        <v>3.25</v>
      </c>
      <c r="F1127" s="38">
        <v>0.18</v>
      </c>
      <c r="G1127" s="38" t="s">
        <v>22</v>
      </c>
      <c r="H1127" s="39" t="s">
        <v>23</v>
      </c>
      <c r="I1127" s="40" t="s">
        <v>2881</v>
      </c>
      <c r="J1127" s="41" t="s">
        <v>25</v>
      </c>
      <c r="K1127" s="42" t="s">
        <v>73</v>
      </c>
      <c r="L1127" s="43" t="s">
        <v>2882</v>
      </c>
      <c r="M1127" s="44">
        <v>8.708999E7</v>
      </c>
      <c r="N1127" s="44" t="s">
        <v>28</v>
      </c>
      <c r="O1127" s="45">
        <v>3.192</v>
      </c>
      <c r="P1127" s="44">
        <v>7.899823506126E12</v>
      </c>
      <c r="Q1127" s="44">
        <v>1.0</v>
      </c>
    </row>
    <row r="1128" ht="15.75" customHeight="1">
      <c r="A1128" s="50" t="s">
        <v>2883</v>
      </c>
      <c r="B1128" s="36">
        <v>19.50517695</v>
      </c>
      <c r="C1128" s="51">
        <f>'Lista de Preço 02_2022'!$B1128*0.9*0.9*0.9*0.9*0.9*0.97</f>
        <v>11.17208358</v>
      </c>
      <c r="D1128" s="36">
        <f>'Lista de Preço 02_2022'!$C1128*1.1712</f>
        <v>13.08474429</v>
      </c>
      <c r="E1128" s="52">
        <v>3.25</v>
      </c>
      <c r="F1128" s="53">
        <v>0.18</v>
      </c>
      <c r="G1128" s="53" t="s">
        <v>22</v>
      </c>
      <c r="H1128" s="54" t="s">
        <v>2328</v>
      </c>
      <c r="I1128" s="55" t="s">
        <v>2377</v>
      </c>
      <c r="J1128" s="56" t="s">
        <v>2330</v>
      </c>
      <c r="K1128" s="57" t="s">
        <v>95</v>
      </c>
      <c r="L1128" s="58"/>
      <c r="M1128" s="57">
        <v>8.708999E7</v>
      </c>
      <c r="N1128" s="59" t="s">
        <v>28</v>
      </c>
      <c r="O1128" s="60">
        <v>0.029</v>
      </c>
      <c r="P1128" s="59">
        <v>7.89982351097E12</v>
      </c>
      <c r="Q1128" s="59">
        <v>1.0</v>
      </c>
    </row>
    <row r="1129" ht="15.75" customHeight="1">
      <c r="A1129" s="35" t="s">
        <v>2884</v>
      </c>
      <c r="B1129" s="36">
        <v>113.35674611196488</v>
      </c>
      <c r="C1129" s="36">
        <f>'Lista de Preço 02_2022'!$B1129*0.9*0.9*0.9*0.9*0.9*0.97</f>
        <v>64.92794426</v>
      </c>
      <c r="D1129" s="36">
        <f>'Lista de Preço 02_2022'!$C1129*1.1712</f>
        <v>76.04360832</v>
      </c>
      <c r="E1129" s="37">
        <v>3.25</v>
      </c>
      <c r="F1129" s="38">
        <v>0.18</v>
      </c>
      <c r="G1129" s="38" t="s">
        <v>22</v>
      </c>
      <c r="H1129" s="39" t="s">
        <v>525</v>
      </c>
      <c r="I1129" s="40" t="s">
        <v>2885</v>
      </c>
      <c r="J1129" s="41" t="s">
        <v>527</v>
      </c>
      <c r="K1129" s="42" t="s">
        <v>26</v>
      </c>
      <c r="L1129" s="43" t="s">
        <v>2886</v>
      </c>
      <c r="M1129" s="44">
        <v>8.708999E7</v>
      </c>
      <c r="N1129" s="44" t="s">
        <v>28</v>
      </c>
      <c r="O1129" s="45">
        <v>1.974</v>
      </c>
      <c r="P1129" s="44">
        <v>7.898233433701E12</v>
      </c>
      <c r="Q1129" s="44">
        <v>1.0</v>
      </c>
    </row>
    <row r="1130" ht="15.75" customHeight="1">
      <c r="A1130" s="35" t="s">
        <v>2887</v>
      </c>
      <c r="B1130" s="36">
        <v>577.9979158559945</v>
      </c>
      <c r="C1130" s="36">
        <f>'Lista de Preço 02_2022'!$B1130*0.9*0.9*0.9*0.9*0.9*0.97</f>
        <v>331.0629297</v>
      </c>
      <c r="D1130" s="36">
        <f>'Lista de Preço 02_2022'!$C1130*1.1712</f>
        <v>387.7409032</v>
      </c>
      <c r="E1130" s="37">
        <v>3.25</v>
      </c>
      <c r="F1130" s="38">
        <v>0.18</v>
      </c>
      <c r="G1130" s="38" t="s">
        <v>37</v>
      </c>
      <c r="H1130" s="39" t="s">
        <v>23</v>
      </c>
      <c r="I1130" s="40" t="s">
        <v>2888</v>
      </c>
      <c r="J1130" s="41" t="s">
        <v>302</v>
      </c>
      <c r="K1130" s="42" t="s">
        <v>1901</v>
      </c>
      <c r="L1130" s="43">
        <v>9.3810034E7</v>
      </c>
      <c r="M1130" s="42">
        <v>8.708999E7</v>
      </c>
      <c r="N1130" s="44" t="s">
        <v>28</v>
      </c>
      <c r="O1130" s="45">
        <v>4.236</v>
      </c>
      <c r="P1130" s="44">
        <v>7.898233436597E12</v>
      </c>
      <c r="Q1130" s="44">
        <v>1.0</v>
      </c>
    </row>
    <row r="1131" ht="15.75" customHeight="1">
      <c r="A1131" s="35" t="s">
        <v>2889</v>
      </c>
      <c r="B1131" s="36">
        <v>533.4405862938384</v>
      </c>
      <c r="C1131" s="36">
        <f>'Lista de Preço 02_2022'!$B1131*0.9*0.9*0.9*0.9*0.9*0.97</f>
        <v>305.5415918</v>
      </c>
      <c r="D1131" s="36">
        <f>'Lista de Preço 02_2022'!$C1131*1.1712</f>
        <v>357.8503124</v>
      </c>
      <c r="E1131" s="37">
        <v>3.25</v>
      </c>
      <c r="F1131" s="38">
        <v>0.18</v>
      </c>
      <c r="G1131" s="38" t="s">
        <v>37</v>
      </c>
      <c r="H1131" s="39" t="s">
        <v>23</v>
      </c>
      <c r="I1131" s="40" t="s">
        <v>2890</v>
      </c>
      <c r="J1131" s="41" t="s">
        <v>302</v>
      </c>
      <c r="K1131" s="42" t="s">
        <v>1901</v>
      </c>
      <c r="L1131" s="43">
        <v>9.3824579E7</v>
      </c>
      <c r="M1131" s="42">
        <v>8.708999E7</v>
      </c>
      <c r="N1131" s="44" t="s">
        <v>28</v>
      </c>
      <c r="O1131" s="45">
        <v>3.62</v>
      </c>
      <c r="P1131" s="44">
        <v>7.898233436603E12</v>
      </c>
      <c r="Q1131" s="44">
        <v>1.0</v>
      </c>
    </row>
    <row r="1132" ht="15.75" customHeight="1">
      <c r="A1132" s="50" t="s">
        <v>2891</v>
      </c>
      <c r="B1132" s="36">
        <v>429.26687468</v>
      </c>
      <c r="C1132" s="51">
        <f>'Lista de Preço 02_2022'!$B1132*0.9*0.9*0.9*0.9*0.9*0.97</f>
        <v>245.8734629</v>
      </c>
      <c r="D1132" s="36">
        <f>'Lista de Preço 02_2022'!$C1132*1.1712</f>
        <v>287.9669998</v>
      </c>
      <c r="E1132" s="52">
        <v>3.25</v>
      </c>
      <c r="F1132" s="53">
        <v>0.18</v>
      </c>
      <c r="G1132" s="53" t="s">
        <v>22</v>
      </c>
      <c r="H1132" s="54" t="s">
        <v>23</v>
      </c>
      <c r="I1132" s="55" t="s">
        <v>2892</v>
      </c>
      <c r="J1132" s="56" t="s">
        <v>1391</v>
      </c>
      <c r="K1132" s="57" t="s">
        <v>157</v>
      </c>
      <c r="L1132" s="58" t="s">
        <v>2893</v>
      </c>
      <c r="M1132" s="57">
        <v>8.708999E7</v>
      </c>
      <c r="N1132" s="59" t="s">
        <v>28</v>
      </c>
      <c r="O1132" s="60">
        <v>3.82</v>
      </c>
      <c r="P1132" s="59">
        <v>7.899823511205E12</v>
      </c>
      <c r="Q1132" s="59">
        <v>1.0</v>
      </c>
    </row>
    <row r="1133" ht="15.75" customHeight="1">
      <c r="A1133" s="50" t="s">
        <v>2894</v>
      </c>
      <c r="B1133" s="36">
        <v>480.59830900000003</v>
      </c>
      <c r="C1133" s="51">
        <f>'Lista de Preço 02_2022'!$B1133*0.9*0.9*0.9*0.9*0.9*0.97</f>
        <v>275.2748406</v>
      </c>
      <c r="D1133" s="36">
        <f>'Lista de Preço 02_2022'!$C1133*1.1712</f>
        <v>322.4018933</v>
      </c>
      <c r="E1133" s="52">
        <v>3.25</v>
      </c>
      <c r="F1133" s="53">
        <v>0.18</v>
      </c>
      <c r="G1133" s="53" t="s">
        <v>22</v>
      </c>
      <c r="H1133" s="54" t="s">
        <v>23</v>
      </c>
      <c r="I1133" s="55" t="s">
        <v>2895</v>
      </c>
      <c r="J1133" s="56" t="s">
        <v>25</v>
      </c>
      <c r="K1133" s="57" t="s">
        <v>68</v>
      </c>
      <c r="L1133" s="58" t="s">
        <v>2896</v>
      </c>
      <c r="M1133" s="57">
        <v>8.708999E7</v>
      </c>
      <c r="N1133" s="59" t="s">
        <v>28</v>
      </c>
      <c r="O1133" s="60">
        <v>3.38</v>
      </c>
      <c r="P1133" s="59">
        <v>7.899823511199E12</v>
      </c>
      <c r="Q1133" s="59">
        <v>1.0</v>
      </c>
    </row>
    <row r="1134" ht="15.75" customHeight="1">
      <c r="A1134" s="50" t="s">
        <v>2897</v>
      </c>
      <c r="B1134" s="36">
        <v>795.37412876</v>
      </c>
      <c r="C1134" s="51">
        <f>'Lista de Preço 02_2022'!$B1134*0.9*0.9*0.9*0.9*0.9*0.97</f>
        <v>455.5706552</v>
      </c>
      <c r="D1134" s="36">
        <f>'Lista de Preço 02_2022'!$C1134*1.1712</f>
        <v>533.5643514</v>
      </c>
      <c r="E1134" s="52">
        <v>3.25</v>
      </c>
      <c r="F1134" s="53">
        <v>0.18</v>
      </c>
      <c r="G1134" s="53" t="s">
        <v>22</v>
      </c>
      <c r="H1134" s="54" t="s">
        <v>23</v>
      </c>
      <c r="I1134" s="55" t="s">
        <v>2898</v>
      </c>
      <c r="J1134" s="56" t="s">
        <v>372</v>
      </c>
      <c r="K1134" s="57" t="s">
        <v>618</v>
      </c>
      <c r="L1134" s="58" t="s">
        <v>2899</v>
      </c>
      <c r="M1134" s="57">
        <v>8.708999E7</v>
      </c>
      <c r="N1134" s="59" t="s">
        <v>28</v>
      </c>
      <c r="O1134" s="60">
        <v>6.088</v>
      </c>
      <c r="P1134" s="59">
        <v>7.89982351141E12</v>
      </c>
      <c r="Q1134" s="59">
        <v>1.0</v>
      </c>
    </row>
    <row r="1135" ht="15.75" customHeight="1">
      <c r="A1135" s="50" t="s">
        <v>2900</v>
      </c>
      <c r="B1135" s="36">
        <v>713.380987</v>
      </c>
      <c r="C1135" s="51">
        <f>'Lista de Preço 02_2022'!$B1135*0.9*0.9*0.9*0.9*0.9*0.97</f>
        <v>408.6070088</v>
      </c>
      <c r="D1135" s="36">
        <f>'Lista de Preço 02_2022'!$C1135*1.1712</f>
        <v>478.5605288</v>
      </c>
      <c r="E1135" s="52">
        <v>3.25</v>
      </c>
      <c r="F1135" s="53">
        <v>0.18</v>
      </c>
      <c r="G1135" s="53" t="s">
        <v>22</v>
      </c>
      <c r="H1135" s="54" t="s">
        <v>23</v>
      </c>
      <c r="I1135" s="55" t="s">
        <v>2901</v>
      </c>
      <c r="J1135" s="56" t="s">
        <v>1391</v>
      </c>
      <c r="K1135" s="57" t="s">
        <v>294</v>
      </c>
      <c r="L1135" s="58" t="s">
        <v>2902</v>
      </c>
      <c r="M1135" s="57">
        <v>8.708999E7</v>
      </c>
      <c r="N1135" s="59" t="s">
        <v>28</v>
      </c>
      <c r="O1135" s="60">
        <v>4.33</v>
      </c>
      <c r="P1135" s="59">
        <v>7.899823511427E12</v>
      </c>
      <c r="Q1135" s="59">
        <v>1.0</v>
      </c>
    </row>
    <row r="1136" ht="15.75" customHeight="1">
      <c r="A1136" s="50" t="s">
        <v>2903</v>
      </c>
      <c r="B1136" s="36">
        <v>747.3062</v>
      </c>
      <c r="C1136" s="51">
        <f>'Lista de Preço 02_2022'!$B1136*0.9*0.9*0.9*0.9*0.9*0.97</f>
        <v>428.0385329</v>
      </c>
      <c r="D1136" s="36">
        <f>'Lista de Preço 02_2022'!$C1136*1.1712</f>
        <v>501.3187297</v>
      </c>
      <c r="E1136" s="52">
        <v>3.25</v>
      </c>
      <c r="F1136" s="53">
        <v>0.18</v>
      </c>
      <c r="G1136" s="53" t="s">
        <v>22</v>
      </c>
      <c r="H1136" s="54" t="s">
        <v>23</v>
      </c>
      <c r="I1136" s="55" t="s">
        <v>2904</v>
      </c>
      <c r="J1136" s="56" t="s">
        <v>500</v>
      </c>
      <c r="K1136" s="57" t="s">
        <v>2133</v>
      </c>
      <c r="L1136" s="58" t="s">
        <v>2905</v>
      </c>
      <c r="M1136" s="57">
        <v>8.708999E7</v>
      </c>
      <c r="N1136" s="59" t="s">
        <v>28</v>
      </c>
      <c r="O1136" s="60">
        <v>3.5</v>
      </c>
      <c r="P1136" s="59">
        <v>7.899823511571E12</v>
      </c>
      <c r="Q1136" s="59">
        <v>1.0</v>
      </c>
    </row>
    <row r="1137" ht="15.75" customHeight="1">
      <c r="A1137" s="50" t="s">
        <v>2906</v>
      </c>
      <c r="B1137" s="36">
        <v>479.87</v>
      </c>
      <c r="C1137" s="36">
        <f>'Lista de Preço 02_2022'!$B1137*0.9*0.9*0.9*0.9*0.9*0.97</f>
        <v>274.8576832</v>
      </c>
      <c r="D1137" s="36">
        <f>'Lista de Preço 02_2022'!$C1137*1.1712</f>
        <v>321.9133186</v>
      </c>
      <c r="E1137" s="52">
        <v>3.25</v>
      </c>
      <c r="F1137" s="53">
        <v>0.18</v>
      </c>
      <c r="G1137" s="53" t="s">
        <v>22</v>
      </c>
      <c r="H1137" s="54" t="s">
        <v>2740</v>
      </c>
      <c r="I1137" s="55" t="s">
        <v>2907</v>
      </c>
      <c r="J1137" s="56" t="s">
        <v>25</v>
      </c>
      <c r="K1137" s="57" t="s">
        <v>26</v>
      </c>
      <c r="L1137" s="58"/>
      <c r="M1137" s="57">
        <v>8.708999E7</v>
      </c>
      <c r="N1137" s="59" t="s">
        <v>28</v>
      </c>
      <c r="O1137" s="60">
        <v>3.34</v>
      </c>
      <c r="P1137" s="59">
        <v>7.899823511618E12</v>
      </c>
      <c r="Q1137" s="59">
        <v>1.0</v>
      </c>
    </row>
    <row r="1138" ht="15.75" customHeight="1">
      <c r="A1138" s="35" t="s">
        <v>2908</v>
      </c>
      <c r="B1138" s="36">
        <v>88.22398132745576</v>
      </c>
      <c r="C1138" s="36">
        <f>'Lista de Preço 02_2022'!$B1138*0.9*0.9*0.9*0.9*0.9*0.97</f>
        <v>50.53251737</v>
      </c>
      <c r="D1138" s="36">
        <f>'Lista de Preço 02_2022'!$C1138*1.1712</f>
        <v>59.18368435</v>
      </c>
      <c r="E1138" s="37">
        <v>3.25</v>
      </c>
      <c r="F1138" s="38">
        <v>0.18</v>
      </c>
      <c r="G1138" s="38" t="s">
        <v>22</v>
      </c>
      <c r="H1138" s="39" t="s">
        <v>525</v>
      </c>
      <c r="I1138" s="40" t="s">
        <v>2909</v>
      </c>
      <c r="J1138" s="41" t="s">
        <v>527</v>
      </c>
      <c r="K1138" s="42" t="s">
        <v>26</v>
      </c>
      <c r="L1138" s="43" t="s">
        <v>2910</v>
      </c>
      <c r="M1138" s="44">
        <v>8.708999E7</v>
      </c>
      <c r="N1138" s="44" t="s">
        <v>28</v>
      </c>
      <c r="O1138" s="45">
        <v>1.266</v>
      </c>
      <c r="P1138" s="44">
        <v>7.898233433695E12</v>
      </c>
      <c r="Q1138" s="44">
        <v>1.0</v>
      </c>
    </row>
    <row r="1139" ht="15.75" customHeight="1">
      <c r="A1139" s="50" t="s">
        <v>2911</v>
      </c>
      <c r="B1139" s="36">
        <v>505.24</v>
      </c>
      <c r="C1139" s="36">
        <f>'Lista de Preço 02_2022'!$B1139*0.9*0.9*0.9*0.9*0.9*0.97</f>
        <v>289.3889926</v>
      </c>
      <c r="D1139" s="36">
        <f>'Lista de Preço 02_2022'!$C1139*1.1712</f>
        <v>338.9323881</v>
      </c>
      <c r="E1139" s="52">
        <v>3.25</v>
      </c>
      <c r="F1139" s="53">
        <v>0.18</v>
      </c>
      <c r="G1139" s="53" t="s">
        <v>22</v>
      </c>
      <c r="H1139" s="54" t="s">
        <v>2740</v>
      </c>
      <c r="I1139" s="55" t="s">
        <v>2912</v>
      </c>
      <c r="J1139" s="56" t="s">
        <v>500</v>
      </c>
      <c r="K1139" s="57" t="s">
        <v>26</v>
      </c>
      <c r="L1139" s="58"/>
      <c r="M1139" s="57">
        <v>8.708999E7</v>
      </c>
      <c r="N1139" s="59" t="s">
        <v>28</v>
      </c>
      <c r="O1139" s="60">
        <v>3.48</v>
      </c>
      <c r="P1139" s="59">
        <v>7.899823511625E12</v>
      </c>
      <c r="Q1139" s="59">
        <v>1.0</v>
      </c>
    </row>
    <row r="1140" ht="15.75" customHeight="1">
      <c r="A1140" s="50" t="s">
        <v>2913</v>
      </c>
      <c r="B1140" s="36">
        <v>521.28</v>
      </c>
      <c r="C1140" s="36">
        <f>'Lista de Preço 02_2022'!$B1140*0.9*0.9*0.9*0.9*0.9*0.97</f>
        <v>298.5763084</v>
      </c>
      <c r="D1140" s="36">
        <f>'Lista de Preço 02_2022'!$C1140*1.1712</f>
        <v>349.6925724</v>
      </c>
      <c r="E1140" s="52">
        <v>3.25</v>
      </c>
      <c r="F1140" s="53">
        <v>0.18</v>
      </c>
      <c r="G1140" s="53" t="s">
        <v>22</v>
      </c>
      <c r="H1140" s="54" t="s">
        <v>23</v>
      </c>
      <c r="I1140" s="55" t="s">
        <v>2914</v>
      </c>
      <c r="J1140" s="56" t="s">
        <v>1391</v>
      </c>
      <c r="K1140" s="57" t="s">
        <v>1392</v>
      </c>
      <c r="L1140" s="58" t="s">
        <v>2915</v>
      </c>
      <c r="M1140" s="57">
        <v>8.708999E7</v>
      </c>
      <c r="N1140" s="59" t="s">
        <v>28</v>
      </c>
      <c r="O1140" s="60">
        <v>3.62</v>
      </c>
      <c r="P1140" s="59">
        <v>7.899823511595E12</v>
      </c>
      <c r="Q1140" s="59">
        <v>1.0</v>
      </c>
    </row>
    <row r="1141" ht="15.75" customHeight="1">
      <c r="A1141" s="50" t="s">
        <v>2916</v>
      </c>
      <c r="B1141" s="36">
        <v>138.501</v>
      </c>
      <c r="C1141" s="51">
        <f>'Lista de Preço 02_2022'!$B1141*0.9*0.9*0.9*0.9*0.9*0.97</f>
        <v>79.32995183</v>
      </c>
      <c r="D1141" s="36">
        <f>'Lista de Preço 02_2022'!$C1141*1.1712</f>
        <v>92.91123958</v>
      </c>
      <c r="E1141" s="52">
        <v>3.25</v>
      </c>
      <c r="F1141" s="53">
        <v>0.18</v>
      </c>
      <c r="G1141" s="53" t="s">
        <v>22</v>
      </c>
      <c r="H1141" s="54" t="s">
        <v>23</v>
      </c>
      <c r="I1141" s="55" t="s">
        <v>2917</v>
      </c>
      <c r="J1141" s="56" t="s">
        <v>25</v>
      </c>
      <c r="K1141" s="57" t="s">
        <v>668</v>
      </c>
      <c r="L1141" s="58"/>
      <c r="M1141" s="57">
        <v>8.708999E7</v>
      </c>
      <c r="N1141" s="59" t="s">
        <v>28</v>
      </c>
      <c r="O1141" s="60">
        <v>1.45</v>
      </c>
      <c r="P1141" s="59">
        <v>7.899823512219E12</v>
      </c>
      <c r="Q1141" s="59">
        <v>1.0</v>
      </c>
    </row>
    <row r="1142" ht="15.75" customHeight="1">
      <c r="A1142" s="50" t="s">
        <v>2918</v>
      </c>
      <c r="B1142" s="36">
        <v>640.56</v>
      </c>
      <c r="C1142" s="51">
        <f>'Lista de Preço 02_2022'!$B1142*0.9*0.9*0.9*0.9*0.9*0.97</f>
        <v>366.8969462</v>
      </c>
      <c r="D1142" s="36">
        <f>'Lista de Preço 02_2022'!$C1142*1.1712</f>
        <v>429.7097034</v>
      </c>
      <c r="E1142" s="52">
        <v>3.25</v>
      </c>
      <c r="F1142" s="53">
        <v>0.18</v>
      </c>
      <c r="G1142" s="53" t="s">
        <v>22</v>
      </c>
      <c r="H1142" s="54" t="s">
        <v>23</v>
      </c>
      <c r="I1142" s="55" t="s">
        <v>2919</v>
      </c>
      <c r="J1142" s="56" t="s">
        <v>25</v>
      </c>
      <c r="K1142" s="57" t="s">
        <v>668</v>
      </c>
      <c r="L1142" s="58" t="s">
        <v>2920</v>
      </c>
      <c r="M1142" s="57">
        <v>8.708999E7</v>
      </c>
      <c r="N1142" s="59" t="s">
        <v>28</v>
      </c>
      <c r="O1142" s="60">
        <v>3.43</v>
      </c>
      <c r="P1142" s="59">
        <v>7.899823511755E12</v>
      </c>
      <c r="Q1142" s="59">
        <v>1.0</v>
      </c>
    </row>
    <row r="1143" ht="15.75" customHeight="1">
      <c r="A1143" s="35" t="s">
        <v>2921</v>
      </c>
      <c r="B1143" s="36">
        <v>43.83054790312181</v>
      </c>
      <c r="C1143" s="36">
        <f>'Lista de Preço 02_2022'!$B1143*0.9*0.9*0.9*0.9*0.9*0.97</f>
        <v>25.10505522</v>
      </c>
      <c r="D1143" s="36">
        <f>'Lista de Preço 02_2022'!$C1143*1.065</f>
        <v>26.73688381</v>
      </c>
      <c r="E1143" s="37">
        <v>6.5</v>
      </c>
      <c r="F1143" s="38">
        <v>0.18</v>
      </c>
      <c r="G1143" s="38" t="s">
        <v>37</v>
      </c>
      <c r="H1143" s="39" t="s">
        <v>2922</v>
      </c>
      <c r="I1143" s="40" t="s">
        <v>2923</v>
      </c>
      <c r="J1143" s="41" t="s">
        <v>40</v>
      </c>
      <c r="K1143" s="42" t="s">
        <v>2922</v>
      </c>
      <c r="L1143" s="43">
        <v>314587.0</v>
      </c>
      <c r="M1143" s="42">
        <v>7.31816E7</v>
      </c>
      <c r="N1143" s="44" t="s">
        <v>920</v>
      </c>
      <c r="O1143" s="45">
        <v>0.5</v>
      </c>
      <c r="P1143" s="44">
        <v>7.898233432667E12</v>
      </c>
      <c r="Q1143" s="44">
        <v>1.0</v>
      </c>
    </row>
    <row r="1144" ht="15.75" customHeight="1">
      <c r="A1144" s="35" t="s">
        <v>2924</v>
      </c>
      <c r="B1144" s="36">
        <v>43.83054790312181</v>
      </c>
      <c r="C1144" s="36">
        <f>'Lista de Preço 02_2022'!$B1144*0.9*0.9*0.9*0.9*0.9*0.97</f>
        <v>25.10505522</v>
      </c>
      <c r="D1144" s="36">
        <f>'Lista de Preço 02_2022'!$C1144*1.065</f>
        <v>26.73688381</v>
      </c>
      <c r="E1144" s="37">
        <v>6.5</v>
      </c>
      <c r="F1144" s="38">
        <v>0.18</v>
      </c>
      <c r="G1144" s="38" t="s">
        <v>37</v>
      </c>
      <c r="H1144" s="39" t="s">
        <v>2922</v>
      </c>
      <c r="I1144" s="40" t="s">
        <v>2923</v>
      </c>
      <c r="J1144" s="41" t="s">
        <v>40</v>
      </c>
      <c r="K1144" s="42" t="s">
        <v>2922</v>
      </c>
      <c r="L1144" s="43">
        <v>314584.0</v>
      </c>
      <c r="M1144" s="42">
        <v>7.31816E7</v>
      </c>
      <c r="N1144" s="44" t="s">
        <v>920</v>
      </c>
      <c r="O1144" s="45">
        <v>0.42</v>
      </c>
      <c r="P1144" s="44">
        <v>7.898233432674E12</v>
      </c>
      <c r="Q1144" s="44">
        <v>1.0</v>
      </c>
    </row>
    <row r="1145" ht="15.75" customHeight="1">
      <c r="A1145" s="35" t="s">
        <v>2925</v>
      </c>
      <c r="B1145" s="36">
        <v>43.83054790312181</v>
      </c>
      <c r="C1145" s="36">
        <f>'Lista de Preço 02_2022'!$B1145*0.9*0.9*0.9*0.9*0.9*0.97</f>
        <v>25.10505522</v>
      </c>
      <c r="D1145" s="36">
        <f>'Lista de Preço 02_2022'!$C1145*1.065</f>
        <v>26.73688381</v>
      </c>
      <c r="E1145" s="37">
        <v>6.5</v>
      </c>
      <c r="F1145" s="38">
        <v>0.18</v>
      </c>
      <c r="G1145" s="38" t="s">
        <v>37</v>
      </c>
      <c r="H1145" s="39" t="s">
        <v>2922</v>
      </c>
      <c r="I1145" s="40" t="s">
        <v>2926</v>
      </c>
      <c r="J1145" s="41" t="s">
        <v>40</v>
      </c>
      <c r="K1145" s="42" t="s">
        <v>2922</v>
      </c>
      <c r="L1145" s="43">
        <v>184096.0</v>
      </c>
      <c r="M1145" s="42">
        <v>7.31816E7</v>
      </c>
      <c r="N1145" s="44" t="s">
        <v>920</v>
      </c>
      <c r="O1145" s="45">
        <v>0.46</v>
      </c>
      <c r="P1145" s="44">
        <v>7.898233432681E12</v>
      </c>
      <c r="Q1145" s="44">
        <v>1.0</v>
      </c>
    </row>
    <row r="1146" ht="15.75" customHeight="1">
      <c r="A1146" s="35" t="s">
        <v>2927</v>
      </c>
      <c r="B1146" s="36">
        <v>43.83054790312181</v>
      </c>
      <c r="C1146" s="36">
        <f>'Lista de Preço 02_2022'!$B1146*0.9*0.9*0.9*0.9*0.9*0.97</f>
        <v>25.10505522</v>
      </c>
      <c r="D1146" s="36">
        <f>'Lista de Preço 02_2022'!$C1146*1.065</f>
        <v>26.73688381</v>
      </c>
      <c r="E1146" s="37">
        <v>6.5</v>
      </c>
      <c r="F1146" s="38">
        <v>0.18</v>
      </c>
      <c r="G1146" s="38" t="s">
        <v>37</v>
      </c>
      <c r="H1146" s="39" t="s">
        <v>2922</v>
      </c>
      <c r="I1146" s="40" t="s">
        <v>2928</v>
      </c>
      <c r="J1146" s="41" t="s">
        <v>40</v>
      </c>
      <c r="K1146" s="42" t="s">
        <v>2922</v>
      </c>
      <c r="L1146" s="43">
        <v>314619.0</v>
      </c>
      <c r="M1146" s="42">
        <v>7.31816E7</v>
      </c>
      <c r="N1146" s="44" t="s">
        <v>920</v>
      </c>
      <c r="O1146" s="45">
        <v>0.44</v>
      </c>
      <c r="P1146" s="44">
        <v>7.898233432698E12</v>
      </c>
      <c r="Q1146" s="44">
        <v>1.0</v>
      </c>
    </row>
    <row r="1147" ht="15.75" customHeight="1">
      <c r="A1147" s="50" t="s">
        <v>2929</v>
      </c>
      <c r="B1147" s="36">
        <v>583.97</v>
      </c>
      <c r="C1147" s="36">
        <f>'Lista de Preço 02_2022'!$B1147*0.9*0.9*0.9*0.9*0.9*0.97</f>
        <v>334.4835919</v>
      </c>
      <c r="D1147" s="36">
        <f>'Lista de Preço 02_2022'!$C1147*1.1712</f>
        <v>391.7471829</v>
      </c>
      <c r="E1147" s="52">
        <v>3.25</v>
      </c>
      <c r="F1147" s="53">
        <v>0.18</v>
      </c>
      <c r="G1147" s="53" t="s">
        <v>22</v>
      </c>
      <c r="H1147" s="54" t="s">
        <v>23</v>
      </c>
      <c r="I1147" s="55" t="s">
        <v>2930</v>
      </c>
      <c r="J1147" s="56" t="s">
        <v>25</v>
      </c>
      <c r="K1147" s="57" t="s">
        <v>86</v>
      </c>
      <c r="L1147" s="58">
        <v>4.35504702E9</v>
      </c>
      <c r="M1147" s="57">
        <v>8.708999E7</v>
      </c>
      <c r="N1147" s="59" t="s">
        <v>28</v>
      </c>
      <c r="O1147" s="60">
        <v>3.12</v>
      </c>
      <c r="P1147" s="59">
        <v>7.899823512066E12</v>
      </c>
      <c r="Q1147" s="59">
        <v>1.0</v>
      </c>
    </row>
    <row r="1148" ht="15.75" customHeight="1">
      <c r="A1148" s="35" t="s">
        <v>2931</v>
      </c>
      <c r="B1148" s="36">
        <v>25.79740819440885</v>
      </c>
      <c r="C1148" s="36">
        <f>'Lista de Preço 02_2022'!$B1148*0.9*0.9*0.9*0.9*0.9*0.97</f>
        <v>14.77611822</v>
      </c>
      <c r="D1148" s="36">
        <f>'Lista de Preço 02_2022'!$C1148*1.065</f>
        <v>15.7365659</v>
      </c>
      <c r="E1148" s="37">
        <v>6.5</v>
      </c>
      <c r="F1148" s="38">
        <v>0.18</v>
      </c>
      <c r="G1148" s="38" t="s">
        <v>37</v>
      </c>
      <c r="H1148" s="39" t="s">
        <v>2922</v>
      </c>
      <c r="I1148" s="40" t="s">
        <v>2932</v>
      </c>
      <c r="J1148" s="41" t="s">
        <v>40</v>
      </c>
      <c r="K1148" s="42" t="s">
        <v>2922</v>
      </c>
      <c r="L1148" s="43">
        <v>194484.0</v>
      </c>
      <c r="M1148" s="42">
        <v>7.31816E7</v>
      </c>
      <c r="N1148" s="44" t="s">
        <v>920</v>
      </c>
      <c r="O1148" s="45">
        <v>0.12</v>
      </c>
      <c r="P1148" s="44">
        <v>7.898233432711E12</v>
      </c>
      <c r="Q1148" s="44">
        <v>1.0</v>
      </c>
    </row>
    <row r="1149" ht="15.75" customHeight="1">
      <c r="A1149" s="35" t="s">
        <v>2933</v>
      </c>
      <c r="B1149" s="36">
        <v>39.329303700849756</v>
      </c>
      <c r="C1149" s="36">
        <f>'Lista de Preço 02_2022'!$B1149*0.9*0.9*0.9*0.9*0.9*0.97</f>
        <v>22.52685373</v>
      </c>
      <c r="D1149" s="36">
        <f>'Lista de Preço 02_2022'!$C1149*1.1627</f>
        <v>26.19197283</v>
      </c>
      <c r="E1149" s="37">
        <v>2.6</v>
      </c>
      <c r="F1149" s="38">
        <v>0.18</v>
      </c>
      <c r="G1149" s="38" t="s">
        <v>22</v>
      </c>
      <c r="H1149" s="39" t="s">
        <v>2038</v>
      </c>
      <c r="I1149" s="40" t="s">
        <v>2934</v>
      </c>
      <c r="J1149" s="41" t="s">
        <v>32</v>
      </c>
      <c r="K1149" s="42" t="s">
        <v>26</v>
      </c>
      <c r="L1149" s="43" t="s">
        <v>2935</v>
      </c>
      <c r="M1149" s="44">
        <v>8.7089413E7</v>
      </c>
      <c r="N1149" s="44" t="s">
        <v>28</v>
      </c>
      <c r="O1149" s="45">
        <v>0.186</v>
      </c>
      <c r="P1149" s="44">
        <v>7.898233430359E12</v>
      </c>
      <c r="Q1149" s="44">
        <v>1.0</v>
      </c>
    </row>
    <row r="1150" ht="15.75" customHeight="1">
      <c r="A1150" s="35" t="s">
        <v>2936</v>
      </c>
      <c r="B1150" s="36">
        <v>25.046027373212475</v>
      </c>
      <c r="C1150" s="36">
        <f>'Lista de Preço 02_2022'!$B1150*0.9*0.9*0.9*0.9*0.9*0.97</f>
        <v>14.34574584</v>
      </c>
      <c r="D1150" s="36">
        <f>'Lista de Preço 02_2022'!$C1150*1.065</f>
        <v>15.27821932</v>
      </c>
      <c r="E1150" s="37">
        <v>6.5</v>
      </c>
      <c r="F1150" s="38">
        <v>0.18</v>
      </c>
      <c r="G1150" s="38" t="s">
        <v>37</v>
      </c>
      <c r="H1150" s="39" t="s">
        <v>2922</v>
      </c>
      <c r="I1150" s="40" t="s">
        <v>2932</v>
      </c>
      <c r="J1150" s="41" t="s">
        <v>40</v>
      </c>
      <c r="K1150" s="42" t="s">
        <v>2922</v>
      </c>
      <c r="L1150" s="43">
        <v>184054.0</v>
      </c>
      <c r="M1150" s="42">
        <v>7.31816E7</v>
      </c>
      <c r="N1150" s="44" t="s">
        <v>920</v>
      </c>
      <c r="O1150" s="45">
        <v>0.16</v>
      </c>
      <c r="P1150" s="44">
        <v>7.898233432728E12</v>
      </c>
      <c r="Q1150" s="44">
        <v>1.0</v>
      </c>
    </row>
    <row r="1151" ht="15.75" customHeight="1">
      <c r="A1151" s="35" t="s">
        <v>2937</v>
      </c>
      <c r="B1151" s="36">
        <v>20.34989724073514</v>
      </c>
      <c r="C1151" s="36">
        <f>'Lista de Preço 02_2022'!$B1151*0.9*0.9*0.9*0.9*0.9*0.97</f>
        <v>11.6559185</v>
      </c>
      <c r="D1151" s="36">
        <f>'Lista de Preço 02_2022'!$C1151*1.065</f>
        <v>12.4135532</v>
      </c>
      <c r="E1151" s="37">
        <v>6.5</v>
      </c>
      <c r="F1151" s="38">
        <v>0.18</v>
      </c>
      <c r="G1151" s="38" t="s">
        <v>37</v>
      </c>
      <c r="H1151" s="39" t="s">
        <v>2922</v>
      </c>
      <c r="I1151" s="40" t="s">
        <v>2938</v>
      </c>
      <c r="J1151" s="41" t="s">
        <v>40</v>
      </c>
      <c r="K1151" s="42" t="s">
        <v>2922</v>
      </c>
      <c r="L1151" s="43">
        <v>41995.0</v>
      </c>
      <c r="M1151" s="42">
        <v>7.31816E7</v>
      </c>
      <c r="N1151" s="44" t="s">
        <v>920</v>
      </c>
      <c r="O1151" s="45">
        <v>0.155</v>
      </c>
      <c r="P1151" s="44">
        <v>7.898233432735E12</v>
      </c>
      <c r="Q1151" s="44">
        <v>1.0</v>
      </c>
    </row>
    <row r="1152" ht="15.75" customHeight="1">
      <c r="A1152" s="35" t="s">
        <v>2939</v>
      </c>
      <c r="B1152" s="36">
        <v>20.315458953096975</v>
      </c>
      <c r="C1152" s="36">
        <f>'Lista de Preço 02_2022'!$B1152*0.9*0.9*0.9*0.9*0.9*0.97</f>
        <v>11.6361931</v>
      </c>
      <c r="D1152" s="36">
        <f>'Lista de Preço 02_2022'!$C1152*1.1712</f>
        <v>13.62830935</v>
      </c>
      <c r="E1152" s="37">
        <v>3.25</v>
      </c>
      <c r="F1152" s="38">
        <v>0.18</v>
      </c>
      <c r="G1152" s="38" t="s">
        <v>37</v>
      </c>
      <c r="H1152" s="39" t="s">
        <v>2922</v>
      </c>
      <c r="I1152" s="40" t="s">
        <v>2940</v>
      </c>
      <c r="J1152" s="41" t="s">
        <v>40</v>
      </c>
      <c r="K1152" s="42" t="s">
        <v>2922</v>
      </c>
      <c r="L1152" s="43">
        <v>177526.0</v>
      </c>
      <c r="M1152" s="42">
        <v>8.708999E7</v>
      </c>
      <c r="N1152" s="44" t="s">
        <v>28</v>
      </c>
      <c r="O1152" s="45">
        <v>0.15</v>
      </c>
      <c r="P1152" s="44">
        <v>7.898233432742E12</v>
      </c>
      <c r="Q1152" s="44">
        <v>1.0</v>
      </c>
    </row>
    <row r="1153" ht="15.75" customHeight="1">
      <c r="A1153" s="35" t="s">
        <v>2941</v>
      </c>
      <c r="B1153" s="36">
        <v>14.728707740995297</v>
      </c>
      <c r="C1153" s="36">
        <f>'Lista de Preço 02_2022'!$B1153*0.9*0.9*0.9*0.9*0.9*0.97</f>
        <v>8.436239995</v>
      </c>
      <c r="D1153" s="36">
        <f>'Lista de Preço 02_2022'!$C1153*1.1712</f>
        <v>9.880524282</v>
      </c>
      <c r="E1153" s="37">
        <v>3.25</v>
      </c>
      <c r="F1153" s="38">
        <v>0.18</v>
      </c>
      <c r="G1153" s="38" t="s">
        <v>37</v>
      </c>
      <c r="H1153" s="39" t="s">
        <v>2922</v>
      </c>
      <c r="I1153" s="40" t="s">
        <v>2940</v>
      </c>
      <c r="J1153" s="41" t="s">
        <v>40</v>
      </c>
      <c r="K1153" s="42" t="s">
        <v>2922</v>
      </c>
      <c r="L1153" s="43">
        <v>65286.0</v>
      </c>
      <c r="M1153" s="42">
        <v>8.708709E7</v>
      </c>
      <c r="N1153" s="44" t="s">
        <v>28</v>
      </c>
      <c r="O1153" s="45">
        <v>0.413</v>
      </c>
      <c r="P1153" s="44">
        <v>7.898233432766E12</v>
      </c>
      <c r="Q1153" s="44">
        <v>1.0</v>
      </c>
    </row>
    <row r="1154" ht="15.75" customHeight="1">
      <c r="A1154" s="35" t="s">
        <v>2942</v>
      </c>
      <c r="B1154" s="36">
        <v>14.833509711785085</v>
      </c>
      <c r="C1154" s="36">
        <f>'Lista de Preço 02_2022'!$B1154*0.9*0.9*0.9*0.9*0.9*0.97</f>
        <v>8.496267975</v>
      </c>
      <c r="D1154" s="36">
        <f>'Lista de Preço 02_2022'!$C1154*1.1712</f>
        <v>9.950829053</v>
      </c>
      <c r="E1154" s="37">
        <v>3.25</v>
      </c>
      <c r="F1154" s="38">
        <v>0.18</v>
      </c>
      <c r="G1154" s="38" t="s">
        <v>37</v>
      </c>
      <c r="H1154" s="39" t="s">
        <v>2922</v>
      </c>
      <c r="I1154" s="40" t="s">
        <v>2940</v>
      </c>
      <c r="J1154" s="41" t="s">
        <v>40</v>
      </c>
      <c r="K1154" s="42" t="s">
        <v>2922</v>
      </c>
      <c r="L1154" s="43">
        <v>534624.0</v>
      </c>
      <c r="M1154" s="42">
        <v>8.708709E7</v>
      </c>
      <c r="N1154" s="44" t="s">
        <v>28</v>
      </c>
      <c r="O1154" s="45">
        <v>0.4</v>
      </c>
      <c r="P1154" s="44">
        <v>7.898233432773E12</v>
      </c>
      <c r="Q1154" s="44">
        <v>1.0</v>
      </c>
    </row>
    <row r="1155" ht="15.75" customHeight="1">
      <c r="A1155" s="35" t="s">
        <v>2943</v>
      </c>
      <c r="B1155" s="36">
        <v>136.03172126541682</v>
      </c>
      <c r="C1155" s="36">
        <f>'Lista de Preço 02_2022'!$B1155*0.9*0.9*0.9*0.9*0.9*0.97</f>
        <v>77.91560996</v>
      </c>
      <c r="D1155" s="36">
        <f>'Lista de Preço 02_2022'!$C1155*1.1712</f>
        <v>91.25476238</v>
      </c>
      <c r="E1155" s="37">
        <v>3.25</v>
      </c>
      <c r="F1155" s="38">
        <v>0.18</v>
      </c>
      <c r="G1155" s="38" t="s">
        <v>22</v>
      </c>
      <c r="H1155" s="39" t="s">
        <v>65</v>
      </c>
      <c r="I1155" s="40" t="s">
        <v>2944</v>
      </c>
      <c r="J1155" s="41" t="s">
        <v>67</v>
      </c>
      <c r="K1155" s="42" t="s">
        <v>456</v>
      </c>
      <c r="L1155" s="43" t="s">
        <v>2945</v>
      </c>
      <c r="M1155" s="42">
        <v>8.708999E7</v>
      </c>
      <c r="N1155" s="44" t="s">
        <v>28</v>
      </c>
      <c r="O1155" s="45">
        <v>1.08</v>
      </c>
      <c r="P1155" s="44">
        <v>7.899823505853E12</v>
      </c>
      <c r="Q1155" s="44">
        <v>1.0</v>
      </c>
    </row>
    <row r="1156" ht="15.75" customHeight="1">
      <c r="A1156" s="35" t="s">
        <v>2946</v>
      </c>
      <c r="B1156" s="36">
        <v>190.45025180384744</v>
      </c>
      <c r="C1156" s="36">
        <f>'Lista de Preço 02_2022'!$B1156*0.9*0.9*0.9*0.9*0.9*0.97</f>
        <v>109.0852001</v>
      </c>
      <c r="D1156" s="36">
        <f>'Lista de Preço 02_2022'!$C1156*1.1712</f>
        <v>127.7605864</v>
      </c>
      <c r="E1156" s="37">
        <v>3.25</v>
      </c>
      <c r="F1156" s="38">
        <v>0.18</v>
      </c>
      <c r="G1156" s="38" t="s">
        <v>22</v>
      </c>
      <c r="H1156" s="39" t="s">
        <v>65</v>
      </c>
      <c r="I1156" s="40" t="s">
        <v>2947</v>
      </c>
      <c r="J1156" s="41" t="s">
        <v>67</v>
      </c>
      <c r="K1156" s="42" t="s">
        <v>456</v>
      </c>
      <c r="L1156" s="43" t="s">
        <v>2948</v>
      </c>
      <c r="M1156" s="42">
        <v>8.708999E7</v>
      </c>
      <c r="N1156" s="44" t="s">
        <v>28</v>
      </c>
      <c r="O1156" s="45">
        <v>1.986</v>
      </c>
      <c r="P1156" s="44">
        <v>7.89982350586E12</v>
      </c>
      <c r="Q1156" s="44">
        <v>1.0</v>
      </c>
    </row>
    <row r="1157" ht="15.75" customHeight="1">
      <c r="A1157" s="35" t="s">
        <v>2949</v>
      </c>
      <c r="B1157" s="36">
        <v>44.016827731710116</v>
      </c>
      <c r="C1157" s="36">
        <f>'Lista de Preço 02_2022'!$B1157*0.9*0.9*0.9*0.9*0.9*0.97</f>
        <v>25.21175171</v>
      </c>
      <c r="D1157" s="36">
        <f>'Lista de Preço 02_2022'!$C1157*1.1712</f>
        <v>29.5280036</v>
      </c>
      <c r="E1157" s="37">
        <v>3.25</v>
      </c>
      <c r="F1157" s="38">
        <v>0.18</v>
      </c>
      <c r="G1157" s="38" t="s">
        <v>37</v>
      </c>
      <c r="H1157" s="39" t="s">
        <v>2922</v>
      </c>
      <c r="I1157" s="40" t="s">
        <v>2950</v>
      </c>
      <c r="J1157" s="41" t="s">
        <v>40</v>
      </c>
      <c r="K1157" s="42" t="s">
        <v>2922</v>
      </c>
      <c r="L1157" s="43" t="s">
        <v>2951</v>
      </c>
      <c r="M1157" s="42">
        <v>8.7085099E7</v>
      </c>
      <c r="N1157" s="44" t="s">
        <v>28</v>
      </c>
      <c r="O1157" s="45">
        <v>0.185</v>
      </c>
      <c r="P1157" s="44">
        <v>7.89823343278E12</v>
      </c>
      <c r="Q1157" s="44">
        <v>1.0</v>
      </c>
    </row>
    <row r="1158" ht="15.75" customHeight="1">
      <c r="A1158" s="35" t="s">
        <v>2952</v>
      </c>
      <c r="B1158" s="36">
        <v>46.02207529827792</v>
      </c>
      <c r="C1158" s="36">
        <f>'Lista de Preço 02_2022'!$B1158*0.9*0.9*0.9*0.9*0.9*0.97</f>
        <v>26.36030799</v>
      </c>
      <c r="D1158" s="36">
        <f>'Lista de Preço 02_2022'!$C1158*1.1712</f>
        <v>30.87319271</v>
      </c>
      <c r="E1158" s="37">
        <v>3.25</v>
      </c>
      <c r="F1158" s="38">
        <v>0.18</v>
      </c>
      <c r="G1158" s="38" t="s">
        <v>37</v>
      </c>
      <c r="H1158" s="39" t="s">
        <v>2922</v>
      </c>
      <c r="I1158" s="40" t="s">
        <v>2953</v>
      </c>
      <c r="J1158" s="41" t="s">
        <v>40</v>
      </c>
      <c r="K1158" s="42" t="s">
        <v>2922</v>
      </c>
      <c r="L1158" s="43">
        <v>208179.0</v>
      </c>
      <c r="M1158" s="42">
        <v>8.708709E7</v>
      </c>
      <c r="N1158" s="44" t="s">
        <v>28</v>
      </c>
      <c r="O1158" s="45">
        <v>0.3</v>
      </c>
      <c r="P1158" s="44">
        <v>7.898233432797E12</v>
      </c>
      <c r="Q1158" s="44">
        <v>1.0</v>
      </c>
    </row>
    <row r="1159" ht="15.75" customHeight="1">
      <c r="A1159" s="35" t="s">
        <v>2954</v>
      </c>
      <c r="B1159" s="36">
        <v>19.72374655640483</v>
      </c>
      <c r="C1159" s="36">
        <f>'Lista de Preço 02_2022'!$B1159*0.9*0.9*0.9*0.9*0.9*0.97</f>
        <v>11.29727485</v>
      </c>
      <c r="D1159" s="36">
        <f>'Lista de Preço 02_2022'!$C1159*1.1712</f>
        <v>13.23136831</v>
      </c>
      <c r="E1159" s="37">
        <v>3.25</v>
      </c>
      <c r="F1159" s="38">
        <v>0.18</v>
      </c>
      <c r="G1159" s="38" t="s">
        <v>37</v>
      </c>
      <c r="H1159" s="39" t="s">
        <v>2922</v>
      </c>
      <c r="I1159" s="40" t="s">
        <v>2955</v>
      </c>
      <c r="J1159" s="41" t="s">
        <v>40</v>
      </c>
      <c r="K1159" s="42" t="s">
        <v>2922</v>
      </c>
      <c r="L1159" s="43">
        <v>523887.0</v>
      </c>
      <c r="M1159" s="42">
        <v>8.708709E7</v>
      </c>
      <c r="N1159" s="44" t="s">
        <v>28</v>
      </c>
      <c r="O1159" s="45">
        <v>0.47</v>
      </c>
      <c r="P1159" s="44">
        <v>7.898233432803E12</v>
      </c>
      <c r="Q1159" s="44">
        <v>1.0</v>
      </c>
    </row>
    <row r="1160" ht="15.75" customHeight="1">
      <c r="A1160" s="35" t="s">
        <v>2956</v>
      </c>
      <c r="B1160" s="36">
        <v>15.653767108257796</v>
      </c>
      <c r="C1160" s="36">
        <f>'Lista de Preço 02_2022'!$B1160*0.9*0.9*0.9*0.9*0.9*0.97</f>
        <v>8.966091152</v>
      </c>
      <c r="D1160" s="36">
        <f>'Lista de Preço 02_2022'!$C1160*1.1712</f>
        <v>10.50108596</v>
      </c>
      <c r="E1160" s="37">
        <v>3.25</v>
      </c>
      <c r="F1160" s="38">
        <v>0.18</v>
      </c>
      <c r="G1160" s="38" t="s">
        <v>37</v>
      </c>
      <c r="H1160" s="39" t="s">
        <v>2922</v>
      </c>
      <c r="I1160" s="40" t="s">
        <v>2955</v>
      </c>
      <c r="J1160" s="41" t="s">
        <v>40</v>
      </c>
      <c r="K1160" s="42" t="s">
        <v>2922</v>
      </c>
      <c r="L1160" s="43">
        <v>347048.0</v>
      </c>
      <c r="M1160" s="42">
        <v>8.708709E7</v>
      </c>
      <c r="N1160" s="44" t="s">
        <v>28</v>
      </c>
      <c r="O1160" s="45">
        <v>0.32</v>
      </c>
      <c r="P1160" s="44">
        <v>7.89823343281E12</v>
      </c>
      <c r="Q1160" s="44">
        <v>1.0</v>
      </c>
    </row>
    <row r="1161" ht="15.75" customHeight="1">
      <c r="A1161" s="35" t="s">
        <v>2957</v>
      </c>
      <c r="B1161" s="36">
        <v>43.53312632806494</v>
      </c>
      <c r="C1161" s="36">
        <f>'Lista de Preço 02_2022'!$B1161*0.9*0.9*0.9*0.9*0.9*0.97</f>
        <v>24.93469949</v>
      </c>
      <c r="D1161" s="36">
        <f>'Lista de Preço 02_2022'!$C1161*1.065</f>
        <v>26.55545496</v>
      </c>
      <c r="E1161" s="37">
        <v>6.5</v>
      </c>
      <c r="F1161" s="38">
        <v>0.18</v>
      </c>
      <c r="G1161" s="38" t="s">
        <v>37</v>
      </c>
      <c r="H1161" s="39" t="s">
        <v>2922</v>
      </c>
      <c r="I1161" s="40" t="s">
        <v>2958</v>
      </c>
      <c r="J1161" s="41" t="s">
        <v>40</v>
      </c>
      <c r="K1161" s="42" t="s">
        <v>2922</v>
      </c>
      <c r="L1161" s="43">
        <v>387877.0</v>
      </c>
      <c r="M1161" s="42">
        <v>7.31816E7</v>
      </c>
      <c r="N1161" s="44" t="s">
        <v>920</v>
      </c>
      <c r="O1161" s="45">
        <v>0.26</v>
      </c>
      <c r="P1161" s="44">
        <v>7.898233432827E12</v>
      </c>
      <c r="Q1161" s="44">
        <v>1.0</v>
      </c>
    </row>
    <row r="1162" ht="15.75" customHeight="1">
      <c r="A1162" s="35" t="s">
        <v>2959</v>
      </c>
      <c r="B1162" s="36">
        <v>108.60046527687001</v>
      </c>
      <c r="C1162" s="36">
        <f>'Lista de Preço 02_2022'!$B1162*0.9*0.9*0.9*0.9*0.9*0.97</f>
        <v>62.20366408</v>
      </c>
      <c r="D1162" s="36">
        <f>'Lista de Preço 02_2022'!$C1162*1.1712</f>
        <v>72.85293137</v>
      </c>
      <c r="E1162" s="37">
        <v>3.25</v>
      </c>
      <c r="F1162" s="38">
        <v>0.18</v>
      </c>
      <c r="G1162" s="38" t="s">
        <v>22</v>
      </c>
      <c r="H1162" s="39" t="s">
        <v>23</v>
      </c>
      <c r="I1162" s="40" t="s">
        <v>2960</v>
      </c>
      <c r="J1162" s="41" t="s">
        <v>25</v>
      </c>
      <c r="K1162" s="42" t="s">
        <v>26</v>
      </c>
      <c r="L1162" s="43" t="s">
        <v>2961</v>
      </c>
      <c r="M1162" s="44">
        <v>8.708999E7</v>
      </c>
      <c r="N1162" s="44" t="s">
        <v>28</v>
      </c>
      <c r="O1162" s="45">
        <v>1.988</v>
      </c>
      <c r="P1162" s="44">
        <v>7.898233438959E12</v>
      </c>
      <c r="Q1162" s="44">
        <v>1.0</v>
      </c>
    </row>
    <row r="1163" ht="15.75" customHeight="1">
      <c r="A1163" s="35" t="s">
        <v>2962</v>
      </c>
      <c r="B1163" s="36">
        <v>349.09660076649755</v>
      </c>
      <c r="C1163" s="36">
        <f>'Lista de Preço 02_2022'!$B1163*0.9*0.9*0.9*0.9*0.9*0.97</f>
        <v>199.9539102</v>
      </c>
      <c r="D1163" s="36">
        <f>'Lista de Preço 02_2022'!$C1163*1.1712</f>
        <v>234.1860197</v>
      </c>
      <c r="E1163" s="37">
        <v>3.25</v>
      </c>
      <c r="F1163" s="38">
        <v>0.18</v>
      </c>
      <c r="G1163" s="38" t="s">
        <v>22</v>
      </c>
      <c r="H1163" s="39" t="s">
        <v>23</v>
      </c>
      <c r="I1163" s="40" t="s">
        <v>2963</v>
      </c>
      <c r="J1163" s="41" t="s">
        <v>25</v>
      </c>
      <c r="K1163" s="42" t="s">
        <v>26</v>
      </c>
      <c r="L1163" s="43" t="s">
        <v>2964</v>
      </c>
      <c r="M1163" s="44">
        <v>8.708999E7</v>
      </c>
      <c r="N1163" s="44" t="s">
        <v>28</v>
      </c>
      <c r="O1163" s="45">
        <v>3.868</v>
      </c>
      <c r="P1163" s="44">
        <v>7.898233438607E12</v>
      </c>
      <c r="Q1163" s="44">
        <v>1.0</v>
      </c>
    </row>
    <row r="1164" ht="15.75" customHeight="1">
      <c r="A1164" s="35" t="s">
        <v>2965</v>
      </c>
      <c r="B1164" s="36">
        <v>274.24385374752546</v>
      </c>
      <c r="C1164" s="36">
        <f>'Lista de Preço 02_2022'!$B1164*0.9*0.9*0.9*0.9*0.9*0.97</f>
        <v>157.0801056</v>
      </c>
      <c r="D1164" s="36">
        <f>'Lista de Preço 02_2022'!$C1164*1.1712</f>
        <v>183.9722197</v>
      </c>
      <c r="E1164" s="37">
        <v>3.25</v>
      </c>
      <c r="F1164" s="38">
        <v>0.18</v>
      </c>
      <c r="G1164" s="38" t="s">
        <v>22</v>
      </c>
      <c r="H1164" s="39" t="s">
        <v>65</v>
      </c>
      <c r="I1164" s="40" t="s">
        <v>2966</v>
      </c>
      <c r="J1164" s="41" t="s">
        <v>1357</v>
      </c>
      <c r="K1164" s="42" t="s">
        <v>86</v>
      </c>
      <c r="L1164" s="43" t="s">
        <v>2967</v>
      </c>
      <c r="M1164" s="44">
        <v>8.708999E7</v>
      </c>
      <c r="N1164" s="44" t="s">
        <v>28</v>
      </c>
      <c r="O1164" s="45">
        <v>1.9</v>
      </c>
      <c r="P1164" s="44">
        <v>7.898233439079E12</v>
      </c>
      <c r="Q1164" s="44">
        <v>1.0</v>
      </c>
    </row>
    <row r="1165" ht="15.75" customHeight="1">
      <c r="A1165" s="35" t="s">
        <v>2968</v>
      </c>
      <c r="B1165" s="36">
        <v>225.99134449433805</v>
      </c>
      <c r="C1165" s="36">
        <f>'Lista de Preço 02_2022'!$B1165*0.9*0.9*0.9*0.9*0.9*0.97</f>
        <v>129.4422601</v>
      </c>
      <c r="D1165" s="36">
        <f>'Lista de Preço 02_2022'!$C1165*1.1712</f>
        <v>151.6027751</v>
      </c>
      <c r="E1165" s="37">
        <v>3.25</v>
      </c>
      <c r="F1165" s="38">
        <v>0.18</v>
      </c>
      <c r="G1165" s="38" t="s">
        <v>22</v>
      </c>
      <c r="H1165" s="39" t="s">
        <v>525</v>
      </c>
      <c r="I1165" s="40" t="s">
        <v>2969</v>
      </c>
      <c r="J1165" s="41" t="s">
        <v>527</v>
      </c>
      <c r="K1165" s="42" t="s">
        <v>26</v>
      </c>
      <c r="L1165" s="43">
        <v>5.42411309E8</v>
      </c>
      <c r="M1165" s="44">
        <v>8.708999E7</v>
      </c>
      <c r="N1165" s="44" t="s">
        <v>28</v>
      </c>
      <c r="O1165" s="45">
        <v>5.676</v>
      </c>
      <c r="P1165" s="44">
        <v>7.898233430373E12</v>
      </c>
      <c r="Q1165" s="44">
        <v>1.0</v>
      </c>
    </row>
    <row r="1166" ht="15.75" customHeight="1">
      <c r="A1166" s="35" t="s">
        <v>2970</v>
      </c>
      <c r="B1166" s="36">
        <v>269.6487831273792</v>
      </c>
      <c r="C1166" s="36">
        <f>'Lista de Preço 02_2022'!$B1166*0.9*0.9*0.9*0.9*0.9*0.97</f>
        <v>154.4481627</v>
      </c>
      <c r="D1166" s="36">
        <f>'Lista de Preço 02_2022'!$C1166*1.1712</f>
        <v>180.8896881</v>
      </c>
      <c r="E1166" s="37">
        <v>3.25</v>
      </c>
      <c r="F1166" s="38">
        <v>0.18</v>
      </c>
      <c r="G1166" s="38" t="s">
        <v>22</v>
      </c>
      <c r="H1166" s="39" t="s">
        <v>65</v>
      </c>
      <c r="I1166" s="40" t="s">
        <v>2971</v>
      </c>
      <c r="J1166" s="41" t="s">
        <v>1357</v>
      </c>
      <c r="K1166" s="42" t="s">
        <v>86</v>
      </c>
      <c r="L1166" s="43" t="s">
        <v>2972</v>
      </c>
      <c r="M1166" s="44">
        <v>8.708999E7</v>
      </c>
      <c r="N1166" s="44" t="s">
        <v>28</v>
      </c>
      <c r="O1166" s="45">
        <v>2.654</v>
      </c>
      <c r="P1166" s="44">
        <v>7.898233439086E12</v>
      </c>
      <c r="Q1166" s="44">
        <v>1.0</v>
      </c>
    </row>
    <row r="1167" ht="15.75" customHeight="1">
      <c r="A1167" s="50" t="s">
        <v>2973</v>
      </c>
      <c r="B1167" s="36">
        <v>651.2</v>
      </c>
      <c r="C1167" s="36">
        <f>'Lista de Preço 02_2022'!$B1167*0.9*0.9*0.9*0.9*0.9*0.97</f>
        <v>372.9912754</v>
      </c>
      <c r="D1167" s="36">
        <f>'Lista de Preço 02_2022'!$C1167*1.1712</f>
        <v>436.8473817</v>
      </c>
      <c r="E1167" s="52">
        <v>3.25</v>
      </c>
      <c r="F1167" s="53">
        <v>0.18</v>
      </c>
      <c r="G1167" s="53" t="s">
        <v>22</v>
      </c>
      <c r="H1167" s="54" t="s">
        <v>23</v>
      </c>
      <c r="I1167" s="55" t="s">
        <v>2930</v>
      </c>
      <c r="J1167" s="56" t="s">
        <v>25</v>
      </c>
      <c r="K1167" s="57" t="s">
        <v>86</v>
      </c>
      <c r="L1167" s="58">
        <v>4.24501221E9</v>
      </c>
      <c r="M1167" s="57">
        <v>8.708999E7</v>
      </c>
      <c r="N1167" s="59" t="s">
        <v>28</v>
      </c>
      <c r="O1167" s="60">
        <v>2.9</v>
      </c>
      <c r="P1167" s="59">
        <v>7.899823512073E12</v>
      </c>
      <c r="Q1167" s="59">
        <v>1.0</v>
      </c>
    </row>
    <row r="1168" ht="15.75" customHeight="1">
      <c r="A1168" s="35" t="s">
        <v>2974</v>
      </c>
      <c r="B1168" s="36">
        <v>248.2499680853543</v>
      </c>
      <c r="C1168" s="36">
        <f>'Lista de Preço 02_2022'!$B1168*0.9*0.9*0.9*0.9*0.9*0.97</f>
        <v>142.1914499</v>
      </c>
      <c r="D1168" s="36">
        <f>'Lista de Preço 02_2022'!$C1168*1.1712</f>
        <v>166.5346262</v>
      </c>
      <c r="E1168" s="37">
        <v>3.25</v>
      </c>
      <c r="F1168" s="38">
        <v>0.18</v>
      </c>
      <c r="G1168" s="38" t="s">
        <v>22</v>
      </c>
      <c r="H1168" s="39" t="s">
        <v>23</v>
      </c>
      <c r="I1168" s="40" t="s">
        <v>2975</v>
      </c>
      <c r="J1168" s="41" t="s">
        <v>25</v>
      </c>
      <c r="K1168" s="42" t="s">
        <v>1904</v>
      </c>
      <c r="L1168" s="43" t="s">
        <v>2976</v>
      </c>
      <c r="M1168" s="44">
        <v>8.708999E7</v>
      </c>
      <c r="N1168" s="44" t="s">
        <v>28</v>
      </c>
      <c r="O1168" s="45">
        <v>2.052</v>
      </c>
      <c r="P1168" s="44">
        <v>7.898233438966E12</v>
      </c>
      <c r="Q1168" s="44">
        <v>1.0</v>
      </c>
    </row>
    <row r="1169" ht="15.75" customHeight="1">
      <c r="A1169" s="35" t="s">
        <v>2977</v>
      </c>
      <c r="B1169" s="36">
        <v>335.13745691522837</v>
      </c>
      <c r="C1169" s="36">
        <f>'Lista de Preço 02_2022'!$B1169*0.9*0.9*0.9*0.9*0.9*0.97</f>
        <v>191.9584574</v>
      </c>
      <c r="D1169" s="36">
        <f>'Lista de Preço 02_2022'!$C1169*1.1712</f>
        <v>224.8217453</v>
      </c>
      <c r="E1169" s="37">
        <v>3.25</v>
      </c>
      <c r="F1169" s="38">
        <v>0.18</v>
      </c>
      <c r="G1169" s="38" t="s">
        <v>22</v>
      </c>
      <c r="H1169" s="39" t="s">
        <v>23</v>
      </c>
      <c r="I1169" s="40" t="s">
        <v>2978</v>
      </c>
      <c r="J1169" s="41" t="s">
        <v>1391</v>
      </c>
      <c r="K1169" s="42" t="s">
        <v>277</v>
      </c>
      <c r="L1169" s="43" t="s">
        <v>2979</v>
      </c>
      <c r="M1169" s="44">
        <v>8.708999E7</v>
      </c>
      <c r="N1169" s="44" t="s">
        <v>28</v>
      </c>
      <c r="O1169" s="45">
        <v>5.426</v>
      </c>
      <c r="P1169" s="44">
        <v>7.898233438973E12</v>
      </c>
      <c r="Q1169" s="44">
        <v>1.0</v>
      </c>
    </row>
    <row r="1170" ht="15.75" customHeight="1">
      <c r="A1170" s="35" t="s">
        <v>2980</v>
      </c>
      <c r="B1170" s="36">
        <v>349.09660076649755</v>
      </c>
      <c r="C1170" s="36">
        <f>'Lista de Preço 02_2022'!$B1170*0.9*0.9*0.9*0.9*0.9*0.97</f>
        <v>199.9539102</v>
      </c>
      <c r="D1170" s="36">
        <f>'Lista de Preço 02_2022'!$C1170*1.1712</f>
        <v>234.1860197</v>
      </c>
      <c r="E1170" s="37">
        <v>3.25</v>
      </c>
      <c r="F1170" s="38">
        <v>0.18</v>
      </c>
      <c r="G1170" s="38" t="s">
        <v>22</v>
      </c>
      <c r="H1170" s="39" t="s">
        <v>23</v>
      </c>
      <c r="I1170" s="40" t="s">
        <v>2981</v>
      </c>
      <c r="J1170" s="41" t="s">
        <v>25</v>
      </c>
      <c r="K1170" s="42" t="s">
        <v>2590</v>
      </c>
      <c r="L1170" s="43" t="s">
        <v>2982</v>
      </c>
      <c r="M1170" s="44">
        <v>8.708999E7</v>
      </c>
      <c r="N1170" s="44" t="s">
        <v>28</v>
      </c>
      <c r="O1170" s="45">
        <v>3.772</v>
      </c>
      <c r="P1170" s="44">
        <v>7.898233438799E12</v>
      </c>
      <c r="Q1170" s="44">
        <v>1.0</v>
      </c>
    </row>
    <row r="1171" ht="15.75" customHeight="1">
      <c r="A1171" s="35" t="s">
        <v>2983</v>
      </c>
      <c r="B1171" s="36">
        <v>282.76511603996255</v>
      </c>
      <c r="C1171" s="36">
        <f>'Lista de Preço 02_2022'!$B1171*0.9*0.9*0.9*0.9*0.9*0.97</f>
        <v>161.9608742</v>
      </c>
      <c r="D1171" s="36">
        <f>'Lista de Preço 02_2022'!$C1171*1.1712</f>
        <v>189.6885758</v>
      </c>
      <c r="E1171" s="37">
        <v>3.25</v>
      </c>
      <c r="F1171" s="38">
        <v>0.18</v>
      </c>
      <c r="G1171" s="38" t="s">
        <v>22</v>
      </c>
      <c r="H1171" s="39" t="s">
        <v>23</v>
      </c>
      <c r="I1171" s="40" t="s">
        <v>2984</v>
      </c>
      <c r="J1171" s="41" t="s">
        <v>25</v>
      </c>
      <c r="K1171" s="42" t="s">
        <v>1904</v>
      </c>
      <c r="L1171" s="43" t="s">
        <v>2985</v>
      </c>
      <c r="M1171" s="44">
        <v>8.708999E7</v>
      </c>
      <c r="N1171" s="44" t="s">
        <v>28</v>
      </c>
      <c r="O1171" s="45">
        <v>2.888</v>
      </c>
      <c r="P1171" s="44">
        <v>7.898233438614E12</v>
      </c>
      <c r="Q1171" s="44">
        <v>1.0</v>
      </c>
    </row>
    <row r="1172" ht="15.75" customHeight="1">
      <c r="A1172" s="35" t="s">
        <v>2986</v>
      </c>
      <c r="B1172" s="36">
        <v>439.4877414544526</v>
      </c>
      <c r="C1172" s="36">
        <f>'Lista de Preço 02_2022'!$B1172*0.9*0.9*0.9*0.9*0.9*0.97</f>
        <v>251.727723</v>
      </c>
      <c r="D1172" s="36">
        <f>'Lista de Preço 02_2022'!$C1172*1.1712</f>
        <v>294.8235091</v>
      </c>
      <c r="E1172" s="37">
        <v>3.25</v>
      </c>
      <c r="F1172" s="38">
        <v>0.18</v>
      </c>
      <c r="G1172" s="38" t="s">
        <v>22</v>
      </c>
      <c r="H1172" s="39" t="s">
        <v>23</v>
      </c>
      <c r="I1172" s="40" t="s">
        <v>2987</v>
      </c>
      <c r="J1172" s="41" t="s">
        <v>1391</v>
      </c>
      <c r="K1172" s="42" t="s">
        <v>1876</v>
      </c>
      <c r="L1172" s="43" t="s">
        <v>2988</v>
      </c>
      <c r="M1172" s="44">
        <v>8.708999E7</v>
      </c>
      <c r="N1172" s="44" t="s">
        <v>28</v>
      </c>
      <c r="O1172" s="45">
        <v>2.834</v>
      </c>
      <c r="P1172" s="44">
        <v>7.898233438621E12</v>
      </c>
      <c r="Q1172" s="44">
        <v>1.0</v>
      </c>
    </row>
    <row r="1173" ht="15.75" customHeight="1">
      <c r="A1173" s="35" t="s">
        <v>2989</v>
      </c>
      <c r="B1173" s="36">
        <v>174.55750797413253</v>
      </c>
      <c r="C1173" s="36">
        <f>'Lista de Preço 02_2022'!$B1173*0.9*0.9*0.9*0.9*0.9*0.97</f>
        <v>99.982229</v>
      </c>
      <c r="D1173" s="36">
        <f>'Lista de Preço 02_2022'!$C1173*1.1712</f>
        <v>117.0991866</v>
      </c>
      <c r="E1173" s="37">
        <v>3.25</v>
      </c>
      <c r="F1173" s="38">
        <v>0.18</v>
      </c>
      <c r="G1173" s="38" t="s">
        <v>22</v>
      </c>
      <c r="H1173" s="39" t="s">
        <v>23</v>
      </c>
      <c r="I1173" s="40" t="s">
        <v>2990</v>
      </c>
      <c r="J1173" s="41" t="s">
        <v>25</v>
      </c>
      <c r="K1173" s="42" t="s">
        <v>1876</v>
      </c>
      <c r="L1173" s="43" t="s">
        <v>2991</v>
      </c>
      <c r="M1173" s="44">
        <v>8.708999E7</v>
      </c>
      <c r="N1173" s="44" t="s">
        <v>28</v>
      </c>
      <c r="O1173" s="45">
        <v>1.734</v>
      </c>
      <c r="P1173" s="44">
        <v>7.898233438638E12</v>
      </c>
      <c r="Q1173" s="44">
        <v>1.0</v>
      </c>
    </row>
    <row r="1174" ht="15.75" customHeight="1">
      <c r="A1174" s="35" t="s">
        <v>2992</v>
      </c>
      <c r="B1174" s="36">
        <v>186.18747606401573</v>
      </c>
      <c r="C1174" s="36">
        <f>'Lista de Preço 02_2022'!$B1174*0.9*0.9*0.9*0.9*0.9*0.97</f>
        <v>106.6435875</v>
      </c>
      <c r="D1174" s="36">
        <f>'Lista de Preço 02_2022'!$C1174*1.1712</f>
        <v>124.9009696</v>
      </c>
      <c r="E1174" s="37">
        <v>3.25</v>
      </c>
      <c r="F1174" s="38">
        <v>0.18</v>
      </c>
      <c r="G1174" s="38" t="s">
        <v>22</v>
      </c>
      <c r="H1174" s="39" t="s">
        <v>23</v>
      </c>
      <c r="I1174" s="40" t="s">
        <v>2993</v>
      </c>
      <c r="J1174" s="41" t="s">
        <v>25</v>
      </c>
      <c r="K1174" s="42" t="s">
        <v>1876</v>
      </c>
      <c r="L1174" s="43" t="s">
        <v>2994</v>
      </c>
      <c r="M1174" s="44">
        <v>8.708999E7</v>
      </c>
      <c r="N1174" s="44" t="s">
        <v>28</v>
      </c>
      <c r="O1174" s="45">
        <v>1.786</v>
      </c>
      <c r="P1174" s="44">
        <v>7.898233438645E12</v>
      </c>
      <c r="Q1174" s="44">
        <v>1.0</v>
      </c>
    </row>
    <row r="1175" ht="15.75" customHeight="1">
      <c r="A1175" s="35" t="s">
        <v>2995</v>
      </c>
      <c r="B1175" s="36">
        <v>184.70318350171993</v>
      </c>
      <c r="C1175" s="36">
        <f>'Lista de Preço 02_2022'!$B1175*0.9*0.9*0.9*0.9*0.9*0.97</f>
        <v>105.7934213</v>
      </c>
      <c r="D1175" s="36">
        <f>'Lista de Preço 02_2022'!$C1175*1.1712</f>
        <v>123.9052551</v>
      </c>
      <c r="E1175" s="37">
        <v>3.25</v>
      </c>
      <c r="F1175" s="38">
        <v>0.18</v>
      </c>
      <c r="G1175" s="38" t="s">
        <v>22</v>
      </c>
      <c r="H1175" s="39" t="s">
        <v>525</v>
      </c>
      <c r="I1175" s="40" t="s">
        <v>2996</v>
      </c>
      <c r="J1175" s="41" t="s">
        <v>527</v>
      </c>
      <c r="K1175" s="42" t="s">
        <v>26</v>
      </c>
      <c r="L1175" s="43" t="s">
        <v>2997</v>
      </c>
      <c r="M1175" s="44">
        <v>8.708999E7</v>
      </c>
      <c r="N1175" s="44" t="s">
        <v>28</v>
      </c>
      <c r="O1175" s="45">
        <v>4.836</v>
      </c>
      <c r="P1175" s="44">
        <v>7.89823343038E12</v>
      </c>
      <c r="Q1175" s="44">
        <v>1.0</v>
      </c>
    </row>
    <row r="1176" ht="15.75" customHeight="1">
      <c r="A1176" s="35" t="s">
        <v>2998</v>
      </c>
      <c r="B1176" s="36">
        <v>97.7484249336083</v>
      </c>
      <c r="C1176" s="36">
        <f>'Lista de Preço 02_2022'!$B1176*0.9*0.9*0.9*0.9*0.9*0.97</f>
        <v>55.98788342</v>
      </c>
      <c r="D1176" s="36">
        <f>'Lista de Preço 02_2022'!$C1176*1.1712</f>
        <v>65.57300906</v>
      </c>
      <c r="E1176" s="37">
        <v>3.25</v>
      </c>
      <c r="F1176" s="38">
        <v>0.18</v>
      </c>
      <c r="G1176" s="38" t="s">
        <v>22</v>
      </c>
      <c r="H1176" s="39" t="s">
        <v>23</v>
      </c>
      <c r="I1176" s="40" t="s">
        <v>2999</v>
      </c>
      <c r="J1176" s="41" t="s">
        <v>25</v>
      </c>
      <c r="K1176" s="42" t="s">
        <v>507</v>
      </c>
      <c r="L1176" s="43" t="s">
        <v>3000</v>
      </c>
      <c r="M1176" s="44">
        <v>8.708999E7</v>
      </c>
      <c r="N1176" s="44" t="s">
        <v>28</v>
      </c>
      <c r="O1176" s="45">
        <v>1.516</v>
      </c>
      <c r="P1176" s="44">
        <v>7.898233438652E12</v>
      </c>
      <c r="Q1176" s="44">
        <v>1.0</v>
      </c>
    </row>
    <row r="1177" ht="15.75" customHeight="1">
      <c r="A1177" s="35" t="s">
        <v>3001</v>
      </c>
      <c r="B1177" s="36">
        <v>174.55750797413253</v>
      </c>
      <c r="C1177" s="36">
        <f>'Lista de Preço 02_2022'!$B1177*0.9*0.9*0.9*0.9*0.9*0.97</f>
        <v>99.982229</v>
      </c>
      <c r="D1177" s="36">
        <f>'Lista de Preço 02_2022'!$C1177*1.1712</f>
        <v>117.0991866</v>
      </c>
      <c r="E1177" s="37">
        <v>3.25</v>
      </c>
      <c r="F1177" s="38">
        <v>0.18</v>
      </c>
      <c r="G1177" s="38" t="s">
        <v>22</v>
      </c>
      <c r="H1177" s="39" t="s">
        <v>23</v>
      </c>
      <c r="I1177" s="40" t="s">
        <v>2999</v>
      </c>
      <c r="J1177" s="41" t="s">
        <v>25</v>
      </c>
      <c r="K1177" s="42" t="s">
        <v>507</v>
      </c>
      <c r="L1177" s="43" t="s">
        <v>3002</v>
      </c>
      <c r="M1177" s="44">
        <v>8.708999E7</v>
      </c>
      <c r="N1177" s="44" t="s">
        <v>28</v>
      </c>
      <c r="O1177" s="45">
        <v>1.896</v>
      </c>
      <c r="P1177" s="44">
        <v>7.898233438669E12</v>
      </c>
      <c r="Q1177" s="44">
        <v>1.0</v>
      </c>
    </row>
    <row r="1178" ht="15.75" customHeight="1">
      <c r="A1178" s="35" t="s">
        <v>3003</v>
      </c>
      <c r="B1178" s="36">
        <v>167.57493142744076</v>
      </c>
      <c r="C1178" s="36">
        <f>'Lista de Preço 02_2022'!$B1178*0.9*0.9*0.9*0.9*0.9*0.97</f>
        <v>95.98278162</v>
      </c>
      <c r="D1178" s="36">
        <f>'Lista de Preço 02_2022'!$C1178*1.1712</f>
        <v>112.4150338</v>
      </c>
      <c r="E1178" s="37">
        <v>3.25</v>
      </c>
      <c r="F1178" s="38">
        <v>0.18</v>
      </c>
      <c r="G1178" s="38" t="s">
        <v>22</v>
      </c>
      <c r="H1178" s="39" t="s">
        <v>23</v>
      </c>
      <c r="I1178" s="40" t="s">
        <v>3004</v>
      </c>
      <c r="J1178" s="41" t="s">
        <v>25</v>
      </c>
      <c r="K1178" s="42" t="s">
        <v>157</v>
      </c>
      <c r="L1178" s="43" t="s">
        <v>3005</v>
      </c>
      <c r="M1178" s="44">
        <v>8.708999E7</v>
      </c>
      <c r="N1178" s="44" t="s">
        <v>28</v>
      </c>
      <c r="O1178" s="45">
        <v>1.926</v>
      </c>
      <c r="P1178" s="44">
        <v>7.898233438546E12</v>
      </c>
      <c r="Q1178" s="44">
        <v>1.0</v>
      </c>
    </row>
    <row r="1179" ht="15.75" customHeight="1">
      <c r="A1179" s="35" t="s">
        <v>3006</v>
      </c>
      <c r="B1179" s="36">
        <v>372.3672521266951</v>
      </c>
      <c r="C1179" s="36">
        <f>'Lista de Preço 02_2022'!$B1179*0.9*0.9*0.9*0.9*0.9*0.97</f>
        <v>213.2827645</v>
      </c>
      <c r="D1179" s="36">
        <f>'Lista de Preço 02_2022'!$C1179*1.1712</f>
        <v>249.7967738</v>
      </c>
      <c r="E1179" s="37">
        <v>3.25</v>
      </c>
      <c r="F1179" s="38">
        <v>0.18</v>
      </c>
      <c r="G1179" s="38" t="s">
        <v>22</v>
      </c>
      <c r="H1179" s="39" t="s">
        <v>23</v>
      </c>
      <c r="I1179" s="40" t="s">
        <v>3007</v>
      </c>
      <c r="J1179" s="41" t="s">
        <v>25</v>
      </c>
      <c r="K1179" s="42" t="s">
        <v>1580</v>
      </c>
      <c r="L1179" s="43" t="s">
        <v>3008</v>
      </c>
      <c r="M1179" s="44">
        <v>8.708999E7</v>
      </c>
      <c r="N1179" s="44" t="s">
        <v>28</v>
      </c>
      <c r="O1179" s="45">
        <v>1.78</v>
      </c>
      <c r="P1179" s="44">
        <v>7.89823343898E12</v>
      </c>
      <c r="Q1179" s="44">
        <v>1.0</v>
      </c>
    </row>
    <row r="1180" ht="15.75" customHeight="1">
      <c r="A1180" s="35" t="s">
        <v>3009</v>
      </c>
      <c r="B1180" s="36">
        <v>203.64255194501723</v>
      </c>
      <c r="C1180" s="36">
        <f>'Lista de Preço 02_2022'!$B1180*0.9*0.9*0.9*0.9*0.9*0.97</f>
        <v>116.6414238</v>
      </c>
      <c r="D1180" s="36">
        <f>'Lista de Preço 02_2022'!$C1180*1.1712</f>
        <v>136.6104355</v>
      </c>
      <c r="E1180" s="37">
        <v>3.25</v>
      </c>
      <c r="F1180" s="38">
        <v>0.18</v>
      </c>
      <c r="G1180" s="38" t="s">
        <v>22</v>
      </c>
      <c r="H1180" s="39" t="s">
        <v>23</v>
      </c>
      <c r="I1180" s="40" t="s">
        <v>3010</v>
      </c>
      <c r="J1180" s="41" t="s">
        <v>25</v>
      </c>
      <c r="K1180" s="42" t="s">
        <v>282</v>
      </c>
      <c r="L1180" s="43" t="s">
        <v>3011</v>
      </c>
      <c r="M1180" s="44">
        <v>8.708999E7</v>
      </c>
      <c r="N1180" s="44" t="s">
        <v>28</v>
      </c>
      <c r="O1180" s="45">
        <v>1.914</v>
      </c>
      <c r="P1180" s="44">
        <v>7.89823343869E12</v>
      </c>
      <c r="Q1180" s="44">
        <v>1.0</v>
      </c>
    </row>
    <row r="1181" ht="15.75" customHeight="1">
      <c r="A1181" s="35" t="s">
        <v>3012</v>
      </c>
      <c r="B1181" s="36">
        <v>202.47888021961714</v>
      </c>
      <c r="C1181" s="36">
        <f>'Lista de Preço 02_2022'!$B1181*0.9*0.9*0.9*0.9*0.9*0.97</f>
        <v>115.9749014</v>
      </c>
      <c r="D1181" s="36">
        <f>'Lista de Preço 02_2022'!$C1181*1.1712</f>
        <v>135.8298045</v>
      </c>
      <c r="E1181" s="37">
        <v>3.25</v>
      </c>
      <c r="F1181" s="38">
        <v>0.18</v>
      </c>
      <c r="G1181" s="38" t="s">
        <v>22</v>
      </c>
      <c r="H1181" s="39" t="s">
        <v>23</v>
      </c>
      <c r="I1181" s="40" t="s">
        <v>3013</v>
      </c>
      <c r="J1181" s="41" t="s">
        <v>25</v>
      </c>
      <c r="K1181" s="42" t="s">
        <v>456</v>
      </c>
      <c r="L1181" s="43" t="s">
        <v>3014</v>
      </c>
      <c r="M1181" s="44">
        <v>8.708999E7</v>
      </c>
      <c r="N1181" s="44" t="s">
        <v>28</v>
      </c>
      <c r="O1181" s="45">
        <v>1.916</v>
      </c>
      <c r="P1181" s="44">
        <v>7.898233438997E12</v>
      </c>
      <c r="Q1181" s="44">
        <v>1.0</v>
      </c>
    </row>
    <row r="1182" ht="15.75" customHeight="1">
      <c r="A1182" s="35" t="s">
        <v>3015</v>
      </c>
      <c r="B1182" s="36">
        <v>242.04914915202</v>
      </c>
      <c r="C1182" s="36">
        <f>'Lista de Preço 02_2022'!$B1182*0.9*0.9*0.9*0.9*0.9*0.97</f>
        <v>138.639774</v>
      </c>
      <c r="D1182" s="36">
        <f>'Lista de Preço 02_2022'!$C1182*1.1712</f>
        <v>162.3749033</v>
      </c>
      <c r="E1182" s="37">
        <v>3.25</v>
      </c>
      <c r="F1182" s="38">
        <v>0.18</v>
      </c>
      <c r="G1182" s="38" t="s">
        <v>22</v>
      </c>
      <c r="H1182" s="39" t="s">
        <v>23</v>
      </c>
      <c r="I1182" s="40" t="s">
        <v>3016</v>
      </c>
      <c r="J1182" s="41" t="s">
        <v>25</v>
      </c>
      <c r="K1182" s="42" t="s">
        <v>153</v>
      </c>
      <c r="L1182" s="43" t="s">
        <v>3017</v>
      </c>
      <c r="M1182" s="44">
        <v>8.708999E7</v>
      </c>
      <c r="N1182" s="44" t="s">
        <v>28</v>
      </c>
      <c r="O1182" s="45">
        <v>1.89</v>
      </c>
      <c r="P1182" s="44">
        <v>7.898233439E12</v>
      </c>
      <c r="Q1182" s="44">
        <v>1.0</v>
      </c>
    </row>
    <row r="1183" ht="15.75" customHeight="1">
      <c r="A1183" s="35" t="s">
        <v>3018</v>
      </c>
      <c r="B1183" s="36">
        <v>187.07685007041297</v>
      </c>
      <c r="C1183" s="36">
        <f>'Lista de Preço 02_2022'!$B1183*0.9*0.9*0.9*0.9*0.9*0.97</f>
        <v>107.1529989</v>
      </c>
      <c r="D1183" s="36">
        <f>'Lista de Preço 02_2022'!$C1183*1.1712</f>
        <v>125.4975923</v>
      </c>
      <c r="E1183" s="37">
        <v>3.25</v>
      </c>
      <c r="F1183" s="38">
        <v>0.18</v>
      </c>
      <c r="G1183" s="38" t="s">
        <v>22</v>
      </c>
      <c r="H1183" s="39" t="s">
        <v>525</v>
      </c>
      <c r="I1183" s="40" t="s">
        <v>3019</v>
      </c>
      <c r="J1183" s="41" t="s">
        <v>527</v>
      </c>
      <c r="K1183" s="42" t="s">
        <v>26</v>
      </c>
      <c r="L1183" s="43" t="s">
        <v>3020</v>
      </c>
      <c r="M1183" s="44">
        <v>8.708999E7</v>
      </c>
      <c r="N1183" s="44" t="s">
        <v>28</v>
      </c>
      <c r="O1183" s="45">
        <v>4.736</v>
      </c>
      <c r="P1183" s="44">
        <v>7.898233430397E12</v>
      </c>
      <c r="Q1183" s="44">
        <v>1.0</v>
      </c>
    </row>
    <row r="1184" ht="15.75" customHeight="1">
      <c r="A1184" s="35" t="s">
        <v>3021</v>
      </c>
      <c r="B1184" s="36">
        <v>182.69646088781545</v>
      </c>
      <c r="C1184" s="36">
        <f>'Lista de Preço 02_2022'!$B1184*0.9*0.9*0.9*0.9*0.9*0.97</f>
        <v>104.6440202</v>
      </c>
      <c r="D1184" s="36">
        <f>'Lista de Preço 02_2022'!$C1184*1.1712</f>
        <v>122.5590765</v>
      </c>
      <c r="E1184" s="37">
        <v>3.25</v>
      </c>
      <c r="F1184" s="38">
        <v>0.18</v>
      </c>
      <c r="G1184" s="38" t="s">
        <v>22</v>
      </c>
      <c r="H1184" s="39" t="s">
        <v>23</v>
      </c>
      <c r="I1184" s="40" t="s">
        <v>3022</v>
      </c>
      <c r="J1184" s="41" t="s">
        <v>25</v>
      </c>
      <c r="K1184" s="42" t="s">
        <v>3023</v>
      </c>
      <c r="L1184" s="43" t="s">
        <v>3024</v>
      </c>
      <c r="M1184" s="44">
        <v>8.708999E7</v>
      </c>
      <c r="N1184" s="44" t="s">
        <v>28</v>
      </c>
      <c r="O1184" s="45">
        <v>1.914</v>
      </c>
      <c r="P1184" s="44">
        <v>7.898233438553E12</v>
      </c>
      <c r="Q1184" s="44">
        <v>1.0</v>
      </c>
    </row>
    <row r="1185" ht="15.75" customHeight="1">
      <c r="A1185" s="35" t="s">
        <v>3025</v>
      </c>
      <c r="B1185" s="36">
        <v>146.620572321929</v>
      </c>
      <c r="C1185" s="36">
        <f>'Lista de Preço 02_2022'!$B1185*0.9*0.9*0.9*0.9*0.9*0.97</f>
        <v>83.9806423</v>
      </c>
      <c r="D1185" s="36">
        <f>'Lista de Preço 02_2022'!$C1185*1.1712</f>
        <v>98.35812826</v>
      </c>
      <c r="E1185" s="37">
        <v>3.25</v>
      </c>
      <c r="F1185" s="38">
        <v>0.18</v>
      </c>
      <c r="G1185" s="38" t="s">
        <v>22</v>
      </c>
      <c r="H1185" s="39" t="s">
        <v>23</v>
      </c>
      <c r="I1185" s="40" t="s">
        <v>3026</v>
      </c>
      <c r="J1185" s="41" t="s">
        <v>25</v>
      </c>
      <c r="K1185" s="42" t="s">
        <v>157</v>
      </c>
      <c r="L1185" s="43" t="s">
        <v>3027</v>
      </c>
      <c r="M1185" s="44">
        <v>8.708999E7</v>
      </c>
      <c r="N1185" s="44" t="s">
        <v>28</v>
      </c>
      <c r="O1185" s="45">
        <v>1.876</v>
      </c>
      <c r="P1185" s="44">
        <v>7.89823343856E12</v>
      </c>
      <c r="Q1185" s="44">
        <v>1.0</v>
      </c>
    </row>
    <row r="1186" ht="15.75" customHeight="1">
      <c r="A1186" s="35" t="s">
        <v>3028</v>
      </c>
      <c r="B1186" s="36">
        <v>508.0389049997761</v>
      </c>
      <c r="C1186" s="36">
        <f>'Lista de Preço 02_2022'!$B1186*0.9*0.9*0.9*0.9*0.9*0.97</f>
        <v>290.9921362</v>
      </c>
      <c r="D1186" s="36">
        <f>'Lista de Preço 02_2022'!$C1186*1.1712</f>
        <v>340.8099899</v>
      </c>
      <c r="E1186" s="37">
        <v>3.25</v>
      </c>
      <c r="F1186" s="38">
        <v>0.18</v>
      </c>
      <c r="G1186" s="38" t="s">
        <v>22</v>
      </c>
      <c r="H1186" s="39" t="s">
        <v>23</v>
      </c>
      <c r="I1186" s="40" t="s">
        <v>3029</v>
      </c>
      <c r="J1186" s="41" t="s">
        <v>25</v>
      </c>
      <c r="K1186" s="42" t="s">
        <v>294</v>
      </c>
      <c r="L1186" s="43" t="s">
        <v>3030</v>
      </c>
      <c r="M1186" s="44">
        <v>8.708999E7</v>
      </c>
      <c r="N1186" s="44" t="s">
        <v>28</v>
      </c>
      <c r="O1186" s="45">
        <v>2.602</v>
      </c>
      <c r="P1186" s="44">
        <v>7.898233439291E12</v>
      </c>
      <c r="Q1186" s="44">
        <v>1.0</v>
      </c>
    </row>
    <row r="1187" ht="15.75" customHeight="1">
      <c r="A1187" s="35" t="s">
        <v>3031</v>
      </c>
      <c r="B1187" s="36">
        <v>573.0741549293995</v>
      </c>
      <c r="C1187" s="36">
        <f>'Lista de Preço 02_2022'!$B1187*0.9*0.9*0.9*0.9*0.9*0.97</f>
        <v>328.242721</v>
      </c>
      <c r="D1187" s="36">
        <f>'Lista de Preço 02_2022'!$C1187*1.1712</f>
        <v>384.4378748</v>
      </c>
      <c r="E1187" s="37">
        <v>3.25</v>
      </c>
      <c r="F1187" s="38">
        <v>0.18</v>
      </c>
      <c r="G1187" s="38" t="s">
        <v>22</v>
      </c>
      <c r="H1187" s="39" t="s">
        <v>23</v>
      </c>
      <c r="I1187" s="40" t="s">
        <v>3032</v>
      </c>
      <c r="J1187" s="41" t="s">
        <v>25</v>
      </c>
      <c r="K1187" s="42" t="s">
        <v>294</v>
      </c>
      <c r="L1187" s="43" t="s">
        <v>3033</v>
      </c>
      <c r="M1187" s="44">
        <v>8.708999E7</v>
      </c>
      <c r="N1187" s="44" t="s">
        <v>28</v>
      </c>
      <c r="O1187" s="45">
        <v>3.294</v>
      </c>
      <c r="P1187" s="44">
        <v>7.898233439307E12</v>
      </c>
      <c r="Q1187" s="44">
        <v>1.0</v>
      </c>
    </row>
    <row r="1188" ht="15.75" customHeight="1">
      <c r="A1188" s="35" t="s">
        <v>3034</v>
      </c>
      <c r="B1188" s="36">
        <v>430.34233659340003</v>
      </c>
      <c r="C1188" s="36">
        <f>'Lista de Preço 02_2022'!$B1188*0.9*0.9*0.9*0.9*0.9*0.97</f>
        <v>246.4894609</v>
      </c>
      <c r="D1188" s="36">
        <f>'Lista de Preço 02_2022'!$C1188*1.1712</f>
        <v>288.6884567</v>
      </c>
      <c r="E1188" s="37">
        <v>3.25</v>
      </c>
      <c r="F1188" s="38">
        <v>0.18</v>
      </c>
      <c r="G1188" s="38" t="s">
        <v>22</v>
      </c>
      <c r="H1188" s="39" t="s">
        <v>23</v>
      </c>
      <c r="I1188" s="40" t="s">
        <v>3035</v>
      </c>
      <c r="J1188" s="41" t="s">
        <v>25</v>
      </c>
      <c r="K1188" s="42" t="s">
        <v>294</v>
      </c>
      <c r="L1188" s="43" t="s">
        <v>3036</v>
      </c>
      <c r="M1188" s="44">
        <v>8.708999E7</v>
      </c>
      <c r="N1188" s="44" t="s">
        <v>28</v>
      </c>
      <c r="O1188" s="45">
        <v>3.14</v>
      </c>
      <c r="P1188" s="44">
        <v>7.898233438737E12</v>
      </c>
      <c r="Q1188" s="44">
        <v>1.0</v>
      </c>
    </row>
    <row r="1189" ht="15.75" customHeight="1">
      <c r="A1189" s="35" t="s">
        <v>3037</v>
      </c>
      <c r="B1189" s="36">
        <v>471.2612480677182</v>
      </c>
      <c r="C1189" s="36">
        <f>'Lista de Preço 02_2022'!$B1189*0.9*0.9*0.9*0.9*0.9*0.97</f>
        <v>269.9268027</v>
      </c>
      <c r="D1189" s="36">
        <f>'Lista de Preço 02_2022'!$C1189*1.1712</f>
        <v>316.1382714</v>
      </c>
      <c r="E1189" s="37">
        <v>3.25</v>
      </c>
      <c r="F1189" s="38">
        <v>0.18</v>
      </c>
      <c r="G1189" s="38" t="s">
        <v>22</v>
      </c>
      <c r="H1189" s="39" t="s">
        <v>23</v>
      </c>
      <c r="I1189" s="40" t="s">
        <v>3035</v>
      </c>
      <c r="J1189" s="41" t="s">
        <v>25</v>
      </c>
      <c r="K1189" s="42" t="s">
        <v>294</v>
      </c>
      <c r="L1189" s="43" t="s">
        <v>3038</v>
      </c>
      <c r="M1189" s="44">
        <v>8.708999E7</v>
      </c>
      <c r="N1189" s="44" t="s">
        <v>28</v>
      </c>
      <c r="O1189" s="45">
        <v>2.738</v>
      </c>
      <c r="P1189" s="44">
        <v>7.898233438744E12</v>
      </c>
      <c r="Q1189" s="44">
        <v>1.0</v>
      </c>
    </row>
    <row r="1190" ht="15.75" customHeight="1">
      <c r="A1190" s="35" t="s">
        <v>3039</v>
      </c>
      <c r="B1190" s="36">
        <v>105.13287451391771</v>
      </c>
      <c r="C1190" s="36">
        <f>'Lista de Preço 02_2022'!$B1190*0.9*0.9*0.9*0.9*0.9*0.97</f>
        <v>60.21751374</v>
      </c>
      <c r="D1190" s="36">
        <f>'Lista de Preço 02_2022'!$C1190*1.1712</f>
        <v>70.52675209</v>
      </c>
      <c r="E1190" s="37">
        <v>3.25</v>
      </c>
      <c r="F1190" s="38">
        <v>0.18</v>
      </c>
      <c r="G1190" s="38" t="s">
        <v>22</v>
      </c>
      <c r="H1190" s="39" t="s">
        <v>525</v>
      </c>
      <c r="I1190" s="40" t="s">
        <v>3040</v>
      </c>
      <c r="J1190" s="41" t="s">
        <v>527</v>
      </c>
      <c r="K1190" s="42" t="s">
        <v>26</v>
      </c>
      <c r="L1190" s="43" t="s">
        <v>3041</v>
      </c>
      <c r="M1190" s="44">
        <v>8.708999E7</v>
      </c>
      <c r="N1190" s="44" t="s">
        <v>28</v>
      </c>
      <c r="O1190" s="45">
        <v>2.002</v>
      </c>
      <c r="P1190" s="44">
        <v>7.898233430403E12</v>
      </c>
      <c r="Q1190" s="44">
        <v>1.0</v>
      </c>
    </row>
    <row r="1191" ht="15.75" customHeight="1">
      <c r="A1191" s="50" t="s">
        <v>3042</v>
      </c>
      <c r="B1191" s="36">
        <v>128.9</v>
      </c>
      <c r="C1191" s="36">
        <f>'Lista de Preço 02_2022'!$B1191*0.9*0.9*0.9*0.9*0.9*0.97</f>
        <v>73.83073617</v>
      </c>
      <c r="D1191" s="36">
        <f>'Lista de Preço 02_2022'!$C1191*1.1712</f>
        <v>86.4705582</v>
      </c>
      <c r="E1191" s="52">
        <v>3.25</v>
      </c>
      <c r="F1191" s="53">
        <v>0.18</v>
      </c>
      <c r="G1191" s="53" t="s">
        <v>22</v>
      </c>
      <c r="H1191" s="54" t="s">
        <v>65</v>
      </c>
      <c r="I1191" s="55" t="s">
        <v>3043</v>
      </c>
      <c r="J1191" s="56" t="s">
        <v>3044</v>
      </c>
      <c r="K1191" s="57" t="s">
        <v>73</v>
      </c>
      <c r="L1191" s="58" t="s">
        <v>3045</v>
      </c>
      <c r="M1191" s="59">
        <v>8.708999E7</v>
      </c>
      <c r="N1191" s="59" t="s">
        <v>28</v>
      </c>
      <c r="O1191" s="60">
        <v>0.895</v>
      </c>
      <c r="P1191" s="59">
        <v>7.899823512196E12</v>
      </c>
      <c r="Q1191" s="59">
        <v>1.0</v>
      </c>
    </row>
    <row r="1192" ht="15.75" customHeight="1">
      <c r="A1192" s="35" t="s">
        <v>3046</v>
      </c>
      <c r="B1192" s="36">
        <v>165.54960993681794</v>
      </c>
      <c r="C1192" s="36">
        <f>'Lista de Preço 02_2022'!$B1192*0.9*0.9*0.9*0.9*0.9*0.97</f>
        <v>94.8227275</v>
      </c>
      <c r="D1192" s="36">
        <f>'Lista de Preço 02_2022'!$C1192*1.1712</f>
        <v>111.0563784</v>
      </c>
      <c r="E1192" s="37">
        <v>3.25</v>
      </c>
      <c r="F1192" s="38">
        <v>0.18</v>
      </c>
      <c r="G1192" s="38" t="s">
        <v>22</v>
      </c>
      <c r="H1192" s="39" t="s">
        <v>23</v>
      </c>
      <c r="I1192" s="40" t="s">
        <v>3047</v>
      </c>
      <c r="J1192" s="41" t="s">
        <v>1391</v>
      </c>
      <c r="K1192" s="42" t="s">
        <v>507</v>
      </c>
      <c r="L1192" s="43">
        <v>5.175039603E9</v>
      </c>
      <c r="M1192" s="44">
        <v>8.708999E7</v>
      </c>
      <c r="N1192" s="44" t="s">
        <v>28</v>
      </c>
      <c r="O1192" s="45">
        <v>2.084</v>
      </c>
      <c r="P1192" s="44">
        <v>7.898233439024E12</v>
      </c>
      <c r="Q1192" s="44">
        <v>1.0</v>
      </c>
    </row>
    <row r="1193" ht="15.75" customHeight="1">
      <c r="A1193" s="35" t="s">
        <v>3048</v>
      </c>
      <c r="B1193" s="36">
        <v>153.66064129374217</v>
      </c>
      <c r="C1193" s="36">
        <f>'Lista de Preço 02_2022'!$B1193*0.9*0.9*0.9*0.9*0.9*0.97</f>
        <v>88.01301992</v>
      </c>
      <c r="D1193" s="36">
        <f>'Lista de Preço 02_2022'!$C1193*1.1712</f>
        <v>103.0808489</v>
      </c>
      <c r="E1193" s="37">
        <v>3.25</v>
      </c>
      <c r="F1193" s="38">
        <v>0.18</v>
      </c>
      <c r="G1193" s="38" t="s">
        <v>22</v>
      </c>
      <c r="H1193" s="39" t="s">
        <v>23</v>
      </c>
      <c r="I1193" s="40" t="s">
        <v>3049</v>
      </c>
      <c r="J1193" s="41" t="s">
        <v>25</v>
      </c>
      <c r="K1193" s="42" t="s">
        <v>507</v>
      </c>
      <c r="L1193" s="43" t="s">
        <v>3050</v>
      </c>
      <c r="M1193" s="44">
        <v>8.708999E7</v>
      </c>
      <c r="N1193" s="44" t="s">
        <v>28</v>
      </c>
      <c r="O1193" s="45">
        <v>2.068</v>
      </c>
      <c r="P1193" s="44">
        <v>7.898233439031E12</v>
      </c>
      <c r="Q1193" s="44">
        <v>1.0</v>
      </c>
    </row>
    <row r="1194" ht="15.75" customHeight="1">
      <c r="A1194" s="35" t="s">
        <v>3051</v>
      </c>
      <c r="B1194" s="36">
        <v>454.53769607539607</v>
      </c>
      <c r="C1194" s="36">
        <f>'Lista de Preço 02_2022'!$B1194*0.9*0.9*0.9*0.9*0.9*0.97</f>
        <v>260.3479652</v>
      </c>
      <c r="D1194" s="36">
        <f>'Lista de Preço 02_2022'!$C1194*1.1712</f>
        <v>304.9195369</v>
      </c>
      <c r="E1194" s="37">
        <v>3.25</v>
      </c>
      <c r="F1194" s="38">
        <v>0.18</v>
      </c>
      <c r="G1194" s="38" t="s">
        <v>22</v>
      </c>
      <c r="H1194" s="39" t="s">
        <v>23</v>
      </c>
      <c r="I1194" s="40" t="s">
        <v>3052</v>
      </c>
      <c r="J1194" s="41" t="s">
        <v>25</v>
      </c>
      <c r="K1194" s="42" t="s">
        <v>507</v>
      </c>
      <c r="L1194" s="43" t="s">
        <v>3053</v>
      </c>
      <c r="M1194" s="44">
        <v>8.708999E7</v>
      </c>
      <c r="N1194" s="44" t="s">
        <v>28</v>
      </c>
      <c r="O1194" s="45">
        <v>3.28</v>
      </c>
      <c r="P1194" s="44">
        <v>7.898233439321E12</v>
      </c>
      <c r="Q1194" s="44">
        <v>1.0</v>
      </c>
    </row>
    <row r="1195" ht="15.75" customHeight="1">
      <c r="A1195" s="35" t="s">
        <v>3054</v>
      </c>
      <c r="B1195" s="36">
        <v>536.9646809686213</v>
      </c>
      <c r="C1195" s="36">
        <f>'Lista de Preço 02_2022'!$B1195*0.9*0.9*0.9*0.9*0.9*0.97</f>
        <v>307.5601062</v>
      </c>
      <c r="D1195" s="36">
        <f>'Lista de Preço 02_2022'!$C1195*1.1712</f>
        <v>360.2143964</v>
      </c>
      <c r="E1195" s="37">
        <v>3.25</v>
      </c>
      <c r="F1195" s="38">
        <v>0.18</v>
      </c>
      <c r="G1195" s="38" t="s">
        <v>22</v>
      </c>
      <c r="H1195" s="39" t="s">
        <v>23</v>
      </c>
      <c r="I1195" s="40" t="s">
        <v>3055</v>
      </c>
      <c r="J1195" s="41" t="s">
        <v>25</v>
      </c>
      <c r="K1195" s="42" t="s">
        <v>507</v>
      </c>
      <c r="L1195" s="43" t="s">
        <v>3056</v>
      </c>
      <c r="M1195" s="44">
        <v>8.708999E7</v>
      </c>
      <c r="N1195" s="44" t="s">
        <v>28</v>
      </c>
      <c r="O1195" s="45">
        <v>3.646</v>
      </c>
      <c r="P1195" s="44">
        <v>7.89823343926E12</v>
      </c>
      <c r="Q1195" s="44">
        <v>1.0</v>
      </c>
    </row>
    <row r="1196" ht="15.75" customHeight="1">
      <c r="A1196" s="35" t="s">
        <v>3057</v>
      </c>
      <c r="B1196" s="36">
        <v>301.000056981061</v>
      </c>
      <c r="C1196" s="36">
        <f>'Lista de Preço 02_2022'!$B1196*0.9*0.9*0.9*0.9*0.9*0.97</f>
        <v>172.4053979</v>
      </c>
      <c r="D1196" s="36">
        <f>'Lista de Preço 02_2022'!$C1196*1.1712</f>
        <v>201.9212021</v>
      </c>
      <c r="E1196" s="37">
        <v>3.25</v>
      </c>
      <c r="F1196" s="38">
        <v>0.18</v>
      </c>
      <c r="G1196" s="38" t="s">
        <v>22</v>
      </c>
      <c r="H1196" s="39" t="s">
        <v>23</v>
      </c>
      <c r="I1196" s="40" t="s">
        <v>3058</v>
      </c>
      <c r="J1196" s="41" t="s">
        <v>500</v>
      </c>
      <c r="K1196" s="42" t="s">
        <v>3059</v>
      </c>
      <c r="L1196" s="43" t="s">
        <v>3060</v>
      </c>
      <c r="M1196" s="44">
        <v>8.708999E7</v>
      </c>
      <c r="N1196" s="44" t="s">
        <v>28</v>
      </c>
      <c r="O1196" s="45">
        <v>1.544</v>
      </c>
      <c r="P1196" s="44">
        <v>7.898233438577E12</v>
      </c>
      <c r="Q1196" s="44">
        <v>1.0</v>
      </c>
    </row>
    <row r="1197" ht="15.75" customHeight="1">
      <c r="A1197" s="35" t="s">
        <v>3061</v>
      </c>
      <c r="B1197" s="36">
        <v>132.7175329599069</v>
      </c>
      <c r="C1197" s="36">
        <f>'Lista de Preço 02_2022'!$B1197*0.9*0.9*0.9*0.9*0.9*0.97</f>
        <v>76.01732476</v>
      </c>
      <c r="D1197" s="36">
        <f>'Lista de Preço 02_2022'!$C1197*1.1712</f>
        <v>89.03149075</v>
      </c>
      <c r="E1197" s="37">
        <v>3.25</v>
      </c>
      <c r="F1197" s="38">
        <v>0.18</v>
      </c>
      <c r="G1197" s="38" t="s">
        <v>22</v>
      </c>
      <c r="H1197" s="39" t="s">
        <v>23</v>
      </c>
      <c r="I1197" s="40" t="s">
        <v>3062</v>
      </c>
      <c r="J1197" s="41" t="s">
        <v>25</v>
      </c>
      <c r="K1197" s="42" t="s">
        <v>73</v>
      </c>
      <c r="L1197" s="43">
        <v>3.115015812E9</v>
      </c>
      <c r="M1197" s="44">
        <v>8.708999E7</v>
      </c>
      <c r="N1197" s="44" t="s">
        <v>28</v>
      </c>
      <c r="O1197" s="45">
        <v>2.362</v>
      </c>
      <c r="P1197" s="44">
        <v>7.898233439406E12</v>
      </c>
      <c r="Q1197" s="44">
        <v>1.0</v>
      </c>
    </row>
    <row r="1198" ht="15.75" customHeight="1">
      <c r="A1198" s="35" t="s">
        <v>3063</v>
      </c>
      <c r="B1198" s="36">
        <v>253.61963620479432</v>
      </c>
      <c r="C1198" s="36">
        <f>'Lista de Preço 02_2022'!$B1198*0.9*0.9*0.9*0.9*0.9*0.97</f>
        <v>145.2670632</v>
      </c>
      <c r="D1198" s="36">
        <f>'Lista de Preço 02_2022'!$C1198*1.1712</f>
        <v>170.1367844</v>
      </c>
      <c r="E1198" s="37">
        <v>3.25</v>
      </c>
      <c r="F1198" s="38">
        <v>0.18</v>
      </c>
      <c r="G1198" s="38" t="s">
        <v>22</v>
      </c>
      <c r="H1198" s="39" t="s">
        <v>23</v>
      </c>
      <c r="I1198" s="40" t="s">
        <v>3064</v>
      </c>
      <c r="J1198" s="41" t="s">
        <v>25</v>
      </c>
      <c r="K1198" s="42" t="s">
        <v>73</v>
      </c>
      <c r="L1198" s="43" t="s">
        <v>3065</v>
      </c>
      <c r="M1198" s="44">
        <v>8.708999E7</v>
      </c>
      <c r="N1198" s="44" t="s">
        <v>28</v>
      </c>
      <c r="O1198" s="45">
        <v>1.538</v>
      </c>
      <c r="P1198" s="44">
        <v>7.898233438225E12</v>
      </c>
      <c r="Q1198" s="44">
        <v>1.0</v>
      </c>
    </row>
    <row r="1199" ht="15.75" customHeight="1">
      <c r="A1199" s="35" t="s">
        <v>3066</v>
      </c>
      <c r="B1199" s="36">
        <v>604.1783598277311</v>
      </c>
      <c r="C1199" s="36">
        <f>'Lista de Preço 02_2022'!$B1199*0.9*0.9*0.9*0.9*0.9*0.97</f>
        <v>346.0584413</v>
      </c>
      <c r="D1199" s="36">
        <f>'Lista de Preço 02_2022'!$C1199*1.1712</f>
        <v>405.3036465</v>
      </c>
      <c r="E1199" s="37">
        <v>3.25</v>
      </c>
      <c r="F1199" s="38">
        <v>0.18</v>
      </c>
      <c r="G1199" s="38" t="s">
        <v>22</v>
      </c>
      <c r="H1199" s="39" t="s">
        <v>23</v>
      </c>
      <c r="I1199" s="40" t="s">
        <v>3067</v>
      </c>
      <c r="J1199" s="41" t="s">
        <v>500</v>
      </c>
      <c r="K1199" s="42" t="s">
        <v>282</v>
      </c>
      <c r="L1199" s="43" t="s">
        <v>3068</v>
      </c>
      <c r="M1199" s="44">
        <v>8.708999E7</v>
      </c>
      <c r="N1199" s="44" t="s">
        <v>28</v>
      </c>
      <c r="O1199" s="45">
        <v>4.952</v>
      </c>
      <c r="P1199" s="44">
        <v>7.898233438232E12</v>
      </c>
      <c r="Q1199" s="44">
        <v>1.0</v>
      </c>
    </row>
    <row r="1200" ht="15.75" customHeight="1">
      <c r="A1200" s="35" t="s">
        <v>3069</v>
      </c>
      <c r="B1200" s="36">
        <v>224.98441404747</v>
      </c>
      <c r="C1200" s="36">
        <f>'Lista de Preço 02_2022'!$B1200*0.9*0.9*0.9*0.9*0.9*0.97</f>
        <v>128.8655153</v>
      </c>
      <c r="D1200" s="36">
        <f>'Lista de Preço 02_2022'!$C1200*1.1712</f>
        <v>150.9272915</v>
      </c>
      <c r="E1200" s="37">
        <v>3.25</v>
      </c>
      <c r="F1200" s="38">
        <v>0.18</v>
      </c>
      <c r="G1200" s="38" t="s">
        <v>22</v>
      </c>
      <c r="H1200" s="39" t="s">
        <v>23</v>
      </c>
      <c r="I1200" s="40" t="s">
        <v>3070</v>
      </c>
      <c r="J1200" s="41" t="s">
        <v>25</v>
      </c>
      <c r="K1200" s="42" t="s">
        <v>1904</v>
      </c>
      <c r="L1200" s="43">
        <v>4569599.0</v>
      </c>
      <c r="M1200" s="44">
        <v>8.708999E7</v>
      </c>
      <c r="N1200" s="44" t="s">
        <v>28</v>
      </c>
      <c r="O1200" s="45">
        <v>1.866</v>
      </c>
      <c r="P1200" s="44">
        <v>7.898233438171E12</v>
      </c>
      <c r="Q1200" s="44">
        <v>1.0</v>
      </c>
    </row>
    <row r="1201" ht="15.75" customHeight="1">
      <c r="A1201" s="35" t="s">
        <v>3071</v>
      </c>
      <c r="B1201" s="36">
        <v>390.38559242634005</v>
      </c>
      <c r="C1201" s="36">
        <f>'Lista de Preço 02_2022'!$B1201*0.9*0.9*0.9*0.9*0.9*0.97</f>
        <v>223.6032248</v>
      </c>
      <c r="D1201" s="36">
        <f>'Lista de Preço 02_2022'!$C1201*1.1712</f>
        <v>261.8840969</v>
      </c>
      <c r="E1201" s="37">
        <v>3.25</v>
      </c>
      <c r="F1201" s="38">
        <v>0.18</v>
      </c>
      <c r="G1201" s="38" t="s">
        <v>22</v>
      </c>
      <c r="H1201" s="39" t="s">
        <v>23</v>
      </c>
      <c r="I1201" s="40" t="s">
        <v>911</v>
      </c>
      <c r="J1201" s="41" t="s">
        <v>25</v>
      </c>
      <c r="K1201" s="42" t="s">
        <v>157</v>
      </c>
      <c r="L1201" s="43" t="s">
        <v>593</v>
      </c>
      <c r="M1201" s="44">
        <v>8.708999E7</v>
      </c>
      <c r="N1201" s="44" t="s">
        <v>28</v>
      </c>
      <c r="O1201" s="45">
        <v>3.142</v>
      </c>
      <c r="P1201" s="44">
        <v>7.899823505907E12</v>
      </c>
      <c r="Q1201" s="44">
        <v>1.0</v>
      </c>
    </row>
    <row r="1202" ht="15.75" customHeight="1">
      <c r="A1202" s="35" t="s">
        <v>3072</v>
      </c>
      <c r="B1202" s="36">
        <v>162.9191130970725</v>
      </c>
      <c r="C1202" s="36">
        <f>'Lista de Preço 02_2022'!$B1202*0.9*0.9*0.9*0.9*0.9*0.97</f>
        <v>93.31604388</v>
      </c>
      <c r="D1202" s="36">
        <f>'Lista de Preço 02_2022'!$C1202*1.1712</f>
        <v>109.2917506</v>
      </c>
      <c r="E1202" s="37">
        <v>3.25</v>
      </c>
      <c r="F1202" s="38">
        <v>0.18</v>
      </c>
      <c r="G1202" s="38" t="s">
        <v>22</v>
      </c>
      <c r="H1202" s="39" t="s">
        <v>23</v>
      </c>
      <c r="I1202" s="40" t="s">
        <v>3073</v>
      </c>
      <c r="J1202" s="41" t="s">
        <v>25</v>
      </c>
      <c r="K1202" s="42" t="s">
        <v>507</v>
      </c>
      <c r="L1202" s="43" t="s">
        <v>3074</v>
      </c>
      <c r="M1202" s="44">
        <v>8.708999E7</v>
      </c>
      <c r="N1202" s="44" t="s">
        <v>28</v>
      </c>
      <c r="O1202" s="45">
        <v>1.804</v>
      </c>
      <c r="P1202" s="44">
        <v>7.898233438188E12</v>
      </c>
      <c r="Q1202" s="44">
        <v>1.0</v>
      </c>
    </row>
    <row r="1203" ht="15.75" customHeight="1">
      <c r="A1203" s="35" t="s">
        <v>3075</v>
      </c>
      <c r="B1203" s="36">
        <v>746.6161048533916</v>
      </c>
      <c r="C1203" s="36">
        <f>'Lista de Preço 02_2022'!$B1203*0.9*0.9*0.9*0.9*0.9*0.97</f>
        <v>427.6432634</v>
      </c>
      <c r="D1203" s="36">
        <f>'Lista de Preço 02_2022'!$C1203*1.1712</f>
        <v>500.8557901</v>
      </c>
      <c r="E1203" s="37">
        <v>3.25</v>
      </c>
      <c r="F1203" s="38">
        <v>0.18</v>
      </c>
      <c r="G1203" s="38" t="s">
        <v>22</v>
      </c>
      <c r="H1203" s="39" t="s">
        <v>23</v>
      </c>
      <c r="I1203" s="40" t="s">
        <v>3076</v>
      </c>
      <c r="J1203" s="41" t="s">
        <v>500</v>
      </c>
      <c r="K1203" s="42" t="s">
        <v>294</v>
      </c>
      <c r="L1203" s="43" t="s">
        <v>3077</v>
      </c>
      <c r="M1203" s="44">
        <v>8.708999E7</v>
      </c>
      <c r="N1203" s="44" t="s">
        <v>28</v>
      </c>
      <c r="O1203" s="45">
        <v>5.462</v>
      </c>
      <c r="P1203" s="44">
        <v>7.898233438195E12</v>
      </c>
      <c r="Q1203" s="44">
        <v>1.0</v>
      </c>
    </row>
    <row r="1204" ht="15.75" customHeight="1">
      <c r="A1204" s="35" t="s">
        <v>3078</v>
      </c>
      <c r="B1204" s="36">
        <v>782.9434610745287</v>
      </c>
      <c r="C1204" s="36">
        <f>'Lista de Preço 02_2022'!$B1204*0.9*0.9*0.9*0.9*0.9*0.97</f>
        <v>448.4506758</v>
      </c>
      <c r="D1204" s="36">
        <f>'Lista de Preço 02_2022'!$C1204*1.1712</f>
        <v>525.2254315</v>
      </c>
      <c r="E1204" s="37">
        <v>3.25</v>
      </c>
      <c r="F1204" s="38">
        <v>0.18</v>
      </c>
      <c r="G1204" s="38" t="s">
        <v>22</v>
      </c>
      <c r="H1204" s="39" t="s">
        <v>23</v>
      </c>
      <c r="I1204" s="40" t="s">
        <v>3079</v>
      </c>
      <c r="J1204" s="41" t="s">
        <v>500</v>
      </c>
      <c r="K1204" s="42" t="s">
        <v>294</v>
      </c>
      <c r="L1204" s="43" t="s">
        <v>3080</v>
      </c>
      <c r="M1204" s="44">
        <v>8.708999E7</v>
      </c>
      <c r="N1204" s="44" t="s">
        <v>28</v>
      </c>
      <c r="O1204" s="45">
        <v>4.986</v>
      </c>
      <c r="P1204" s="44">
        <v>7.898233438201E12</v>
      </c>
      <c r="Q1204" s="44">
        <v>1.0</v>
      </c>
    </row>
    <row r="1205" ht="15.75" customHeight="1">
      <c r="A1205" s="35" t="s">
        <v>3081</v>
      </c>
      <c r="B1205" s="36">
        <v>98.69068122079743</v>
      </c>
      <c r="C1205" s="36">
        <f>'Lista de Preço 02_2022'!$B1205*0.9*0.9*0.9*0.9*0.9*0.97</f>
        <v>56.52758454</v>
      </c>
      <c r="D1205" s="36">
        <f>'Lista de Preço 02_2022'!$C1205*1.1712</f>
        <v>66.20510702</v>
      </c>
      <c r="E1205" s="37">
        <v>3.25</v>
      </c>
      <c r="F1205" s="38">
        <v>0.18</v>
      </c>
      <c r="G1205" s="38" t="s">
        <v>22</v>
      </c>
      <c r="H1205" s="39" t="s">
        <v>23</v>
      </c>
      <c r="I1205" s="40" t="s">
        <v>3082</v>
      </c>
      <c r="J1205" s="41" t="s">
        <v>25</v>
      </c>
      <c r="K1205" s="42" t="s">
        <v>95</v>
      </c>
      <c r="L1205" s="43">
        <v>5.1805818E7</v>
      </c>
      <c r="M1205" s="44">
        <v>8.708999E7</v>
      </c>
      <c r="N1205" s="44" t="s">
        <v>28</v>
      </c>
      <c r="O1205" s="45">
        <v>1.344</v>
      </c>
      <c r="P1205" s="44">
        <v>7.898233437754E12</v>
      </c>
      <c r="Q1205" s="44">
        <v>1.0</v>
      </c>
    </row>
    <row r="1206" ht="15.75" customHeight="1">
      <c r="A1206" s="35" t="s">
        <v>3083</v>
      </c>
      <c r="B1206" s="36">
        <v>572.2124551704709</v>
      </c>
      <c r="C1206" s="36">
        <f>'Lista de Preço 02_2022'!$B1206*0.9*0.9*0.9*0.9*0.9*0.97</f>
        <v>327.7491607</v>
      </c>
      <c r="D1206" s="36">
        <f>'Lista de Preço 02_2022'!$C1206*1.1712</f>
        <v>383.859817</v>
      </c>
      <c r="E1206" s="37">
        <v>3.25</v>
      </c>
      <c r="F1206" s="38">
        <v>0.18</v>
      </c>
      <c r="G1206" s="38" t="s">
        <v>22</v>
      </c>
      <c r="H1206" s="39" t="s">
        <v>23</v>
      </c>
      <c r="I1206" s="40" t="s">
        <v>3084</v>
      </c>
      <c r="J1206" s="41" t="s">
        <v>500</v>
      </c>
      <c r="K1206" s="42" t="s">
        <v>282</v>
      </c>
      <c r="L1206" s="43" t="s">
        <v>3085</v>
      </c>
      <c r="M1206" s="44">
        <v>8.708999E7</v>
      </c>
      <c r="N1206" s="44" t="s">
        <v>28</v>
      </c>
      <c r="O1206" s="45">
        <v>4.416</v>
      </c>
      <c r="P1206" s="44">
        <v>7.898233438041E12</v>
      </c>
      <c r="Q1206" s="44">
        <v>1.0</v>
      </c>
    </row>
    <row r="1207" ht="15.75" customHeight="1">
      <c r="A1207" s="35" t="s">
        <v>3086</v>
      </c>
      <c r="B1207" s="36">
        <v>395.6483866360334</v>
      </c>
      <c r="C1207" s="36">
        <f>'Lista de Preço 02_2022'!$B1207*0.9*0.9*0.9*0.9*0.9*0.97</f>
        <v>226.6176233</v>
      </c>
      <c r="D1207" s="36">
        <f>'Lista de Preço 02_2022'!$C1207*1.1712</f>
        <v>265.4145605</v>
      </c>
      <c r="E1207" s="37">
        <v>3.25</v>
      </c>
      <c r="F1207" s="38">
        <v>0.18</v>
      </c>
      <c r="G1207" s="38" t="s">
        <v>22</v>
      </c>
      <c r="H1207" s="39" t="s">
        <v>23</v>
      </c>
      <c r="I1207" s="40" t="s">
        <v>3087</v>
      </c>
      <c r="J1207" s="41" t="s">
        <v>1391</v>
      </c>
      <c r="K1207" s="42" t="s">
        <v>3088</v>
      </c>
      <c r="L1207" s="43" t="s">
        <v>3089</v>
      </c>
      <c r="M1207" s="44">
        <v>8.708999E7</v>
      </c>
      <c r="N1207" s="44" t="s">
        <v>28</v>
      </c>
      <c r="O1207" s="45">
        <v>3.534</v>
      </c>
      <c r="P1207" s="44">
        <v>7.898233437914E12</v>
      </c>
      <c r="Q1207" s="44">
        <v>1.0</v>
      </c>
    </row>
    <row r="1208" ht="15.75" customHeight="1">
      <c r="A1208" s="35" t="s">
        <v>3090</v>
      </c>
      <c r="B1208" s="36">
        <v>407.2793675609138</v>
      </c>
      <c r="C1208" s="36">
        <f>'Lista de Preço 02_2022'!$B1208*0.9*0.9*0.9*0.9*0.9*0.97</f>
        <v>233.2795619</v>
      </c>
      <c r="D1208" s="36">
        <f>'Lista de Preço 02_2022'!$C1208*1.1712</f>
        <v>273.2170229</v>
      </c>
      <c r="E1208" s="37">
        <v>3.25</v>
      </c>
      <c r="F1208" s="38">
        <v>0.18</v>
      </c>
      <c r="G1208" s="38" t="s">
        <v>22</v>
      </c>
      <c r="H1208" s="39" t="s">
        <v>23</v>
      </c>
      <c r="I1208" s="40" t="s">
        <v>3091</v>
      </c>
      <c r="J1208" s="41" t="s">
        <v>1391</v>
      </c>
      <c r="K1208" s="42" t="s">
        <v>3088</v>
      </c>
      <c r="L1208" s="43" t="s">
        <v>3092</v>
      </c>
      <c r="M1208" s="44">
        <v>8.708999E7</v>
      </c>
      <c r="N1208" s="44" t="s">
        <v>28</v>
      </c>
      <c r="O1208" s="45">
        <v>3.48</v>
      </c>
      <c r="P1208" s="44">
        <v>7.898233437884E12</v>
      </c>
      <c r="Q1208" s="44">
        <v>1.0</v>
      </c>
    </row>
    <row r="1209" ht="15.75" customHeight="1">
      <c r="A1209" s="35" t="s">
        <v>3093</v>
      </c>
      <c r="B1209" s="36">
        <v>562.0710285777727</v>
      </c>
      <c r="C1209" s="36">
        <f>'Lista de Preço 02_2022'!$B1209*0.9*0.9*0.9*0.9*0.9*0.97</f>
        <v>321.940402</v>
      </c>
      <c r="D1209" s="36">
        <f>'Lista de Preço 02_2022'!$C1209*1.1712</f>
        <v>377.0565988</v>
      </c>
      <c r="E1209" s="37">
        <v>3.25</v>
      </c>
      <c r="F1209" s="38">
        <v>0.18</v>
      </c>
      <c r="G1209" s="38" t="s">
        <v>22</v>
      </c>
      <c r="H1209" s="39" t="s">
        <v>23</v>
      </c>
      <c r="I1209" s="40" t="s">
        <v>3094</v>
      </c>
      <c r="J1209" s="41" t="s">
        <v>500</v>
      </c>
      <c r="K1209" s="42" t="s">
        <v>282</v>
      </c>
      <c r="L1209" s="43" t="s">
        <v>3095</v>
      </c>
      <c r="M1209" s="44">
        <v>8.708999E7</v>
      </c>
      <c r="N1209" s="44" t="s">
        <v>28</v>
      </c>
      <c r="O1209" s="45">
        <v>4.714</v>
      </c>
      <c r="P1209" s="44">
        <v>7.898233437945E12</v>
      </c>
      <c r="Q1209" s="44">
        <v>1.0</v>
      </c>
    </row>
    <row r="1210" ht="15.75" customHeight="1">
      <c r="A1210" s="35" t="s">
        <v>3096</v>
      </c>
      <c r="B1210" s="36">
        <v>294.05208719710214</v>
      </c>
      <c r="C1210" s="36">
        <f>'Lista de Preço 02_2022'!$B1210*0.9*0.9*0.9*0.9*0.9*0.97</f>
        <v>168.4257725</v>
      </c>
      <c r="D1210" s="36">
        <f>'Lista de Preço 02_2022'!$C1210*1.1712</f>
        <v>197.2602647</v>
      </c>
      <c r="E1210" s="37">
        <v>3.25</v>
      </c>
      <c r="F1210" s="38">
        <v>0.18</v>
      </c>
      <c r="G1210" s="38" t="s">
        <v>22</v>
      </c>
      <c r="H1210" s="39" t="s">
        <v>23</v>
      </c>
      <c r="I1210" s="40" t="s">
        <v>3097</v>
      </c>
      <c r="J1210" s="41" t="s">
        <v>25</v>
      </c>
      <c r="K1210" s="42" t="s">
        <v>625</v>
      </c>
      <c r="L1210" s="43" t="s">
        <v>3098</v>
      </c>
      <c r="M1210" s="44">
        <v>8.708999E7</v>
      </c>
      <c r="N1210" s="44" t="s">
        <v>28</v>
      </c>
      <c r="O1210" s="45">
        <v>2.032</v>
      </c>
      <c r="P1210" s="44">
        <v>7.898233437952E12</v>
      </c>
      <c r="Q1210" s="44">
        <v>1.0</v>
      </c>
    </row>
    <row r="1211" ht="15.75" customHeight="1">
      <c r="A1211" s="35" t="s">
        <v>3099</v>
      </c>
      <c r="B1211" s="36">
        <v>152.51674522024715</v>
      </c>
      <c r="C1211" s="36">
        <f>'Lista de Preço 02_2022'!$B1211*0.9*0.9*0.9*0.9*0.9*0.97</f>
        <v>87.3578245</v>
      </c>
      <c r="D1211" s="36">
        <f>'Lista de Preço 02_2022'!$C1211*1.1712</f>
        <v>102.3134841</v>
      </c>
      <c r="E1211" s="37">
        <v>3.25</v>
      </c>
      <c r="F1211" s="38">
        <v>0.18</v>
      </c>
      <c r="G1211" s="38" t="s">
        <v>22</v>
      </c>
      <c r="H1211" s="39" t="s">
        <v>43</v>
      </c>
      <c r="I1211" s="40" t="s">
        <v>3100</v>
      </c>
      <c r="J1211" s="41" t="s">
        <v>45</v>
      </c>
      <c r="K1211" s="42" t="s">
        <v>157</v>
      </c>
      <c r="L1211" s="43" t="s">
        <v>3101</v>
      </c>
      <c r="M1211" s="44">
        <v>8.708999E7</v>
      </c>
      <c r="N1211" s="44" t="s">
        <v>28</v>
      </c>
      <c r="O1211" s="45">
        <v>0.264</v>
      </c>
      <c r="P1211" s="44">
        <v>7.898233438003E12</v>
      </c>
      <c r="Q1211" s="44">
        <v>1.0</v>
      </c>
    </row>
    <row r="1212" ht="15.75" customHeight="1">
      <c r="A1212" s="35" t="s">
        <v>3102</v>
      </c>
      <c r="B1212" s="36">
        <v>285.6753777057712</v>
      </c>
      <c r="C1212" s="36">
        <f>'Lista de Preço 02_2022'!$B1212*0.9*0.9*0.9*0.9*0.9*0.97</f>
        <v>163.6278002</v>
      </c>
      <c r="D1212" s="36">
        <f>'Lista de Preço 02_2022'!$C1212*1.1712</f>
        <v>191.6408796</v>
      </c>
      <c r="E1212" s="37">
        <v>3.25</v>
      </c>
      <c r="F1212" s="38">
        <v>0.18</v>
      </c>
      <c r="G1212" s="38" t="s">
        <v>22</v>
      </c>
      <c r="H1212" s="39" t="s">
        <v>65</v>
      </c>
      <c r="I1212" s="40" t="s">
        <v>3103</v>
      </c>
      <c r="J1212" s="41" t="s">
        <v>1357</v>
      </c>
      <c r="K1212" s="42" t="s">
        <v>26</v>
      </c>
      <c r="L1212" s="43">
        <v>108867.0</v>
      </c>
      <c r="M1212" s="44">
        <v>8.708999E7</v>
      </c>
      <c r="N1212" s="44" t="s">
        <v>28</v>
      </c>
      <c r="O1212" s="45">
        <v>1.46</v>
      </c>
      <c r="P1212" s="44">
        <v>7.89823343041E12</v>
      </c>
      <c r="Q1212" s="44">
        <v>1.0</v>
      </c>
    </row>
    <row r="1213" ht="15.75" customHeight="1">
      <c r="A1213" s="35" t="s">
        <v>3104</v>
      </c>
      <c r="B1213" s="36">
        <v>176.1361780073441</v>
      </c>
      <c r="C1213" s="36">
        <f>'Lista de Preço 02_2022'!$B1213*0.9*0.9*0.9*0.9*0.9*0.97</f>
        <v>100.8864522</v>
      </c>
      <c r="D1213" s="36">
        <f>'Lista de Preço 02_2022'!$C1213*1.1712</f>
        <v>118.1582128</v>
      </c>
      <c r="E1213" s="37">
        <v>3.25</v>
      </c>
      <c r="F1213" s="38">
        <v>0.18</v>
      </c>
      <c r="G1213" s="38" t="s">
        <v>22</v>
      </c>
      <c r="H1213" s="39" t="s">
        <v>23</v>
      </c>
      <c r="I1213" s="40" t="s">
        <v>3105</v>
      </c>
      <c r="J1213" s="41" t="s">
        <v>1391</v>
      </c>
      <c r="K1213" s="42" t="s">
        <v>507</v>
      </c>
      <c r="L1213" s="43" t="s">
        <v>3106</v>
      </c>
      <c r="M1213" s="44">
        <v>8.708999E7</v>
      </c>
      <c r="N1213" s="44" t="s">
        <v>28</v>
      </c>
      <c r="O1213" s="45">
        <v>2.238</v>
      </c>
      <c r="P1213" s="44">
        <v>7.898233437891E12</v>
      </c>
      <c r="Q1213" s="44">
        <v>1.0</v>
      </c>
    </row>
    <row r="1214" ht="15.75" customHeight="1">
      <c r="A1214" s="35" t="s">
        <v>3107</v>
      </c>
      <c r="B1214" s="36">
        <v>464.392173254453</v>
      </c>
      <c r="C1214" s="36">
        <f>'Lista de Preço 02_2022'!$B1214*0.9*0.9*0.9*0.9*0.9*0.97</f>
        <v>265.9923664</v>
      </c>
      <c r="D1214" s="36">
        <f>'Lista de Preço 02_2022'!$C1214*1.1712</f>
        <v>311.5302595</v>
      </c>
      <c r="E1214" s="37">
        <v>3.25</v>
      </c>
      <c r="F1214" s="38">
        <v>0.18</v>
      </c>
      <c r="G1214" s="38" t="s">
        <v>22</v>
      </c>
      <c r="H1214" s="39" t="s">
        <v>23</v>
      </c>
      <c r="I1214" s="40" t="s">
        <v>3108</v>
      </c>
      <c r="J1214" s="41" t="s">
        <v>25</v>
      </c>
      <c r="K1214" s="42" t="s">
        <v>507</v>
      </c>
      <c r="L1214" s="43" t="s">
        <v>3109</v>
      </c>
      <c r="M1214" s="44">
        <v>8.708999E7</v>
      </c>
      <c r="N1214" s="44" t="s">
        <v>28</v>
      </c>
      <c r="O1214" s="45">
        <v>3.4</v>
      </c>
      <c r="P1214" s="44">
        <v>7.898233437921E12</v>
      </c>
      <c r="Q1214" s="44">
        <v>1.0</v>
      </c>
    </row>
    <row r="1215" ht="15.75" customHeight="1">
      <c r="A1215" s="35" t="s">
        <v>3110</v>
      </c>
      <c r="B1215" s="36">
        <v>306.5027538204942</v>
      </c>
      <c r="C1215" s="36">
        <f>'Lista de Preço 02_2022'!$B1215*0.9*0.9*0.9*0.9*0.9*0.97</f>
        <v>175.5572068</v>
      </c>
      <c r="D1215" s="36">
        <f>'Lista de Preço 02_2022'!$C1215*1.1712</f>
        <v>205.6126006</v>
      </c>
      <c r="E1215" s="37">
        <v>3.25</v>
      </c>
      <c r="F1215" s="38">
        <v>0.18</v>
      </c>
      <c r="G1215" s="38" t="s">
        <v>22</v>
      </c>
      <c r="H1215" s="39" t="s">
        <v>23</v>
      </c>
      <c r="I1215" s="40" t="s">
        <v>3111</v>
      </c>
      <c r="J1215" s="41" t="s">
        <v>25</v>
      </c>
      <c r="K1215" s="42" t="s">
        <v>73</v>
      </c>
      <c r="L1215" s="43" t="s">
        <v>3112</v>
      </c>
      <c r="M1215" s="44">
        <v>8.708999E7</v>
      </c>
      <c r="N1215" s="44" t="s">
        <v>28</v>
      </c>
      <c r="O1215" s="45">
        <v>2.196</v>
      </c>
      <c r="P1215" s="44">
        <v>7.898233437938E12</v>
      </c>
      <c r="Q1215" s="44">
        <v>1.0</v>
      </c>
    </row>
    <row r="1216" ht="15.75" customHeight="1">
      <c r="A1216" s="35" t="s">
        <v>3113</v>
      </c>
      <c r="B1216" s="36">
        <v>493.5857113368014</v>
      </c>
      <c r="C1216" s="36">
        <f>'Lista de Preço 02_2022'!$B1216*0.9*0.9*0.9*0.9*0.9*0.97</f>
        <v>282.7137039</v>
      </c>
      <c r="D1216" s="36">
        <f>'Lista de Preço 02_2022'!$C1216*1.1712</f>
        <v>331.11429</v>
      </c>
      <c r="E1216" s="37">
        <v>3.25</v>
      </c>
      <c r="F1216" s="38">
        <v>0.18</v>
      </c>
      <c r="G1216" s="38" t="s">
        <v>22</v>
      </c>
      <c r="H1216" s="39" t="s">
        <v>23</v>
      </c>
      <c r="I1216" s="40" t="s">
        <v>3114</v>
      </c>
      <c r="J1216" s="41" t="s">
        <v>25</v>
      </c>
      <c r="K1216" s="42" t="s">
        <v>73</v>
      </c>
      <c r="L1216" s="43" t="s">
        <v>3115</v>
      </c>
      <c r="M1216" s="44">
        <v>8.708999E7</v>
      </c>
      <c r="N1216" s="44" t="s">
        <v>28</v>
      </c>
      <c r="O1216" s="45">
        <v>3.238</v>
      </c>
      <c r="P1216" s="44">
        <v>7.898233437969E12</v>
      </c>
      <c r="Q1216" s="44">
        <v>1.0</v>
      </c>
    </row>
    <row r="1217" ht="15.75" customHeight="1">
      <c r="A1217" s="35" t="s">
        <v>3116</v>
      </c>
      <c r="B1217" s="36">
        <v>278.0709955016075</v>
      </c>
      <c r="C1217" s="36">
        <f>'Lista de Preço 02_2022'!$B1217*0.9*0.9*0.9*0.9*0.9*0.97</f>
        <v>159.2721979</v>
      </c>
      <c r="D1217" s="36">
        <f>'Lista de Preço 02_2022'!$C1217*1.1712</f>
        <v>186.5395981</v>
      </c>
      <c r="E1217" s="37">
        <v>3.25</v>
      </c>
      <c r="F1217" s="38">
        <v>0.18</v>
      </c>
      <c r="G1217" s="38" t="s">
        <v>22</v>
      </c>
      <c r="H1217" s="39" t="s">
        <v>23</v>
      </c>
      <c r="I1217" s="40" t="s">
        <v>3117</v>
      </c>
      <c r="J1217" s="41" t="s">
        <v>25</v>
      </c>
      <c r="K1217" s="42" t="s">
        <v>282</v>
      </c>
      <c r="L1217" s="43" t="s">
        <v>3118</v>
      </c>
      <c r="M1217" s="44">
        <v>8.708999E7</v>
      </c>
      <c r="N1217" s="44" t="s">
        <v>28</v>
      </c>
      <c r="O1217" s="45">
        <v>3.5</v>
      </c>
      <c r="P1217" s="44">
        <v>7.898233437983E12</v>
      </c>
      <c r="Q1217" s="44">
        <v>1.0</v>
      </c>
    </row>
    <row r="1218" ht="15.75" customHeight="1">
      <c r="A1218" s="35" t="s">
        <v>3119</v>
      </c>
      <c r="B1218" s="36">
        <v>538.3831051585478</v>
      </c>
      <c r="C1218" s="36">
        <f>'Lista de Preço 02_2022'!$B1218*0.9*0.9*0.9*0.9*0.9*0.97</f>
        <v>308.3725446</v>
      </c>
      <c r="D1218" s="36">
        <f>'Lista de Preço 02_2022'!$C1218*1.1712</f>
        <v>361.1659242</v>
      </c>
      <c r="E1218" s="37">
        <v>3.25</v>
      </c>
      <c r="F1218" s="38">
        <v>0.18</v>
      </c>
      <c r="G1218" s="38" t="s">
        <v>22</v>
      </c>
      <c r="H1218" s="39" t="s">
        <v>23</v>
      </c>
      <c r="I1218" s="40" t="s">
        <v>3120</v>
      </c>
      <c r="J1218" s="41" t="s">
        <v>500</v>
      </c>
      <c r="K1218" s="42" t="s">
        <v>2590</v>
      </c>
      <c r="L1218" s="43" t="s">
        <v>3121</v>
      </c>
      <c r="M1218" s="44">
        <v>8.708999E7</v>
      </c>
      <c r="N1218" s="44" t="s">
        <v>28</v>
      </c>
      <c r="O1218" s="45">
        <v>5.494</v>
      </c>
      <c r="P1218" s="44">
        <v>7.898233437976E12</v>
      </c>
      <c r="Q1218" s="44">
        <v>1.0</v>
      </c>
    </row>
    <row r="1219" ht="15.75" customHeight="1">
      <c r="A1219" s="35" t="s">
        <v>3122</v>
      </c>
      <c r="B1219" s="36">
        <v>1080.0804887940956</v>
      </c>
      <c r="C1219" s="36">
        <f>'Lista de Preço 02_2022'!$B1219*0.9*0.9*0.9*0.9*0.9*0.97</f>
        <v>618.643426</v>
      </c>
      <c r="D1219" s="36">
        <f>'Lista de Preço 02_2022'!$C1219*1.1712</f>
        <v>724.5551805</v>
      </c>
      <c r="E1219" s="37">
        <v>3.25</v>
      </c>
      <c r="F1219" s="38">
        <v>0.18</v>
      </c>
      <c r="G1219" s="38" t="s">
        <v>22</v>
      </c>
      <c r="H1219" s="39" t="s">
        <v>23</v>
      </c>
      <c r="I1219" s="40" t="s">
        <v>3123</v>
      </c>
      <c r="J1219" s="41" t="s">
        <v>500</v>
      </c>
      <c r="K1219" s="42" t="s">
        <v>2590</v>
      </c>
      <c r="L1219" s="43" t="s">
        <v>3124</v>
      </c>
      <c r="M1219" s="44">
        <v>8.708999E7</v>
      </c>
      <c r="N1219" s="44" t="s">
        <v>28</v>
      </c>
      <c r="O1219" s="45">
        <v>8.38</v>
      </c>
      <c r="P1219" s="44">
        <v>7.898233438249E12</v>
      </c>
      <c r="Q1219" s="44">
        <v>1.0</v>
      </c>
    </row>
    <row r="1220" ht="15.75" customHeight="1">
      <c r="A1220" s="35" t="s">
        <v>3125</v>
      </c>
      <c r="B1220" s="36">
        <v>458.9663999434877</v>
      </c>
      <c r="C1220" s="36">
        <f>'Lista de Preço 02_2022'!$B1220*0.9*0.9*0.9*0.9*0.9*0.97</f>
        <v>262.8846174</v>
      </c>
      <c r="D1220" s="36">
        <f>'Lista de Preço 02_2022'!$C1220*1.1712</f>
        <v>307.8904639</v>
      </c>
      <c r="E1220" s="37">
        <v>3.25</v>
      </c>
      <c r="F1220" s="38">
        <v>0.18</v>
      </c>
      <c r="G1220" s="38" t="s">
        <v>22</v>
      </c>
      <c r="H1220" s="39" t="s">
        <v>23</v>
      </c>
      <c r="I1220" s="40" t="s">
        <v>3126</v>
      </c>
      <c r="J1220" s="41" t="s">
        <v>1391</v>
      </c>
      <c r="K1220" s="42" t="s">
        <v>507</v>
      </c>
      <c r="L1220" s="43" t="s">
        <v>3127</v>
      </c>
      <c r="M1220" s="44">
        <v>8.708999E7</v>
      </c>
      <c r="N1220" s="44" t="s">
        <v>28</v>
      </c>
      <c r="O1220" s="45">
        <v>3.784</v>
      </c>
      <c r="P1220" s="44">
        <v>7.898233437907E12</v>
      </c>
      <c r="Q1220" s="44">
        <v>1.0</v>
      </c>
    </row>
    <row r="1221" ht="15.75" customHeight="1">
      <c r="A1221" s="35" t="s">
        <v>3128</v>
      </c>
      <c r="B1221" s="36">
        <v>387.8973887506201</v>
      </c>
      <c r="C1221" s="36">
        <f>'Lista de Preço 02_2022'!$B1221*0.9*0.9*0.9*0.9*0.9*0.97</f>
        <v>222.1780432</v>
      </c>
      <c r="D1221" s="36">
        <f>'Lista de Preço 02_2022'!$C1221*1.1712</f>
        <v>260.2149242</v>
      </c>
      <c r="E1221" s="37">
        <v>3.25</v>
      </c>
      <c r="F1221" s="38">
        <v>0.18</v>
      </c>
      <c r="G1221" s="38" t="s">
        <v>22</v>
      </c>
      <c r="H1221" s="39" t="s">
        <v>23</v>
      </c>
      <c r="I1221" s="40" t="s">
        <v>3129</v>
      </c>
      <c r="J1221" s="41" t="s">
        <v>25</v>
      </c>
      <c r="K1221" s="42" t="s">
        <v>86</v>
      </c>
      <c r="L1221" s="43">
        <v>4.24501203E9</v>
      </c>
      <c r="M1221" s="44">
        <v>8.708999E7</v>
      </c>
      <c r="N1221" s="44" t="s">
        <v>28</v>
      </c>
      <c r="O1221" s="45">
        <v>3.096</v>
      </c>
      <c r="P1221" s="44">
        <v>7.898233436863E12</v>
      </c>
      <c r="Q1221" s="44">
        <v>1.0</v>
      </c>
    </row>
    <row r="1222" ht="15.75" customHeight="1">
      <c r="A1222" s="35" t="s">
        <v>3130</v>
      </c>
      <c r="B1222" s="36">
        <v>3.7719346858931555</v>
      </c>
      <c r="C1222" s="36">
        <f>'Lista de Preço 02_2022'!$B1222*0.9*0.9*0.9*0.9*0.9*0.97</f>
        <v>2.160471021</v>
      </c>
      <c r="D1222" s="36">
        <f>'Lista de Preço 02_2022'!$C1222*1.1712</f>
        <v>2.53034366</v>
      </c>
      <c r="E1222" s="37">
        <v>3.25</v>
      </c>
      <c r="F1222" s="38">
        <v>0.18</v>
      </c>
      <c r="G1222" s="38" t="s">
        <v>22</v>
      </c>
      <c r="H1222" s="39" t="s">
        <v>2328</v>
      </c>
      <c r="I1222" s="40" t="s">
        <v>3131</v>
      </c>
      <c r="J1222" s="41" t="s">
        <v>2330</v>
      </c>
      <c r="K1222" s="42" t="s">
        <v>68</v>
      </c>
      <c r="L1222" s="43" t="s">
        <v>3132</v>
      </c>
      <c r="M1222" s="44">
        <v>8.708999E7</v>
      </c>
      <c r="N1222" s="44" t="s">
        <v>28</v>
      </c>
      <c r="O1222" s="45">
        <v>0.02</v>
      </c>
      <c r="P1222" s="44">
        <v>7.899823504382E12</v>
      </c>
      <c r="Q1222" s="48">
        <v>20.0</v>
      </c>
    </row>
    <row r="1223" ht="15.75" customHeight="1">
      <c r="A1223" s="35" t="s">
        <v>3133</v>
      </c>
      <c r="B1223" s="36">
        <v>197.8241933180167</v>
      </c>
      <c r="C1223" s="36">
        <f>'Lista de Preço 02_2022'!$B1223*0.9*0.9*0.9*0.9*0.9*0.97</f>
        <v>113.3088117</v>
      </c>
      <c r="D1223" s="36">
        <f>'Lista de Preço 02_2022'!$C1223*1.1712</f>
        <v>132.7072802</v>
      </c>
      <c r="E1223" s="37">
        <v>3.25</v>
      </c>
      <c r="F1223" s="38">
        <v>0.18</v>
      </c>
      <c r="G1223" s="38" t="s">
        <v>22</v>
      </c>
      <c r="H1223" s="39" t="s">
        <v>23</v>
      </c>
      <c r="I1223" s="40" t="s">
        <v>3134</v>
      </c>
      <c r="J1223" s="41" t="s">
        <v>25</v>
      </c>
      <c r="K1223" s="42" t="s">
        <v>661</v>
      </c>
      <c r="L1223" s="43" t="s">
        <v>3135</v>
      </c>
      <c r="M1223" s="44">
        <v>8.708999E7</v>
      </c>
      <c r="N1223" s="44" t="s">
        <v>28</v>
      </c>
      <c r="O1223" s="45">
        <v>2.152</v>
      </c>
      <c r="P1223" s="44">
        <v>7.898233436801E12</v>
      </c>
      <c r="Q1223" s="44">
        <v>1.0</v>
      </c>
    </row>
    <row r="1224" ht="15.75" customHeight="1">
      <c r="A1224" s="35" t="s">
        <v>3136</v>
      </c>
      <c r="B1224" s="36">
        <v>399.5343104131387</v>
      </c>
      <c r="C1224" s="36">
        <f>'Lista de Preço 02_2022'!$B1224*0.9*0.9*0.9*0.9*0.9*0.97</f>
        <v>228.8433845</v>
      </c>
      <c r="D1224" s="36">
        <f>'Lista de Preço 02_2022'!$C1224*1.1712</f>
        <v>268.0213719</v>
      </c>
      <c r="E1224" s="37">
        <v>3.25</v>
      </c>
      <c r="F1224" s="38">
        <v>0.18</v>
      </c>
      <c r="G1224" s="38" t="s">
        <v>22</v>
      </c>
      <c r="H1224" s="39" t="s">
        <v>23</v>
      </c>
      <c r="I1224" s="40" t="s">
        <v>3137</v>
      </c>
      <c r="J1224" s="41" t="s">
        <v>25</v>
      </c>
      <c r="K1224" s="42" t="s">
        <v>507</v>
      </c>
      <c r="L1224" s="43" t="s">
        <v>3138</v>
      </c>
      <c r="M1224" s="44">
        <v>8.708999E7</v>
      </c>
      <c r="N1224" s="44" t="s">
        <v>28</v>
      </c>
      <c r="O1224" s="45">
        <v>4.098</v>
      </c>
      <c r="P1224" s="44">
        <v>7.898233436849E12</v>
      </c>
      <c r="Q1224" s="44">
        <v>1.0</v>
      </c>
    </row>
    <row r="1225" ht="15.75" customHeight="1">
      <c r="A1225" s="35" t="s">
        <v>3139</v>
      </c>
      <c r="B1225" s="36">
        <v>176.2618540952675</v>
      </c>
      <c r="C1225" s="36">
        <f>'Lista de Preço 02_2022'!$B1225*0.9*0.9*0.9*0.9*0.9*0.97</f>
        <v>100.9584364</v>
      </c>
      <c r="D1225" s="36">
        <f>'Lista de Preço 02_2022'!$C1225*1.1712</f>
        <v>118.2425207</v>
      </c>
      <c r="E1225" s="37">
        <v>3.25</v>
      </c>
      <c r="F1225" s="38">
        <v>0.18</v>
      </c>
      <c r="G1225" s="38" t="s">
        <v>22</v>
      </c>
      <c r="H1225" s="39" t="s">
        <v>23</v>
      </c>
      <c r="I1225" s="40" t="s">
        <v>3140</v>
      </c>
      <c r="J1225" s="41" t="s">
        <v>25</v>
      </c>
      <c r="K1225" s="42" t="s">
        <v>507</v>
      </c>
      <c r="L1225" s="43" t="s">
        <v>3141</v>
      </c>
      <c r="M1225" s="44">
        <v>8.708999E7</v>
      </c>
      <c r="N1225" s="44" t="s">
        <v>28</v>
      </c>
      <c r="O1225" s="45">
        <v>2.084</v>
      </c>
      <c r="P1225" s="44">
        <v>7.898233436795E12</v>
      </c>
      <c r="Q1225" s="44">
        <v>1.0</v>
      </c>
    </row>
    <row r="1226" ht="15.75" customHeight="1">
      <c r="A1226" s="35" t="s">
        <v>3142</v>
      </c>
      <c r="B1226" s="36">
        <v>153.60466775281304</v>
      </c>
      <c r="C1226" s="36">
        <f>'Lista de Preço 02_2022'!$B1226*0.9*0.9*0.9*0.9*0.9*0.97</f>
        <v>87.98095965</v>
      </c>
      <c r="D1226" s="36">
        <f>'Lista de Preço 02_2022'!$C1226*1.1712</f>
        <v>103.0432999</v>
      </c>
      <c r="E1226" s="37">
        <v>3.25</v>
      </c>
      <c r="F1226" s="38">
        <v>0.18</v>
      </c>
      <c r="G1226" s="38" t="s">
        <v>22</v>
      </c>
      <c r="H1226" s="39" t="s">
        <v>2740</v>
      </c>
      <c r="I1226" s="40" t="s">
        <v>3143</v>
      </c>
      <c r="J1226" s="41" t="s">
        <v>25</v>
      </c>
      <c r="K1226" s="42" t="s">
        <v>157</v>
      </c>
      <c r="L1226" s="43" t="s">
        <v>3144</v>
      </c>
      <c r="M1226" s="44">
        <v>8.708999E7</v>
      </c>
      <c r="N1226" s="44" t="s">
        <v>28</v>
      </c>
      <c r="O1226" s="45">
        <v>1.234</v>
      </c>
      <c r="P1226" s="44">
        <v>7.898233437785E12</v>
      </c>
      <c r="Q1226" s="44">
        <v>1.0</v>
      </c>
    </row>
    <row r="1227" ht="15.75" customHeight="1">
      <c r="A1227" s="35" t="s">
        <v>3145</v>
      </c>
      <c r="B1227" s="36">
        <v>299.8663824192243</v>
      </c>
      <c r="C1227" s="36">
        <f>'Lista de Preço 02_2022'!$B1227*0.9*0.9*0.9*0.9*0.9*0.97</f>
        <v>171.7560572</v>
      </c>
      <c r="D1227" s="36">
        <f>'Lista de Preço 02_2022'!$C1227*1.1712</f>
        <v>201.1606941</v>
      </c>
      <c r="E1227" s="37">
        <v>3.25</v>
      </c>
      <c r="F1227" s="38">
        <v>0.18</v>
      </c>
      <c r="G1227" s="38" t="s">
        <v>37</v>
      </c>
      <c r="H1227" s="39" t="s">
        <v>23</v>
      </c>
      <c r="I1227" s="40" t="s">
        <v>3146</v>
      </c>
      <c r="J1227" s="41" t="s">
        <v>302</v>
      </c>
      <c r="K1227" s="42" t="s">
        <v>507</v>
      </c>
      <c r="L1227" s="43">
        <v>5.175147E9</v>
      </c>
      <c r="M1227" s="42">
        <v>8.708999E7</v>
      </c>
      <c r="N1227" s="44" t="s">
        <v>28</v>
      </c>
      <c r="O1227" s="45">
        <v>2.988</v>
      </c>
      <c r="P1227" s="44">
        <v>7.898233436788E12</v>
      </c>
      <c r="Q1227" s="44">
        <v>1.0</v>
      </c>
    </row>
    <row r="1228" ht="15.75" customHeight="1">
      <c r="A1228" s="35" t="s">
        <v>3147</v>
      </c>
      <c r="B1228" s="36">
        <v>168.29485961426388</v>
      </c>
      <c r="C1228" s="36">
        <f>'Lista de Preço 02_2022'!$B1228*0.9*0.9*0.9*0.9*0.9*0.97</f>
        <v>96.3951387</v>
      </c>
      <c r="D1228" s="36">
        <f>'Lista de Preço 02_2022'!$C1228*1.1712</f>
        <v>112.8979865</v>
      </c>
      <c r="E1228" s="37">
        <v>3.25</v>
      </c>
      <c r="F1228" s="38">
        <v>0.18</v>
      </c>
      <c r="G1228" s="38" t="s">
        <v>22</v>
      </c>
      <c r="H1228" s="39" t="s">
        <v>23</v>
      </c>
      <c r="I1228" s="40" t="s">
        <v>3148</v>
      </c>
      <c r="J1228" s="41" t="s">
        <v>25</v>
      </c>
      <c r="K1228" s="42" t="s">
        <v>157</v>
      </c>
      <c r="L1228" s="43" t="s">
        <v>3149</v>
      </c>
      <c r="M1228" s="44">
        <v>8.708999E7</v>
      </c>
      <c r="N1228" s="44" t="s">
        <v>28</v>
      </c>
      <c r="O1228" s="45">
        <v>2.332</v>
      </c>
      <c r="P1228" s="44">
        <v>7.898233436764E12</v>
      </c>
      <c r="Q1228" s="44">
        <v>1.0</v>
      </c>
    </row>
    <row r="1229" ht="15.75" customHeight="1">
      <c r="A1229" s="35" t="s">
        <v>3150</v>
      </c>
      <c r="B1229" s="36">
        <v>138.32135241292576</v>
      </c>
      <c r="C1229" s="36">
        <f>'Lista de Preço 02_2022'!$B1229*0.9*0.9*0.9*0.9*0.9*0.97</f>
        <v>79.22705412</v>
      </c>
      <c r="D1229" s="36">
        <f>'Lista de Preço 02_2022'!$C1229*1.1712</f>
        <v>92.79072579</v>
      </c>
      <c r="E1229" s="37">
        <v>3.25</v>
      </c>
      <c r="F1229" s="38">
        <v>0.18</v>
      </c>
      <c r="G1229" s="38" t="s">
        <v>22</v>
      </c>
      <c r="H1229" s="39" t="s">
        <v>23</v>
      </c>
      <c r="I1229" s="40" t="s">
        <v>3151</v>
      </c>
      <c r="J1229" s="41" t="s">
        <v>25</v>
      </c>
      <c r="K1229" s="42" t="s">
        <v>157</v>
      </c>
      <c r="L1229" s="43" t="s">
        <v>3152</v>
      </c>
      <c r="M1229" s="44">
        <v>8.708999E7</v>
      </c>
      <c r="N1229" s="44" t="s">
        <v>28</v>
      </c>
      <c r="O1229" s="45">
        <v>1.856</v>
      </c>
      <c r="P1229" s="44">
        <v>7.898233436672E12</v>
      </c>
      <c r="Q1229" s="44">
        <v>1.0</v>
      </c>
    </row>
    <row r="1230" ht="15.75" customHeight="1">
      <c r="A1230" s="35" t="s">
        <v>3153</v>
      </c>
      <c r="B1230" s="36">
        <v>305.46382791752586</v>
      </c>
      <c r="C1230" s="36">
        <f>'Lista de Preço 02_2022'!$B1230*0.9*0.9*0.9*0.9*0.9*0.97</f>
        <v>174.9621357</v>
      </c>
      <c r="D1230" s="36">
        <f>'Lista de Preço 02_2022'!$C1230*1.1712</f>
        <v>204.9156533</v>
      </c>
      <c r="E1230" s="37">
        <v>3.25</v>
      </c>
      <c r="F1230" s="38">
        <v>0.18</v>
      </c>
      <c r="G1230" s="38" t="s">
        <v>22</v>
      </c>
      <c r="H1230" s="39" t="s">
        <v>23</v>
      </c>
      <c r="I1230" s="40" t="s">
        <v>3154</v>
      </c>
      <c r="J1230" s="41" t="s">
        <v>25</v>
      </c>
      <c r="K1230" s="42" t="s">
        <v>157</v>
      </c>
      <c r="L1230" s="43" t="s">
        <v>3155</v>
      </c>
      <c r="M1230" s="44">
        <v>8.708999E7</v>
      </c>
      <c r="N1230" s="44" t="s">
        <v>28</v>
      </c>
      <c r="O1230" s="45">
        <v>3.28</v>
      </c>
      <c r="P1230" s="44">
        <v>7.898233436825E12</v>
      </c>
      <c r="Q1230" s="44">
        <v>1.0</v>
      </c>
    </row>
    <row r="1231" ht="15.75" customHeight="1">
      <c r="A1231" s="35" t="s">
        <v>3156</v>
      </c>
      <c r="B1231" s="36">
        <v>288.02334100390004</v>
      </c>
      <c r="C1231" s="36">
        <f>'Lista de Preço 02_2022'!$B1231*0.9*0.9*0.9*0.9*0.9*0.97</f>
        <v>164.9726556</v>
      </c>
      <c r="D1231" s="36">
        <f>'Lista de Preço 02_2022'!$C1231*1.1712</f>
        <v>193.2159742</v>
      </c>
      <c r="E1231" s="37">
        <v>3.25</v>
      </c>
      <c r="F1231" s="38">
        <v>0.18</v>
      </c>
      <c r="G1231" s="38" t="s">
        <v>22</v>
      </c>
      <c r="H1231" s="39" t="s">
        <v>23</v>
      </c>
      <c r="I1231" s="40" t="s">
        <v>3157</v>
      </c>
      <c r="J1231" s="41" t="s">
        <v>25</v>
      </c>
      <c r="K1231" s="42" t="s">
        <v>157</v>
      </c>
      <c r="L1231" s="43" t="s">
        <v>3158</v>
      </c>
      <c r="M1231" s="44">
        <v>8.708999E7</v>
      </c>
      <c r="N1231" s="44" t="s">
        <v>28</v>
      </c>
      <c r="O1231" s="45">
        <v>2.21</v>
      </c>
      <c r="P1231" s="44">
        <v>7.898233436634E12</v>
      </c>
      <c r="Q1231" s="44">
        <v>1.0</v>
      </c>
    </row>
    <row r="1232" ht="15.75" customHeight="1">
      <c r="A1232" s="35" t="s">
        <v>3159</v>
      </c>
      <c r="B1232" s="36">
        <v>197.8241933180167</v>
      </c>
      <c r="C1232" s="36">
        <f>'Lista de Preço 02_2022'!$B1232*0.9*0.9*0.9*0.9*0.9*0.97</f>
        <v>113.3088117</v>
      </c>
      <c r="D1232" s="36">
        <f>'Lista de Preço 02_2022'!$C1232*1.1712</f>
        <v>132.7072802</v>
      </c>
      <c r="E1232" s="37">
        <v>3.25</v>
      </c>
      <c r="F1232" s="38">
        <v>0.18</v>
      </c>
      <c r="G1232" s="38" t="s">
        <v>22</v>
      </c>
      <c r="H1232" s="39" t="s">
        <v>23</v>
      </c>
      <c r="I1232" s="40" t="s">
        <v>3160</v>
      </c>
      <c r="J1232" s="41" t="s">
        <v>25</v>
      </c>
      <c r="K1232" s="42" t="s">
        <v>157</v>
      </c>
      <c r="L1232" s="43" t="s">
        <v>3161</v>
      </c>
      <c r="M1232" s="44">
        <v>8.708999E7</v>
      </c>
      <c r="N1232" s="44" t="s">
        <v>28</v>
      </c>
      <c r="O1232" s="45">
        <v>1.962</v>
      </c>
      <c r="P1232" s="44">
        <v>7.898233436641E12</v>
      </c>
      <c r="Q1232" s="44">
        <v>1.0</v>
      </c>
    </row>
    <row r="1233" ht="15.75" customHeight="1">
      <c r="A1233" s="35" t="s">
        <v>3162</v>
      </c>
      <c r="B1233" s="36">
        <v>57.47930685089777</v>
      </c>
      <c r="C1233" s="36">
        <f>'Lista de Preço 02_2022'!$B1233*0.9*0.9*0.9*0.9*0.9*0.97</f>
        <v>32.92272723</v>
      </c>
      <c r="D1233" s="36">
        <f>'Lista de Preço 02_2022'!$C1233*1.1627</f>
        <v>38.27925494</v>
      </c>
      <c r="E1233" s="37">
        <v>2.6</v>
      </c>
      <c r="F1233" s="38">
        <v>0.18</v>
      </c>
      <c r="G1233" s="38" t="s">
        <v>22</v>
      </c>
      <c r="H1233" s="39" t="s">
        <v>2038</v>
      </c>
      <c r="I1233" s="40" t="s">
        <v>2355</v>
      </c>
      <c r="J1233" s="41" t="s">
        <v>32</v>
      </c>
      <c r="K1233" s="42" t="s">
        <v>68</v>
      </c>
      <c r="L1233" s="43">
        <v>8967783.0</v>
      </c>
      <c r="M1233" s="44">
        <v>8.7089413E7</v>
      </c>
      <c r="N1233" s="44" t="s">
        <v>28</v>
      </c>
      <c r="O1233" s="45">
        <v>1.718</v>
      </c>
      <c r="P1233" s="44">
        <v>7.898233430427E12</v>
      </c>
      <c r="Q1233" s="44">
        <v>1.0</v>
      </c>
    </row>
    <row r="1234" ht="15.75" customHeight="1">
      <c r="A1234" s="35" t="s">
        <v>3163</v>
      </c>
      <c r="B1234" s="36">
        <v>91.77843988078817</v>
      </c>
      <c r="C1234" s="36">
        <f>'Lista de Preço 02_2022'!$B1234*0.9*0.9*0.9*0.9*0.9*0.97</f>
        <v>52.56842344</v>
      </c>
      <c r="D1234" s="36">
        <f>'Lista de Preço 02_2022'!$C1234*1.1712</f>
        <v>61.56813753</v>
      </c>
      <c r="E1234" s="37">
        <v>3.25</v>
      </c>
      <c r="F1234" s="38">
        <v>0.18</v>
      </c>
      <c r="G1234" s="38" t="s">
        <v>22</v>
      </c>
      <c r="H1234" s="39" t="s">
        <v>23</v>
      </c>
      <c r="I1234" s="40" t="s">
        <v>3164</v>
      </c>
      <c r="J1234" s="41" t="s">
        <v>25</v>
      </c>
      <c r="K1234" s="42" t="s">
        <v>73</v>
      </c>
      <c r="L1234" s="43" t="s">
        <v>3165</v>
      </c>
      <c r="M1234" s="44">
        <v>8.708999E7</v>
      </c>
      <c r="N1234" s="44" t="s">
        <v>28</v>
      </c>
      <c r="O1234" s="45">
        <v>1.506</v>
      </c>
      <c r="P1234" s="44">
        <v>7.898233431127E12</v>
      </c>
      <c r="Q1234" s="44">
        <v>1.0</v>
      </c>
    </row>
    <row r="1235" ht="15.75" customHeight="1">
      <c r="A1235" s="35" t="s">
        <v>3166</v>
      </c>
      <c r="B1235" s="36">
        <v>80.72228080673811</v>
      </c>
      <c r="C1235" s="36">
        <f>'Lista de Preço 02_2022'!$B1235*0.9*0.9*0.9*0.9*0.9*0.97</f>
        <v>46.23572861</v>
      </c>
      <c r="D1235" s="36">
        <f>'Lista de Preço 02_2022'!$C1235*1.1712</f>
        <v>54.15128534</v>
      </c>
      <c r="E1235" s="37">
        <v>3.25</v>
      </c>
      <c r="F1235" s="38">
        <v>0.18</v>
      </c>
      <c r="G1235" s="38" t="s">
        <v>22</v>
      </c>
      <c r="H1235" s="39" t="s">
        <v>65</v>
      </c>
      <c r="I1235" s="40" t="s">
        <v>3167</v>
      </c>
      <c r="J1235" s="41" t="s">
        <v>67</v>
      </c>
      <c r="K1235" s="42" t="s">
        <v>73</v>
      </c>
      <c r="L1235" s="43">
        <v>3.055011171E9</v>
      </c>
      <c r="M1235" s="44">
        <v>8.708999E7</v>
      </c>
      <c r="N1235" s="44" t="s">
        <v>28</v>
      </c>
      <c r="O1235" s="45">
        <v>0.846</v>
      </c>
      <c r="P1235" s="44">
        <v>7.898233431134E12</v>
      </c>
      <c r="Q1235" s="44">
        <v>1.0</v>
      </c>
    </row>
    <row r="1236" ht="15.75" customHeight="1">
      <c r="A1236" s="35" t="s">
        <v>3168</v>
      </c>
      <c r="B1236" s="36">
        <v>2.423437920603001</v>
      </c>
      <c r="C1236" s="36">
        <f>'Lista de Preço 02_2022'!$B1236*0.9*0.9*0.9*0.9*0.9*0.97</f>
        <v>1.388085382</v>
      </c>
      <c r="D1236" s="36">
        <f>'Lista de Preço 02_2022'!$C1236*1.1712</f>
        <v>1.625725599</v>
      </c>
      <c r="E1236" s="37">
        <v>3.25</v>
      </c>
      <c r="F1236" s="38">
        <v>0.18</v>
      </c>
      <c r="G1236" s="38" t="s">
        <v>22</v>
      </c>
      <c r="H1236" s="39" t="s">
        <v>559</v>
      </c>
      <c r="I1236" s="40" t="s">
        <v>3169</v>
      </c>
      <c r="J1236" s="41" t="s">
        <v>32</v>
      </c>
      <c r="K1236" s="42" t="s">
        <v>73</v>
      </c>
      <c r="L1236" s="43" t="s">
        <v>3170</v>
      </c>
      <c r="M1236" s="44">
        <v>8.708999E7</v>
      </c>
      <c r="N1236" s="44" t="s">
        <v>28</v>
      </c>
      <c r="O1236" s="45">
        <v>0.086</v>
      </c>
      <c r="P1236" s="44">
        <v>7.898233431141E12</v>
      </c>
      <c r="Q1236" s="44">
        <v>1.0</v>
      </c>
    </row>
    <row r="1237" ht="15.75" customHeight="1">
      <c r="A1237" s="35" t="s">
        <v>3171</v>
      </c>
      <c r="B1237" s="36">
        <v>1.5082033867582503</v>
      </c>
      <c r="C1237" s="36">
        <f>'Lista de Preço 02_2022'!$B1237*0.9*0.9*0.9*0.9*0.9*0.97</f>
        <v>0.8638616473</v>
      </c>
      <c r="D1237" s="36">
        <f>'Lista de Preço 02_2022'!$C1237*1.1712</f>
        <v>1.011754761</v>
      </c>
      <c r="E1237" s="37">
        <v>3.25</v>
      </c>
      <c r="F1237" s="38">
        <v>0.18</v>
      </c>
      <c r="G1237" s="38" t="s">
        <v>22</v>
      </c>
      <c r="H1237" s="39" t="s">
        <v>30</v>
      </c>
      <c r="I1237" s="40" t="s">
        <v>3172</v>
      </c>
      <c r="J1237" s="41" t="s">
        <v>32</v>
      </c>
      <c r="K1237" s="42" t="s">
        <v>73</v>
      </c>
      <c r="L1237" s="43" t="s">
        <v>3173</v>
      </c>
      <c r="M1237" s="44">
        <v>8.708999E7</v>
      </c>
      <c r="N1237" s="44" t="s">
        <v>28</v>
      </c>
      <c r="O1237" s="45">
        <v>0.036</v>
      </c>
      <c r="P1237" s="44">
        <v>7.898233431158E12</v>
      </c>
      <c r="Q1237" s="44">
        <v>1.0</v>
      </c>
    </row>
    <row r="1238" ht="15.75" customHeight="1">
      <c r="A1238" s="35" t="s">
        <v>3174</v>
      </c>
      <c r="B1238" s="36">
        <v>102.83766344331212</v>
      </c>
      <c r="C1238" s="36">
        <f>'Lista de Preço 02_2022'!$B1238*0.9*0.9*0.9*0.9*0.9*0.97</f>
        <v>58.90287353</v>
      </c>
      <c r="D1238" s="36">
        <f>'Lista de Preço 02_2022'!$C1238*1.1712</f>
        <v>68.98704548</v>
      </c>
      <c r="E1238" s="37">
        <v>3.25</v>
      </c>
      <c r="F1238" s="38">
        <v>0.18</v>
      </c>
      <c r="G1238" s="38" t="s">
        <v>22</v>
      </c>
      <c r="H1238" s="39" t="s">
        <v>23</v>
      </c>
      <c r="I1238" s="40" t="s">
        <v>3175</v>
      </c>
      <c r="J1238" s="41" t="s">
        <v>25</v>
      </c>
      <c r="K1238" s="42" t="s">
        <v>73</v>
      </c>
      <c r="L1238" s="43">
        <v>3.57407615E8</v>
      </c>
      <c r="M1238" s="44">
        <v>8.708999E7</v>
      </c>
      <c r="N1238" s="44" t="s">
        <v>28</v>
      </c>
      <c r="O1238" s="45">
        <v>1.464</v>
      </c>
      <c r="P1238" s="44">
        <v>7.898233431165E12</v>
      </c>
      <c r="Q1238" s="44">
        <v>1.0</v>
      </c>
    </row>
    <row r="1239" ht="15.75" customHeight="1">
      <c r="A1239" s="35" t="s">
        <v>3176</v>
      </c>
      <c r="B1239" s="36">
        <v>147.37626227475715</v>
      </c>
      <c r="C1239" s="36">
        <f>'Lista de Preço 02_2022'!$B1239*0.9*0.9*0.9*0.9*0.9*0.97</f>
        <v>84.41348284</v>
      </c>
      <c r="D1239" s="36">
        <f>'Lista de Preço 02_2022'!$C1239*1.1712</f>
        <v>98.8650711</v>
      </c>
      <c r="E1239" s="37">
        <v>3.25</v>
      </c>
      <c r="F1239" s="38">
        <v>0.18</v>
      </c>
      <c r="G1239" s="38" t="s">
        <v>22</v>
      </c>
      <c r="H1239" s="39" t="s">
        <v>65</v>
      </c>
      <c r="I1239" s="40" t="s">
        <v>3177</v>
      </c>
      <c r="J1239" s="41" t="s">
        <v>67</v>
      </c>
      <c r="K1239" s="42" t="s">
        <v>73</v>
      </c>
      <c r="L1239" s="43" t="s">
        <v>3178</v>
      </c>
      <c r="M1239" s="44">
        <v>8.708999E7</v>
      </c>
      <c r="N1239" s="44" t="s">
        <v>28</v>
      </c>
      <c r="O1239" s="45">
        <v>1.074</v>
      </c>
      <c r="P1239" s="44">
        <v>7.898233432957E12</v>
      </c>
      <c r="Q1239" s="44">
        <v>1.0</v>
      </c>
    </row>
    <row r="1240" ht="15.75" customHeight="1">
      <c r="A1240" s="35" t="s">
        <v>3179</v>
      </c>
      <c r="B1240" s="36">
        <v>147.37626227475715</v>
      </c>
      <c r="C1240" s="36">
        <f>'Lista de Preço 02_2022'!$B1240*0.9*0.9*0.9*0.9*0.9*0.97</f>
        <v>84.41348284</v>
      </c>
      <c r="D1240" s="36">
        <f>'Lista de Preço 02_2022'!$C1240*1.1712</f>
        <v>98.8650711</v>
      </c>
      <c r="E1240" s="37">
        <v>3.25</v>
      </c>
      <c r="F1240" s="38">
        <v>0.18</v>
      </c>
      <c r="G1240" s="38" t="s">
        <v>22</v>
      </c>
      <c r="H1240" s="39" t="s">
        <v>65</v>
      </c>
      <c r="I1240" s="40" t="s">
        <v>3177</v>
      </c>
      <c r="J1240" s="41" t="s">
        <v>67</v>
      </c>
      <c r="K1240" s="42" t="s">
        <v>73</v>
      </c>
      <c r="L1240" s="43" t="s">
        <v>3180</v>
      </c>
      <c r="M1240" s="44">
        <v>8.708999E7</v>
      </c>
      <c r="N1240" s="44" t="s">
        <v>28</v>
      </c>
      <c r="O1240" s="45">
        <v>1.068</v>
      </c>
      <c r="P1240" s="44">
        <v>7.898233432964E12</v>
      </c>
      <c r="Q1240" s="44">
        <v>1.0</v>
      </c>
    </row>
    <row r="1241" ht="15.75" customHeight="1">
      <c r="A1241" s="35" t="s">
        <v>3181</v>
      </c>
      <c r="B1241" s="36">
        <v>168.77471128694984</v>
      </c>
      <c r="C1241" s="36">
        <f>'Lista de Preço 02_2022'!$B1241*0.9*0.9*0.9*0.9*0.9*0.97</f>
        <v>96.66998589</v>
      </c>
      <c r="D1241" s="36">
        <f>'Lista de Preço 02_2022'!$C1241*1.1712</f>
        <v>113.2198875</v>
      </c>
      <c r="E1241" s="37">
        <v>3.25</v>
      </c>
      <c r="F1241" s="38">
        <v>0.18</v>
      </c>
      <c r="G1241" s="38" t="s">
        <v>22</v>
      </c>
      <c r="H1241" s="39" t="s">
        <v>23</v>
      </c>
      <c r="I1241" s="40" t="s">
        <v>3182</v>
      </c>
      <c r="J1241" s="41" t="s">
        <v>25</v>
      </c>
      <c r="K1241" s="42" t="s">
        <v>73</v>
      </c>
      <c r="L1241" s="43" t="s">
        <v>3183</v>
      </c>
      <c r="M1241" s="44">
        <v>8.708999E7</v>
      </c>
      <c r="N1241" s="44" t="s">
        <v>28</v>
      </c>
      <c r="O1241" s="45">
        <v>1.616</v>
      </c>
      <c r="P1241" s="44">
        <v>7.898233433992E12</v>
      </c>
      <c r="Q1241" s="44">
        <v>1.0</v>
      </c>
    </row>
    <row r="1242" ht="15.75" customHeight="1">
      <c r="A1242" s="35" t="s">
        <v>3184</v>
      </c>
      <c r="B1242" s="36">
        <v>39.66512200718003</v>
      </c>
      <c r="C1242" s="36">
        <f>'Lista de Preço 02_2022'!$B1242*0.9*0.9*0.9*0.9*0.9*0.97</f>
        <v>22.71920216</v>
      </c>
      <c r="D1242" s="36">
        <f>'Lista de Preço 02_2022'!$C1242*1.1712</f>
        <v>26.60872957</v>
      </c>
      <c r="E1242" s="37">
        <v>3.25</v>
      </c>
      <c r="F1242" s="38">
        <v>0.18</v>
      </c>
      <c r="G1242" s="38" t="s">
        <v>22</v>
      </c>
      <c r="H1242" s="39" t="s">
        <v>559</v>
      </c>
      <c r="I1242" s="40" t="s">
        <v>3185</v>
      </c>
      <c r="J1242" s="41" t="s">
        <v>32</v>
      </c>
      <c r="K1242" s="42" t="s">
        <v>73</v>
      </c>
      <c r="L1242" s="43" t="s">
        <v>3186</v>
      </c>
      <c r="M1242" s="44">
        <v>8.708999E7</v>
      </c>
      <c r="N1242" s="44" t="s">
        <v>28</v>
      </c>
      <c r="O1242" s="45">
        <v>0.568</v>
      </c>
      <c r="P1242" s="44">
        <v>7.898233431172E12</v>
      </c>
      <c r="Q1242" s="44">
        <v>1.0</v>
      </c>
    </row>
    <row r="1243" ht="15.75" customHeight="1">
      <c r="A1243" s="35" t="s">
        <v>3187</v>
      </c>
      <c r="B1243" s="36">
        <v>38.20536991203393</v>
      </c>
      <c r="C1243" s="36">
        <f>'Lista de Preço 02_2022'!$B1243*0.9*0.9*0.9*0.9*0.9*0.97</f>
        <v>21.88309221</v>
      </c>
      <c r="D1243" s="36">
        <f>'Lista de Preço 02_2022'!$C1243*1.1712</f>
        <v>25.6294776</v>
      </c>
      <c r="E1243" s="37">
        <v>3.25</v>
      </c>
      <c r="F1243" s="38">
        <v>0.18</v>
      </c>
      <c r="G1243" s="38" t="s">
        <v>22</v>
      </c>
      <c r="H1243" s="39" t="s">
        <v>559</v>
      </c>
      <c r="I1243" s="40" t="s">
        <v>3188</v>
      </c>
      <c r="J1243" s="41" t="s">
        <v>32</v>
      </c>
      <c r="K1243" s="42" t="s">
        <v>73</v>
      </c>
      <c r="L1243" s="43" t="s">
        <v>3189</v>
      </c>
      <c r="M1243" s="44">
        <v>8.708999E7</v>
      </c>
      <c r="N1243" s="44" t="s">
        <v>28</v>
      </c>
      <c r="O1243" s="45">
        <v>0.508</v>
      </c>
      <c r="P1243" s="44">
        <v>7.898233431189E12</v>
      </c>
      <c r="Q1243" s="44">
        <v>1.0</v>
      </c>
    </row>
    <row r="1244" ht="15.75" customHeight="1">
      <c r="A1244" s="35" t="s">
        <v>3190</v>
      </c>
      <c r="B1244" s="36">
        <v>387.33504828622074</v>
      </c>
      <c r="C1244" s="36">
        <f>'Lista de Preço 02_2022'!$B1244*0.9*0.9*0.9*0.9*0.9*0.97</f>
        <v>221.8559485</v>
      </c>
      <c r="D1244" s="36">
        <f>'Lista de Preço 02_2022'!$C1244*1.1712</f>
        <v>259.8376869</v>
      </c>
      <c r="E1244" s="37">
        <v>3.25</v>
      </c>
      <c r="F1244" s="38">
        <v>0.18</v>
      </c>
      <c r="G1244" s="38" t="s">
        <v>22</v>
      </c>
      <c r="H1244" s="39" t="s">
        <v>65</v>
      </c>
      <c r="I1244" s="40" t="s">
        <v>3191</v>
      </c>
      <c r="J1244" s="41" t="s">
        <v>3192</v>
      </c>
      <c r="K1244" s="42" t="s">
        <v>73</v>
      </c>
      <c r="L1244" s="43" t="s">
        <v>3193</v>
      </c>
      <c r="M1244" s="44">
        <v>8.708999E7</v>
      </c>
      <c r="N1244" s="44" t="s">
        <v>28</v>
      </c>
      <c r="O1244" s="45">
        <v>2.02</v>
      </c>
      <c r="P1244" s="44">
        <v>7.898233433817E12</v>
      </c>
      <c r="Q1244" s="44">
        <v>1.0</v>
      </c>
    </row>
    <row r="1245" ht="15.75" customHeight="1">
      <c r="A1245" s="35" t="s">
        <v>3194</v>
      </c>
      <c r="B1245" s="36">
        <v>5.250818598812827</v>
      </c>
      <c r="C1245" s="36">
        <f>'Lista de Preço 02_2022'!$B1245*0.9*0.9*0.9*0.9*0.9*0.97</f>
        <v>3.007539198</v>
      </c>
      <c r="D1245" s="36">
        <f>'Lista de Preço 02_2022'!$C1245*1.1712</f>
        <v>3.522429909</v>
      </c>
      <c r="E1245" s="37">
        <v>3.25</v>
      </c>
      <c r="F1245" s="38">
        <v>0.18</v>
      </c>
      <c r="G1245" s="38" t="s">
        <v>22</v>
      </c>
      <c r="H1245" s="39" t="s">
        <v>48</v>
      </c>
      <c r="I1245" s="40" t="s">
        <v>3195</v>
      </c>
      <c r="J1245" s="41" t="s">
        <v>32</v>
      </c>
      <c r="K1245" s="42" t="s">
        <v>73</v>
      </c>
      <c r="L1245" s="43" t="s">
        <v>3196</v>
      </c>
      <c r="M1245" s="44">
        <v>8.708999E7</v>
      </c>
      <c r="N1245" s="44" t="s">
        <v>28</v>
      </c>
      <c r="O1245" s="45">
        <v>0.022</v>
      </c>
      <c r="P1245" s="44">
        <v>7.898233431196E12</v>
      </c>
      <c r="Q1245" s="48">
        <v>50.0</v>
      </c>
    </row>
    <row r="1246" ht="15.75" customHeight="1">
      <c r="A1246" s="35" t="s">
        <v>3197</v>
      </c>
      <c r="B1246" s="36">
        <v>5.097882134769734</v>
      </c>
      <c r="C1246" s="36">
        <f>'Lista de Preço 02_2022'!$B1246*0.9*0.9*0.9*0.9*0.9*0.97</f>
        <v>2.919940969</v>
      </c>
      <c r="D1246" s="36">
        <f>'Lista de Preço 02_2022'!$C1246*1.1712</f>
        <v>3.419834863</v>
      </c>
      <c r="E1246" s="37">
        <v>3.25</v>
      </c>
      <c r="F1246" s="38">
        <v>0.18</v>
      </c>
      <c r="G1246" s="38" t="s">
        <v>22</v>
      </c>
      <c r="H1246" s="39" t="s">
        <v>48</v>
      </c>
      <c r="I1246" s="40" t="s">
        <v>3198</v>
      </c>
      <c r="J1246" s="41" t="s">
        <v>32</v>
      </c>
      <c r="K1246" s="42" t="s">
        <v>73</v>
      </c>
      <c r="L1246" s="43" t="s">
        <v>3199</v>
      </c>
      <c r="M1246" s="44">
        <v>8.708999E7</v>
      </c>
      <c r="N1246" s="44" t="s">
        <v>28</v>
      </c>
      <c r="O1246" s="45">
        <v>0.024</v>
      </c>
      <c r="P1246" s="44">
        <v>7.898233431202E12</v>
      </c>
      <c r="Q1246" s="48">
        <v>5.0</v>
      </c>
    </row>
    <row r="1247" ht="15.75" customHeight="1">
      <c r="A1247" s="35" t="s">
        <v>3200</v>
      </c>
      <c r="B1247" s="36">
        <v>30.232516965794808</v>
      </c>
      <c r="C1247" s="36">
        <f>'Lista de Preço 02_2022'!$B1247*0.9*0.9*0.9*0.9*0.9*0.97</f>
        <v>17.31643897</v>
      </c>
      <c r="D1247" s="36">
        <f>'Lista de Preço 02_2022'!$C1247*1.1627</f>
        <v>20.1338236</v>
      </c>
      <c r="E1247" s="37">
        <v>2.6</v>
      </c>
      <c r="F1247" s="38">
        <v>0.18</v>
      </c>
      <c r="G1247" s="38" t="s">
        <v>22</v>
      </c>
      <c r="H1247" s="39" t="s">
        <v>38</v>
      </c>
      <c r="I1247" s="40" t="s">
        <v>3201</v>
      </c>
      <c r="J1247" s="41" t="s">
        <v>556</v>
      </c>
      <c r="K1247" s="42" t="s">
        <v>73</v>
      </c>
      <c r="L1247" s="43" t="s">
        <v>3202</v>
      </c>
      <c r="M1247" s="44">
        <v>8.70893E7</v>
      </c>
      <c r="N1247" s="44" t="s">
        <v>28</v>
      </c>
      <c r="O1247" s="45">
        <v>0.388</v>
      </c>
      <c r="P1247" s="44">
        <v>7.898233431219E12</v>
      </c>
      <c r="Q1247" s="44">
        <v>1.0</v>
      </c>
    </row>
    <row r="1248" ht="15.75" customHeight="1">
      <c r="A1248" s="35" t="s">
        <v>3203</v>
      </c>
      <c r="B1248" s="36">
        <v>26.22453897526297</v>
      </c>
      <c r="C1248" s="36">
        <f>'Lista de Preço 02_2022'!$B1248*0.9*0.9*0.9*0.9*0.9*0.97</f>
        <v>15.02076818</v>
      </c>
      <c r="D1248" s="36">
        <f>'Lista de Preço 02_2022'!$C1248*1.1627</f>
        <v>17.46464716</v>
      </c>
      <c r="E1248" s="37">
        <v>2.6</v>
      </c>
      <c r="F1248" s="38">
        <v>0.18</v>
      </c>
      <c r="G1248" s="38" t="s">
        <v>22</v>
      </c>
      <c r="H1248" s="39" t="s">
        <v>38</v>
      </c>
      <c r="I1248" s="40" t="s">
        <v>3204</v>
      </c>
      <c r="J1248" s="41" t="s">
        <v>32</v>
      </c>
      <c r="K1248" s="42" t="s">
        <v>73</v>
      </c>
      <c r="L1248" s="43" t="s">
        <v>3205</v>
      </c>
      <c r="M1248" s="44">
        <v>8.70893E7</v>
      </c>
      <c r="N1248" s="44" t="s">
        <v>28</v>
      </c>
      <c r="O1248" s="45">
        <v>0.102</v>
      </c>
      <c r="P1248" s="44">
        <v>7.898233431226E12</v>
      </c>
      <c r="Q1248" s="44">
        <v>1.0</v>
      </c>
    </row>
    <row r="1249" ht="15.75" customHeight="1">
      <c r="A1249" s="35" t="s">
        <v>3206</v>
      </c>
      <c r="B1249" s="36">
        <v>171.02966740649634</v>
      </c>
      <c r="C1249" s="36">
        <f>'Lista de Preço 02_2022'!$B1249*0.9*0.9*0.9*0.9*0.9*0.97</f>
        <v>97.96156906</v>
      </c>
      <c r="D1249" s="36">
        <f>'Lista de Preço 02_2022'!$C1249*1.1712</f>
        <v>114.7325897</v>
      </c>
      <c r="E1249" s="37">
        <v>3.25</v>
      </c>
      <c r="F1249" s="38">
        <v>0.18</v>
      </c>
      <c r="G1249" s="38" t="s">
        <v>22</v>
      </c>
      <c r="H1249" s="39" t="s">
        <v>3207</v>
      </c>
      <c r="I1249" s="40" t="s">
        <v>3208</v>
      </c>
      <c r="J1249" s="41" t="s">
        <v>3209</v>
      </c>
      <c r="K1249" s="42" t="s">
        <v>73</v>
      </c>
      <c r="L1249" s="43" t="s">
        <v>3210</v>
      </c>
      <c r="M1249" s="44">
        <v>8.708999E7</v>
      </c>
      <c r="N1249" s="44" t="s">
        <v>28</v>
      </c>
      <c r="O1249" s="45">
        <v>0.794</v>
      </c>
      <c r="P1249" s="44">
        <v>7.898233431233E12</v>
      </c>
      <c r="Q1249" s="44">
        <v>1.0</v>
      </c>
    </row>
    <row r="1250" ht="15.75" customHeight="1">
      <c r="A1250" s="35" t="s">
        <v>3211</v>
      </c>
      <c r="B1250" s="36">
        <v>181.72108719509572</v>
      </c>
      <c r="C1250" s="36">
        <f>'Lista de Preço 02_2022'!$B1250*0.9*0.9*0.9*0.9*0.9*0.97</f>
        <v>104.0853502</v>
      </c>
      <c r="D1250" s="36">
        <f>'Lista de Preço 02_2022'!$C1250*1.1712</f>
        <v>121.9047622</v>
      </c>
      <c r="E1250" s="37">
        <v>3.25</v>
      </c>
      <c r="F1250" s="38">
        <v>0.18</v>
      </c>
      <c r="G1250" s="38" t="s">
        <v>22</v>
      </c>
      <c r="H1250" s="39" t="s">
        <v>3207</v>
      </c>
      <c r="I1250" s="40" t="s">
        <v>3208</v>
      </c>
      <c r="J1250" s="41" t="s">
        <v>3209</v>
      </c>
      <c r="K1250" s="42" t="s">
        <v>73</v>
      </c>
      <c r="L1250" s="43">
        <v>2.114053651E9</v>
      </c>
      <c r="M1250" s="44">
        <v>8.708999E7</v>
      </c>
      <c r="N1250" s="44" t="s">
        <v>28</v>
      </c>
      <c r="O1250" s="45">
        <v>0.78</v>
      </c>
      <c r="P1250" s="44">
        <v>7.89823343124E12</v>
      </c>
      <c r="Q1250" s="44">
        <v>1.0</v>
      </c>
    </row>
    <row r="1251" ht="15.75" customHeight="1">
      <c r="A1251" s="35" t="s">
        <v>3212</v>
      </c>
      <c r="B1251" s="36">
        <v>19.617936023957675</v>
      </c>
      <c r="C1251" s="36">
        <f>'Lista de Preço 02_2022'!$B1251*0.9*0.9*0.9*0.9*0.9*0.97</f>
        <v>11.23666919</v>
      </c>
      <c r="D1251" s="36">
        <f>'Lista de Preço 02_2022'!$C1251*1.1712</f>
        <v>13.16038696</v>
      </c>
      <c r="E1251" s="37">
        <v>3.25</v>
      </c>
      <c r="F1251" s="38">
        <v>0.18</v>
      </c>
      <c r="G1251" s="38" t="s">
        <v>22</v>
      </c>
      <c r="H1251" s="39" t="s">
        <v>30</v>
      </c>
      <c r="I1251" s="40" t="s">
        <v>3213</v>
      </c>
      <c r="J1251" s="41" t="s">
        <v>32</v>
      </c>
      <c r="K1251" s="42" t="s">
        <v>68</v>
      </c>
      <c r="L1251" s="43">
        <v>7316474.0</v>
      </c>
      <c r="M1251" s="44">
        <v>8.708409E7</v>
      </c>
      <c r="N1251" s="44" t="s">
        <v>28</v>
      </c>
      <c r="O1251" s="45">
        <v>0.064</v>
      </c>
      <c r="P1251" s="44">
        <v>7.898233430441E12</v>
      </c>
      <c r="Q1251" s="48">
        <v>10.0</v>
      </c>
    </row>
    <row r="1252" ht="15.75" customHeight="1">
      <c r="A1252" s="35" t="s">
        <v>3214</v>
      </c>
      <c r="B1252" s="36">
        <v>112.23269204000738</v>
      </c>
      <c r="C1252" s="36">
        <f>'Lista de Preço 02_2022'!$B1252*0.9*0.9*0.9*0.9*0.9*0.97</f>
        <v>64.28411385</v>
      </c>
      <c r="D1252" s="36">
        <f>'Lista de Preço 02_2022'!$C1252*1.1712</f>
        <v>75.28955414</v>
      </c>
      <c r="E1252" s="37">
        <v>3.25</v>
      </c>
      <c r="F1252" s="38">
        <v>0.18</v>
      </c>
      <c r="G1252" s="38" t="s">
        <v>22</v>
      </c>
      <c r="H1252" s="39" t="s">
        <v>3207</v>
      </c>
      <c r="I1252" s="40" t="s">
        <v>3208</v>
      </c>
      <c r="J1252" s="41" t="s">
        <v>3209</v>
      </c>
      <c r="K1252" s="42" t="s">
        <v>73</v>
      </c>
      <c r="L1252" s="43" t="s">
        <v>3215</v>
      </c>
      <c r="M1252" s="44">
        <v>8.708999E7</v>
      </c>
      <c r="N1252" s="44" t="s">
        <v>28</v>
      </c>
      <c r="O1252" s="45">
        <v>0.712</v>
      </c>
      <c r="P1252" s="44">
        <v>7.898233431257E12</v>
      </c>
      <c r="Q1252" s="44">
        <v>1.0</v>
      </c>
    </row>
    <row r="1253" ht="15.75" customHeight="1">
      <c r="A1253" s="35" t="s">
        <v>3216</v>
      </c>
      <c r="B1253" s="36">
        <v>122.43566404364441</v>
      </c>
      <c r="C1253" s="36">
        <f>'Lista de Preço 02_2022'!$B1253*0.9*0.9*0.9*0.9*0.9*0.97</f>
        <v>70.1281242</v>
      </c>
      <c r="D1253" s="36">
        <f>'Lista de Preço 02_2022'!$C1253*1.1712</f>
        <v>82.13405907</v>
      </c>
      <c r="E1253" s="37">
        <v>3.25</v>
      </c>
      <c r="F1253" s="38">
        <v>0.18</v>
      </c>
      <c r="G1253" s="38" t="s">
        <v>22</v>
      </c>
      <c r="H1253" s="39" t="s">
        <v>3207</v>
      </c>
      <c r="I1253" s="40" t="s">
        <v>3208</v>
      </c>
      <c r="J1253" s="41" t="s">
        <v>3209</v>
      </c>
      <c r="K1253" s="42" t="s">
        <v>73</v>
      </c>
      <c r="L1253" s="43" t="s">
        <v>3215</v>
      </c>
      <c r="M1253" s="44">
        <v>8.708999E7</v>
      </c>
      <c r="N1253" s="44" t="s">
        <v>28</v>
      </c>
      <c r="O1253" s="45">
        <v>0.7</v>
      </c>
      <c r="P1253" s="44">
        <v>7.898233431264E12</v>
      </c>
      <c r="Q1253" s="44">
        <v>1.0</v>
      </c>
    </row>
    <row r="1254" ht="15.75" customHeight="1">
      <c r="A1254" s="35" t="s">
        <v>3217</v>
      </c>
      <c r="B1254" s="36">
        <v>80.99438905708924</v>
      </c>
      <c r="C1254" s="36">
        <f>'Lista de Preço 02_2022'!$B1254*0.9*0.9*0.9*0.9*0.9*0.97</f>
        <v>46.39158549</v>
      </c>
      <c r="D1254" s="36">
        <f>'Lista de Preço 02_2022'!$C1254*1.1712</f>
        <v>54.33382493</v>
      </c>
      <c r="E1254" s="37">
        <v>3.25</v>
      </c>
      <c r="F1254" s="38">
        <v>0.18</v>
      </c>
      <c r="G1254" s="38" t="s">
        <v>22</v>
      </c>
      <c r="H1254" s="39" t="s">
        <v>3218</v>
      </c>
      <c r="I1254" s="40" t="s">
        <v>3219</v>
      </c>
      <c r="J1254" s="41" t="s">
        <v>2292</v>
      </c>
      <c r="K1254" s="42" t="s">
        <v>73</v>
      </c>
      <c r="L1254" s="43" t="s">
        <v>3220</v>
      </c>
      <c r="M1254" s="44">
        <v>8.708999E7</v>
      </c>
      <c r="N1254" s="44" t="s">
        <v>28</v>
      </c>
      <c r="O1254" s="45">
        <v>2.576</v>
      </c>
      <c r="P1254" s="44">
        <v>7.898233431332E12</v>
      </c>
      <c r="Q1254" s="44">
        <v>1.0</v>
      </c>
    </row>
    <row r="1255" ht="15.75" customHeight="1">
      <c r="A1255" s="35" t="s">
        <v>3221</v>
      </c>
      <c r="B1255" s="36">
        <v>184.49062872459527</v>
      </c>
      <c r="C1255" s="36">
        <f>'Lista de Preço 02_2022'!$B1255*0.9*0.9*0.9*0.9*0.9*0.97</f>
        <v>105.6716752</v>
      </c>
      <c r="D1255" s="36">
        <f>'Lista de Preço 02_2022'!$C1255*1.1712</f>
        <v>123.762666</v>
      </c>
      <c r="E1255" s="37">
        <v>3.25</v>
      </c>
      <c r="F1255" s="38">
        <v>0.18</v>
      </c>
      <c r="G1255" s="38" t="s">
        <v>22</v>
      </c>
      <c r="H1255" s="39" t="s">
        <v>3218</v>
      </c>
      <c r="I1255" s="40" t="s">
        <v>3222</v>
      </c>
      <c r="J1255" s="41" t="s">
        <v>32</v>
      </c>
      <c r="K1255" s="42" t="s">
        <v>73</v>
      </c>
      <c r="L1255" s="43" t="s">
        <v>3223</v>
      </c>
      <c r="M1255" s="44">
        <v>8.708999E7</v>
      </c>
      <c r="N1255" s="44" t="s">
        <v>28</v>
      </c>
      <c r="O1255" s="45">
        <v>1.986</v>
      </c>
      <c r="P1255" s="44">
        <v>7.898233431349E12</v>
      </c>
      <c r="Q1255" s="44">
        <v>1.0</v>
      </c>
    </row>
    <row r="1256" ht="15.75" customHeight="1">
      <c r="A1256" s="35" t="s">
        <v>3224</v>
      </c>
      <c r="B1256" s="36">
        <v>21.003274395251307</v>
      </c>
      <c r="C1256" s="36">
        <f>'Lista de Preço 02_2022'!$B1256*0.9*0.9*0.9*0.9*0.9*0.97</f>
        <v>12.03015679</v>
      </c>
      <c r="D1256" s="36">
        <f>'Lista de Preço 02_2022'!$C1256*1.1712</f>
        <v>14.08971964</v>
      </c>
      <c r="E1256" s="37">
        <v>3.25</v>
      </c>
      <c r="F1256" s="38">
        <v>0.18</v>
      </c>
      <c r="G1256" s="38" t="s">
        <v>22</v>
      </c>
      <c r="H1256" s="39" t="s">
        <v>30</v>
      </c>
      <c r="I1256" s="40" t="s">
        <v>3225</v>
      </c>
      <c r="J1256" s="41" t="s">
        <v>32</v>
      </c>
      <c r="K1256" s="42" t="s">
        <v>68</v>
      </c>
      <c r="L1256" s="43">
        <v>9.4608675E7</v>
      </c>
      <c r="M1256" s="44">
        <v>8.708409E7</v>
      </c>
      <c r="N1256" s="44" t="s">
        <v>28</v>
      </c>
      <c r="O1256" s="45">
        <v>0.084</v>
      </c>
      <c r="P1256" s="44">
        <v>7.898233430458E12</v>
      </c>
      <c r="Q1256" s="48">
        <v>10.0</v>
      </c>
    </row>
    <row r="1257" ht="15.75" customHeight="1">
      <c r="A1257" s="35" t="s">
        <v>3226</v>
      </c>
      <c r="B1257" s="36">
        <v>277.5567320232914</v>
      </c>
      <c r="C1257" s="36">
        <f>'Lista de Preço 02_2022'!$B1257*0.9*0.9*0.9*0.9*0.9*0.97</f>
        <v>158.9776405</v>
      </c>
      <c r="D1257" s="36">
        <f>'Lista de Preço 02_2022'!$C1257*1.1712</f>
        <v>186.1946125</v>
      </c>
      <c r="E1257" s="37">
        <v>3.25</v>
      </c>
      <c r="F1257" s="38">
        <v>0.18</v>
      </c>
      <c r="G1257" s="38" t="s">
        <v>22</v>
      </c>
      <c r="H1257" s="39" t="s">
        <v>3218</v>
      </c>
      <c r="I1257" s="40" t="s">
        <v>3227</v>
      </c>
      <c r="J1257" s="41" t="s">
        <v>32</v>
      </c>
      <c r="K1257" s="42" t="s">
        <v>73</v>
      </c>
      <c r="L1257" s="43" t="s">
        <v>3228</v>
      </c>
      <c r="M1257" s="44">
        <v>8.708999E7</v>
      </c>
      <c r="N1257" s="44" t="s">
        <v>28</v>
      </c>
      <c r="O1257" s="45">
        <v>2.552</v>
      </c>
      <c r="P1257" s="44">
        <v>7.898233431356E12</v>
      </c>
      <c r="Q1257" s="44">
        <v>1.0</v>
      </c>
    </row>
    <row r="1258" ht="15.75" customHeight="1">
      <c r="A1258" s="35" t="s">
        <v>3229</v>
      </c>
      <c r="B1258" s="36">
        <v>177.4068193935928</v>
      </c>
      <c r="C1258" s="36">
        <f>'Lista de Preço 02_2022'!$B1258*0.9*0.9*0.9*0.9*0.9*0.97</f>
        <v>101.6142442</v>
      </c>
      <c r="D1258" s="36">
        <f>'Lista de Preço 02_2022'!$C1258*1.1712</f>
        <v>119.0106028</v>
      </c>
      <c r="E1258" s="37">
        <v>3.25</v>
      </c>
      <c r="F1258" s="38">
        <v>0.18</v>
      </c>
      <c r="G1258" s="38" t="s">
        <v>22</v>
      </c>
      <c r="H1258" s="39" t="s">
        <v>3218</v>
      </c>
      <c r="I1258" s="40" t="s">
        <v>3230</v>
      </c>
      <c r="J1258" s="41" t="s">
        <v>2292</v>
      </c>
      <c r="K1258" s="42" t="s">
        <v>73</v>
      </c>
      <c r="L1258" s="43" t="s">
        <v>3220</v>
      </c>
      <c r="M1258" s="44">
        <v>8.708999E7</v>
      </c>
      <c r="N1258" s="44" t="s">
        <v>28</v>
      </c>
      <c r="O1258" s="45">
        <v>1.886</v>
      </c>
      <c r="P1258" s="44">
        <v>7.898233431363E12</v>
      </c>
      <c r="Q1258" s="44">
        <v>1.0</v>
      </c>
    </row>
    <row r="1259" ht="15.75" customHeight="1">
      <c r="A1259" s="35" t="s">
        <v>3231</v>
      </c>
      <c r="B1259" s="36">
        <v>164.39126876552092</v>
      </c>
      <c r="C1259" s="36">
        <f>'Lista de Preço 02_2022'!$B1259*0.9*0.9*0.9*0.9*0.9*0.97</f>
        <v>94.15925828</v>
      </c>
      <c r="D1259" s="36">
        <f>'Lista de Preço 02_2022'!$C1259*1.1712</f>
        <v>110.2793233</v>
      </c>
      <c r="E1259" s="37">
        <v>3.25</v>
      </c>
      <c r="F1259" s="38">
        <v>0.18</v>
      </c>
      <c r="G1259" s="38" t="s">
        <v>22</v>
      </c>
      <c r="H1259" s="39" t="s">
        <v>3218</v>
      </c>
      <c r="I1259" s="40" t="s">
        <v>3232</v>
      </c>
      <c r="J1259" s="41" t="s">
        <v>32</v>
      </c>
      <c r="K1259" s="42" t="s">
        <v>73</v>
      </c>
      <c r="L1259" s="43" t="s">
        <v>3233</v>
      </c>
      <c r="M1259" s="44">
        <v>8.708999E7</v>
      </c>
      <c r="N1259" s="44" t="s">
        <v>28</v>
      </c>
      <c r="O1259" s="45">
        <v>2.3</v>
      </c>
      <c r="P1259" s="44">
        <v>7.89823343137E12</v>
      </c>
      <c r="Q1259" s="44">
        <v>1.0</v>
      </c>
    </row>
    <row r="1260" ht="15.75" customHeight="1">
      <c r="A1260" s="35" t="s">
        <v>3234</v>
      </c>
      <c r="B1260" s="36">
        <v>197.67692537839494</v>
      </c>
      <c r="C1260" s="36">
        <f>'Lista de Preço 02_2022'!$B1260*0.9*0.9*0.9*0.9*0.9*0.97</f>
        <v>113.2244602</v>
      </c>
      <c r="D1260" s="36">
        <f>'Lista de Preço 02_2022'!$C1260*1.1712</f>
        <v>132.6084878</v>
      </c>
      <c r="E1260" s="37">
        <v>3.25</v>
      </c>
      <c r="F1260" s="38">
        <v>0.18</v>
      </c>
      <c r="G1260" s="38" t="s">
        <v>22</v>
      </c>
      <c r="H1260" s="39" t="s">
        <v>3218</v>
      </c>
      <c r="I1260" s="40" t="s">
        <v>3235</v>
      </c>
      <c r="J1260" s="41" t="s">
        <v>2292</v>
      </c>
      <c r="K1260" s="42" t="s">
        <v>73</v>
      </c>
      <c r="L1260" s="43" t="s">
        <v>3236</v>
      </c>
      <c r="M1260" s="44">
        <v>8.708999E7</v>
      </c>
      <c r="N1260" s="44" t="s">
        <v>28</v>
      </c>
      <c r="O1260" s="45">
        <v>2.35</v>
      </c>
      <c r="P1260" s="44">
        <v>7.898233431387E12</v>
      </c>
      <c r="Q1260" s="44">
        <v>1.0</v>
      </c>
    </row>
    <row r="1261" ht="15.75" customHeight="1">
      <c r="A1261" s="35" t="s">
        <v>3237</v>
      </c>
      <c r="B1261" s="36">
        <v>122.89639076663451</v>
      </c>
      <c r="C1261" s="36">
        <f>'Lista de Preço 02_2022'!$B1261*0.9*0.9*0.9*0.9*0.9*0.97</f>
        <v>70.39201709</v>
      </c>
      <c r="D1261" s="36">
        <f>'Lista de Preço 02_2022'!$C1261*1.1712</f>
        <v>82.44313042</v>
      </c>
      <c r="E1261" s="37">
        <v>3.25</v>
      </c>
      <c r="F1261" s="38">
        <v>0.18</v>
      </c>
      <c r="G1261" s="38" t="s">
        <v>22</v>
      </c>
      <c r="H1261" s="39" t="s">
        <v>525</v>
      </c>
      <c r="I1261" s="40" t="s">
        <v>3238</v>
      </c>
      <c r="J1261" s="41" t="s">
        <v>527</v>
      </c>
      <c r="K1261" s="42" t="s">
        <v>73</v>
      </c>
      <c r="L1261" s="43">
        <v>3.77411309E8</v>
      </c>
      <c r="M1261" s="44">
        <v>8.708999E7</v>
      </c>
      <c r="N1261" s="44" t="s">
        <v>28</v>
      </c>
      <c r="O1261" s="45">
        <v>2.764</v>
      </c>
      <c r="P1261" s="44">
        <v>7.898233432971E12</v>
      </c>
      <c r="Q1261" s="44">
        <v>1.0</v>
      </c>
    </row>
    <row r="1262" ht="15.75" customHeight="1">
      <c r="A1262" s="35" t="s">
        <v>3239</v>
      </c>
      <c r="B1262" s="36">
        <v>125.57004224074178</v>
      </c>
      <c r="C1262" s="36">
        <f>'Lista de Preço 02_2022'!$B1262*0.9*0.9*0.9*0.9*0.9*0.97</f>
        <v>71.92341862</v>
      </c>
      <c r="D1262" s="36">
        <f>'Lista de Preço 02_2022'!$C1262*1.1712</f>
        <v>84.23670788</v>
      </c>
      <c r="E1262" s="37">
        <v>3.25</v>
      </c>
      <c r="F1262" s="38">
        <v>0.18</v>
      </c>
      <c r="G1262" s="38" t="s">
        <v>22</v>
      </c>
      <c r="H1262" s="39" t="s">
        <v>525</v>
      </c>
      <c r="I1262" s="40" t="s">
        <v>3240</v>
      </c>
      <c r="J1262" s="41" t="s">
        <v>527</v>
      </c>
      <c r="K1262" s="42" t="s">
        <v>73</v>
      </c>
      <c r="L1262" s="43" t="s">
        <v>3241</v>
      </c>
      <c r="M1262" s="44">
        <v>8.708999E7</v>
      </c>
      <c r="N1262" s="44" t="s">
        <v>28</v>
      </c>
      <c r="O1262" s="45">
        <v>3.242</v>
      </c>
      <c r="P1262" s="44">
        <v>7.898233432988E12</v>
      </c>
      <c r="Q1262" s="44">
        <v>1.0</v>
      </c>
    </row>
    <row r="1263" ht="15.75" customHeight="1">
      <c r="A1263" s="35" t="s">
        <v>3242</v>
      </c>
      <c r="B1263" s="36">
        <v>108.98239000833408</v>
      </c>
      <c r="C1263" s="36">
        <f>'Lista de Preço 02_2022'!$B1263*0.9*0.9*0.9*0.9*0.9*0.97</f>
        <v>62.42242113</v>
      </c>
      <c r="D1263" s="36">
        <f>'Lista de Preço 02_2022'!$C1263*1.1712</f>
        <v>73.10913963</v>
      </c>
      <c r="E1263" s="37">
        <v>3.25</v>
      </c>
      <c r="F1263" s="38">
        <v>0.18</v>
      </c>
      <c r="G1263" s="38" t="s">
        <v>22</v>
      </c>
      <c r="H1263" s="39" t="s">
        <v>525</v>
      </c>
      <c r="I1263" s="40" t="s">
        <v>3243</v>
      </c>
      <c r="J1263" s="41" t="s">
        <v>527</v>
      </c>
      <c r="K1263" s="42" t="s">
        <v>73</v>
      </c>
      <c r="L1263" s="43" t="s">
        <v>3244</v>
      </c>
      <c r="M1263" s="44">
        <v>8.708999E7</v>
      </c>
      <c r="N1263" s="44" t="s">
        <v>28</v>
      </c>
      <c r="O1263" s="45">
        <v>2.78</v>
      </c>
      <c r="P1263" s="44">
        <v>7.898233432995E12</v>
      </c>
      <c r="Q1263" s="44">
        <v>1.0</v>
      </c>
    </row>
    <row r="1264" ht="15.75" customHeight="1">
      <c r="A1264" s="35" t="s">
        <v>3245</v>
      </c>
      <c r="B1264" s="36">
        <v>152.10689092411434</v>
      </c>
      <c r="C1264" s="36">
        <f>'Lista de Preço 02_2022'!$B1264*0.9*0.9*0.9*0.9*0.9*0.97</f>
        <v>87.12307008</v>
      </c>
      <c r="D1264" s="36">
        <f>'Lista de Preço 02_2022'!$C1264*1.1712</f>
        <v>102.0385397</v>
      </c>
      <c r="E1264" s="37">
        <v>3.25</v>
      </c>
      <c r="F1264" s="38">
        <v>0.18</v>
      </c>
      <c r="G1264" s="38" t="s">
        <v>22</v>
      </c>
      <c r="H1264" s="39" t="s">
        <v>525</v>
      </c>
      <c r="I1264" s="40" t="s">
        <v>3246</v>
      </c>
      <c r="J1264" s="41" t="s">
        <v>527</v>
      </c>
      <c r="K1264" s="42" t="s">
        <v>73</v>
      </c>
      <c r="L1264" s="43" t="s">
        <v>3247</v>
      </c>
      <c r="M1264" s="44">
        <v>8.708999E7</v>
      </c>
      <c r="N1264" s="44" t="s">
        <v>28</v>
      </c>
      <c r="O1264" s="45">
        <v>3.954</v>
      </c>
      <c r="P1264" s="44">
        <v>7.898233433909E12</v>
      </c>
      <c r="Q1264" s="44">
        <v>1.0</v>
      </c>
    </row>
    <row r="1265" ht="15.75" customHeight="1">
      <c r="A1265" s="35" t="s">
        <v>3248</v>
      </c>
      <c r="B1265" s="36">
        <v>102.55318967375563</v>
      </c>
      <c r="C1265" s="36">
        <f>'Lista de Preço 02_2022'!$B1265*0.9*0.9*0.9*0.9*0.9*0.97</f>
        <v>58.73993398</v>
      </c>
      <c r="D1265" s="36">
        <f>'Lista de Preço 02_2022'!$C1265*1.1712</f>
        <v>68.79621068</v>
      </c>
      <c r="E1265" s="37">
        <v>3.25</v>
      </c>
      <c r="F1265" s="38">
        <v>0.18</v>
      </c>
      <c r="G1265" s="38" t="s">
        <v>22</v>
      </c>
      <c r="H1265" s="39" t="s">
        <v>525</v>
      </c>
      <c r="I1265" s="40" t="s">
        <v>3249</v>
      </c>
      <c r="J1265" s="41" t="s">
        <v>527</v>
      </c>
      <c r="K1265" s="42" t="s">
        <v>73</v>
      </c>
      <c r="L1265" s="43" t="s">
        <v>3250</v>
      </c>
      <c r="M1265" s="44">
        <v>8.708999E7</v>
      </c>
      <c r="N1265" s="44" t="s">
        <v>28</v>
      </c>
      <c r="O1265" s="45">
        <v>4.006</v>
      </c>
      <c r="P1265" s="44">
        <v>7.89823343421E12</v>
      </c>
      <c r="Q1265" s="44">
        <v>1.0</v>
      </c>
    </row>
    <row r="1266" ht="15.75" customHeight="1">
      <c r="A1266" s="35" t="s">
        <v>3251</v>
      </c>
      <c r="B1266" s="36">
        <v>125.15470821792552</v>
      </c>
      <c r="C1266" s="36">
        <f>'Lista de Preço 02_2022'!$B1266*0.9*0.9*0.9*0.9*0.9*0.97</f>
        <v>71.68552555</v>
      </c>
      <c r="D1266" s="36">
        <f>'Lista de Preço 02_2022'!$C1266*1.1712</f>
        <v>83.95808752</v>
      </c>
      <c r="E1266" s="37">
        <v>3.25</v>
      </c>
      <c r="F1266" s="38">
        <v>0.18</v>
      </c>
      <c r="G1266" s="38" t="s">
        <v>22</v>
      </c>
      <c r="H1266" s="39" t="s">
        <v>525</v>
      </c>
      <c r="I1266" s="40" t="s">
        <v>3252</v>
      </c>
      <c r="J1266" s="41" t="s">
        <v>3253</v>
      </c>
      <c r="K1266" s="42" t="s">
        <v>73</v>
      </c>
      <c r="L1266" s="43">
        <v>2.11411309E8</v>
      </c>
      <c r="M1266" s="44">
        <v>8.708999E7</v>
      </c>
      <c r="N1266" s="44" t="s">
        <v>28</v>
      </c>
      <c r="O1266" s="45">
        <v>2.786</v>
      </c>
      <c r="P1266" s="44">
        <v>7.898233433947E12</v>
      </c>
      <c r="Q1266" s="44">
        <v>1.0</v>
      </c>
    </row>
    <row r="1267" ht="15.75" customHeight="1">
      <c r="A1267" s="35" t="s">
        <v>3254</v>
      </c>
      <c r="B1267" s="36">
        <v>85.01909553685255</v>
      </c>
      <c r="C1267" s="36">
        <f>'Lista de Preço 02_2022'!$B1267*0.9*0.9*0.9*0.9*0.9*0.97</f>
        <v>48.69683795</v>
      </c>
      <c r="D1267" s="36">
        <f>'Lista de Preço 02_2022'!$C1267*1.1627</f>
        <v>56.61981349</v>
      </c>
      <c r="E1267" s="37">
        <v>2.6</v>
      </c>
      <c r="F1267" s="38">
        <v>0.18</v>
      </c>
      <c r="G1267" s="38" t="s">
        <v>22</v>
      </c>
      <c r="H1267" s="39" t="s">
        <v>38</v>
      </c>
      <c r="I1267" s="40" t="s">
        <v>3255</v>
      </c>
      <c r="J1267" s="41" t="s">
        <v>556</v>
      </c>
      <c r="K1267" s="42" t="s">
        <v>68</v>
      </c>
      <c r="L1267" s="43">
        <v>9.0086134E7</v>
      </c>
      <c r="M1267" s="44">
        <v>8.70893E7</v>
      </c>
      <c r="N1267" s="44" t="s">
        <v>28</v>
      </c>
      <c r="O1267" s="45">
        <v>0.16</v>
      </c>
      <c r="P1267" s="44">
        <v>7.898233433602E12</v>
      </c>
      <c r="Q1267" s="44">
        <v>1.0</v>
      </c>
    </row>
    <row r="1268" ht="15.75" customHeight="1">
      <c r="A1268" s="35" t="s">
        <v>3256</v>
      </c>
      <c r="B1268" s="36">
        <v>34.01523285668411</v>
      </c>
      <c r="C1268" s="36">
        <f>'Lista de Preço 02_2022'!$B1268*0.9*0.9*0.9*0.9*0.9*0.97</f>
        <v>19.4830852</v>
      </c>
      <c r="D1268" s="36">
        <f>'Lista de Preço 02_2022'!$C1268*1.1627</f>
        <v>22.65298317</v>
      </c>
      <c r="E1268" s="37">
        <v>2.6</v>
      </c>
      <c r="F1268" s="38">
        <v>0.18</v>
      </c>
      <c r="G1268" s="38" t="s">
        <v>22</v>
      </c>
      <c r="H1268" s="39" t="s">
        <v>38</v>
      </c>
      <c r="I1268" s="40" t="s">
        <v>3257</v>
      </c>
      <c r="J1268" s="41" t="s">
        <v>556</v>
      </c>
      <c r="K1268" s="42" t="s">
        <v>73</v>
      </c>
      <c r="L1268" s="43" t="s">
        <v>3258</v>
      </c>
      <c r="M1268" s="44">
        <v>8.70893E7</v>
      </c>
      <c r="N1268" s="44" t="s">
        <v>28</v>
      </c>
      <c r="O1268" s="45">
        <v>0.628</v>
      </c>
      <c r="P1268" s="44">
        <v>7.898233433664E12</v>
      </c>
      <c r="Q1268" s="44">
        <v>1.0</v>
      </c>
    </row>
    <row r="1269" ht="15.75" customHeight="1">
      <c r="A1269" s="35" t="s">
        <v>3259</v>
      </c>
      <c r="B1269" s="36">
        <v>35.89158408175081</v>
      </c>
      <c r="C1269" s="36">
        <f>'Lista de Preço 02_2022'!$B1269*0.9*0.9*0.9*0.9*0.9*0.97</f>
        <v>20.55781284</v>
      </c>
      <c r="D1269" s="36">
        <f>'Lista de Preço 02_2022'!$C1269*1.1627</f>
        <v>23.90256899</v>
      </c>
      <c r="E1269" s="37">
        <v>2.6</v>
      </c>
      <c r="F1269" s="38">
        <v>0.18</v>
      </c>
      <c r="G1269" s="38" t="s">
        <v>22</v>
      </c>
      <c r="H1269" s="39" t="s">
        <v>38</v>
      </c>
      <c r="I1269" s="40" t="s">
        <v>3260</v>
      </c>
      <c r="J1269" s="41" t="s">
        <v>556</v>
      </c>
      <c r="K1269" s="42" t="s">
        <v>73</v>
      </c>
      <c r="L1269" s="43">
        <v>1.3141701E7</v>
      </c>
      <c r="M1269" s="44">
        <v>8.70893E7</v>
      </c>
      <c r="N1269" s="44" t="s">
        <v>28</v>
      </c>
      <c r="O1269" s="45">
        <v>0.6</v>
      </c>
      <c r="P1269" s="44">
        <v>7.898233433671E12</v>
      </c>
      <c r="Q1269" s="44">
        <v>1.0</v>
      </c>
    </row>
    <row r="1270" ht="15.75" customHeight="1">
      <c r="A1270" s="35" t="s">
        <v>3261</v>
      </c>
      <c r="B1270" s="36">
        <v>57.629421008786984</v>
      </c>
      <c r="C1270" s="36">
        <f>'Lista de Preço 02_2022'!$B1270*0.9*0.9*0.9*0.9*0.9*0.97</f>
        <v>33.00870891</v>
      </c>
      <c r="D1270" s="36">
        <f>'Lista de Preço 02_2022'!$C1270*1.1627</f>
        <v>38.37922585</v>
      </c>
      <c r="E1270" s="37">
        <v>2.6</v>
      </c>
      <c r="F1270" s="38">
        <v>0.18</v>
      </c>
      <c r="G1270" s="38" t="s">
        <v>22</v>
      </c>
      <c r="H1270" s="39" t="s">
        <v>38</v>
      </c>
      <c r="I1270" s="40" t="s">
        <v>3262</v>
      </c>
      <c r="J1270" s="41" t="s">
        <v>556</v>
      </c>
      <c r="K1270" s="42" t="s">
        <v>73</v>
      </c>
      <c r="L1270" s="43" t="s">
        <v>3263</v>
      </c>
      <c r="M1270" s="44">
        <v>8.70893E7</v>
      </c>
      <c r="N1270" s="44" t="s">
        <v>28</v>
      </c>
      <c r="O1270" s="45">
        <v>0.312</v>
      </c>
      <c r="P1270" s="44">
        <v>7.898233433534E12</v>
      </c>
      <c r="Q1270" s="44">
        <v>1.0</v>
      </c>
    </row>
    <row r="1271" ht="15.75" customHeight="1">
      <c r="A1271" s="35" t="s">
        <v>3264</v>
      </c>
      <c r="B1271" s="36">
        <v>13.597330094277764</v>
      </c>
      <c r="C1271" s="36">
        <f>'Lista de Preço 02_2022'!$B1271*0.9*0.9*0.9*0.9*0.9*0.97</f>
        <v>7.788214824</v>
      </c>
      <c r="D1271" s="36">
        <f>'Lista de Preço 02_2022'!$C1271*1.1627</f>
        <v>9.055357376</v>
      </c>
      <c r="E1271" s="37">
        <v>2.6</v>
      </c>
      <c r="F1271" s="38">
        <v>0.18</v>
      </c>
      <c r="G1271" s="38" t="s">
        <v>22</v>
      </c>
      <c r="H1271" s="39" t="s">
        <v>38</v>
      </c>
      <c r="I1271" s="40" t="s">
        <v>3265</v>
      </c>
      <c r="J1271" s="41" t="s">
        <v>556</v>
      </c>
      <c r="K1271" s="42" t="s">
        <v>73</v>
      </c>
      <c r="L1271" s="43" t="s">
        <v>3266</v>
      </c>
      <c r="M1271" s="44">
        <v>8.70893E7</v>
      </c>
      <c r="N1271" s="44" t="s">
        <v>28</v>
      </c>
      <c r="O1271" s="45">
        <v>0.184</v>
      </c>
      <c r="P1271" s="44">
        <v>7.898233433633E12</v>
      </c>
      <c r="Q1271" s="48">
        <v>10.0</v>
      </c>
    </row>
    <row r="1272" ht="15.75" customHeight="1">
      <c r="A1272" s="35" t="s">
        <v>3267</v>
      </c>
      <c r="B1272" s="36">
        <v>190.98759772691932</v>
      </c>
      <c r="C1272" s="36">
        <f>'Lista de Preço 02_2022'!$B1272*0.9*0.9*0.9*0.9*0.9*0.97</f>
        <v>109.3929786</v>
      </c>
      <c r="D1272" s="36">
        <f>'Lista de Preço 02_2022'!$C1272*1.1712</f>
        <v>128.1210565</v>
      </c>
      <c r="E1272" s="37">
        <v>3.25</v>
      </c>
      <c r="F1272" s="38">
        <v>0.18</v>
      </c>
      <c r="G1272" s="38" t="s">
        <v>22</v>
      </c>
      <c r="H1272" s="39" t="s">
        <v>23</v>
      </c>
      <c r="I1272" s="40" t="s">
        <v>3268</v>
      </c>
      <c r="J1272" s="41" t="s">
        <v>372</v>
      </c>
      <c r="K1272" s="42" t="s">
        <v>73</v>
      </c>
      <c r="L1272" s="43" t="s">
        <v>3269</v>
      </c>
      <c r="M1272" s="44">
        <v>8.708999E7</v>
      </c>
      <c r="N1272" s="44" t="s">
        <v>28</v>
      </c>
      <c r="O1272" s="45">
        <v>2.87</v>
      </c>
      <c r="P1272" s="44">
        <v>7.898233433985E12</v>
      </c>
      <c r="Q1272" s="44">
        <v>1.0</v>
      </c>
    </row>
    <row r="1273" ht="15.75" customHeight="1">
      <c r="A1273" s="35" t="s">
        <v>3270</v>
      </c>
      <c r="B1273" s="36">
        <v>221.04735553994988</v>
      </c>
      <c r="C1273" s="36">
        <f>'Lista de Preço 02_2022'!$B1273*0.9*0.9*0.9*0.9*0.9*0.97</f>
        <v>126.6104654</v>
      </c>
      <c r="D1273" s="36">
        <f>'Lista de Preço 02_2022'!$C1273*1.1712</f>
        <v>148.2861771</v>
      </c>
      <c r="E1273" s="37">
        <v>3.25</v>
      </c>
      <c r="F1273" s="38">
        <v>0.18</v>
      </c>
      <c r="G1273" s="38" t="s">
        <v>22</v>
      </c>
      <c r="H1273" s="39" t="s">
        <v>23</v>
      </c>
      <c r="I1273" s="40" t="s">
        <v>3271</v>
      </c>
      <c r="J1273" s="41" t="s">
        <v>25</v>
      </c>
      <c r="K1273" s="42" t="s">
        <v>73</v>
      </c>
      <c r="L1273" s="43" t="s">
        <v>3272</v>
      </c>
      <c r="M1273" s="44">
        <v>8.708999E7</v>
      </c>
      <c r="N1273" s="44" t="s">
        <v>28</v>
      </c>
      <c r="O1273" s="45">
        <v>1.596</v>
      </c>
      <c r="P1273" s="44">
        <v>7.898233435002E12</v>
      </c>
      <c r="Q1273" s="44">
        <v>1.0</v>
      </c>
    </row>
    <row r="1274" ht="15.75" customHeight="1">
      <c r="A1274" s="35" t="s">
        <v>3273</v>
      </c>
      <c r="B1274" s="36">
        <v>209.23619986895528</v>
      </c>
      <c r="C1274" s="36">
        <f>'Lista de Preço 02_2022'!$B1274*0.9*0.9*0.9*0.9*0.9*0.97</f>
        <v>119.8453272</v>
      </c>
      <c r="D1274" s="36">
        <f>'Lista de Preço 02_2022'!$C1274*1.1712</f>
        <v>140.3628472</v>
      </c>
      <c r="E1274" s="37">
        <v>3.25</v>
      </c>
      <c r="F1274" s="38">
        <v>0.18</v>
      </c>
      <c r="G1274" s="38" t="s">
        <v>22</v>
      </c>
      <c r="H1274" s="39" t="s">
        <v>23</v>
      </c>
      <c r="I1274" s="40" t="s">
        <v>3274</v>
      </c>
      <c r="J1274" s="41" t="s">
        <v>25</v>
      </c>
      <c r="K1274" s="42" t="s">
        <v>73</v>
      </c>
      <c r="L1274" s="43" t="s">
        <v>3275</v>
      </c>
      <c r="M1274" s="44">
        <v>8.708999E7</v>
      </c>
      <c r="N1274" s="44" t="s">
        <v>28</v>
      </c>
      <c r="O1274" s="45">
        <v>1.562</v>
      </c>
      <c r="P1274" s="44">
        <v>7.898233437778E12</v>
      </c>
      <c r="Q1274" s="44">
        <v>1.0</v>
      </c>
    </row>
    <row r="1275" ht="15.75" customHeight="1">
      <c r="A1275" s="35" t="s">
        <v>3276</v>
      </c>
      <c r="B1275" s="36">
        <v>92.5825237367064</v>
      </c>
      <c r="C1275" s="36">
        <f>'Lista de Preço 02_2022'!$B1275*0.9*0.9*0.9*0.9*0.9*0.97</f>
        <v>53.02898281</v>
      </c>
      <c r="D1275" s="36">
        <f>'Lista de Preço 02_2022'!$C1275*1.1712</f>
        <v>62.10754466</v>
      </c>
      <c r="E1275" s="37">
        <v>3.25</v>
      </c>
      <c r="F1275" s="38">
        <v>0.18</v>
      </c>
      <c r="G1275" s="38" t="s">
        <v>22</v>
      </c>
      <c r="H1275" s="39" t="s">
        <v>65</v>
      </c>
      <c r="I1275" s="40" t="s">
        <v>3277</v>
      </c>
      <c r="J1275" s="41" t="s">
        <v>67</v>
      </c>
      <c r="K1275" s="42" t="s">
        <v>73</v>
      </c>
      <c r="L1275" s="43" t="s">
        <v>3278</v>
      </c>
      <c r="M1275" s="44">
        <v>8.708999E7</v>
      </c>
      <c r="N1275" s="44" t="s">
        <v>28</v>
      </c>
      <c r="O1275" s="45">
        <v>0.92</v>
      </c>
      <c r="P1275" s="44">
        <v>7.898233434081E12</v>
      </c>
      <c r="Q1275" s="44">
        <v>1.0</v>
      </c>
    </row>
    <row r="1276" ht="15.75" customHeight="1">
      <c r="A1276" s="35" t="s">
        <v>3279</v>
      </c>
      <c r="B1276" s="36">
        <v>161.54556360694326</v>
      </c>
      <c r="C1276" s="36">
        <f>'Lista de Preço 02_2022'!$B1276*0.9*0.9*0.9*0.9*0.9*0.97</f>
        <v>92.52930866</v>
      </c>
      <c r="D1276" s="36">
        <f>'Lista de Preço 02_2022'!$C1276*1.1712</f>
        <v>108.3703263</v>
      </c>
      <c r="E1276" s="37">
        <v>3.25</v>
      </c>
      <c r="F1276" s="38">
        <v>0.18</v>
      </c>
      <c r="G1276" s="38" t="s">
        <v>22</v>
      </c>
      <c r="H1276" s="39" t="s">
        <v>23</v>
      </c>
      <c r="I1276" s="40" t="s">
        <v>3268</v>
      </c>
      <c r="J1276" s="41" t="s">
        <v>372</v>
      </c>
      <c r="K1276" s="42" t="s">
        <v>73</v>
      </c>
      <c r="L1276" s="43" t="s">
        <v>3280</v>
      </c>
      <c r="M1276" s="44">
        <v>8.708999E7</v>
      </c>
      <c r="N1276" s="44" t="s">
        <v>28</v>
      </c>
      <c r="O1276" s="45">
        <v>2.502</v>
      </c>
      <c r="P1276" s="44">
        <v>7.898233434128E12</v>
      </c>
      <c r="Q1276" s="44">
        <v>1.0</v>
      </c>
    </row>
    <row r="1277" ht="15.75" customHeight="1">
      <c r="A1277" s="35" t="s">
        <v>3281</v>
      </c>
      <c r="B1277" s="36">
        <v>102.39649938699627</v>
      </c>
      <c r="C1277" s="36">
        <f>'Lista de Preço 02_2022'!$B1277*0.9*0.9*0.9*0.9*0.9*0.97</f>
        <v>58.65018566</v>
      </c>
      <c r="D1277" s="36">
        <f>'Lista de Preço 02_2022'!$C1277*1.1712</f>
        <v>68.69109744</v>
      </c>
      <c r="E1277" s="37">
        <v>3.25</v>
      </c>
      <c r="F1277" s="38">
        <v>0.18</v>
      </c>
      <c r="G1277" s="38" t="s">
        <v>22</v>
      </c>
      <c r="H1277" s="39" t="s">
        <v>23</v>
      </c>
      <c r="I1277" s="40" t="s">
        <v>3282</v>
      </c>
      <c r="J1277" s="41" t="s">
        <v>25</v>
      </c>
      <c r="K1277" s="42" t="s">
        <v>73</v>
      </c>
      <c r="L1277" s="43" t="s">
        <v>3283</v>
      </c>
      <c r="M1277" s="44">
        <v>8.708999E7</v>
      </c>
      <c r="N1277" s="44" t="s">
        <v>28</v>
      </c>
      <c r="O1277" s="45">
        <v>1.396</v>
      </c>
      <c r="P1277" s="44">
        <v>7.898233434241E12</v>
      </c>
      <c r="Q1277" s="44">
        <v>1.0</v>
      </c>
    </row>
    <row r="1278" ht="15.75" customHeight="1">
      <c r="A1278" s="35" t="s">
        <v>3284</v>
      </c>
      <c r="B1278" s="36">
        <v>80.97056717795479</v>
      </c>
      <c r="C1278" s="36">
        <f>'Lista de Preço 02_2022'!$B1278*0.9*0.9*0.9*0.9*0.9*0.97</f>
        <v>46.37794091</v>
      </c>
      <c r="D1278" s="36">
        <f>'Lista de Preço 02_2022'!$C1278*1.1627</f>
        <v>53.92363189</v>
      </c>
      <c r="E1278" s="37">
        <v>2.6</v>
      </c>
      <c r="F1278" s="38">
        <v>0.18</v>
      </c>
      <c r="G1278" s="38" t="s">
        <v>22</v>
      </c>
      <c r="H1278" s="39" t="s">
        <v>38</v>
      </c>
      <c r="I1278" s="40" t="s">
        <v>3285</v>
      </c>
      <c r="J1278" s="41" t="s">
        <v>556</v>
      </c>
      <c r="K1278" s="42" t="s">
        <v>68</v>
      </c>
      <c r="L1278" s="43">
        <v>8.0112323E7</v>
      </c>
      <c r="M1278" s="44">
        <v>8.70893E7</v>
      </c>
      <c r="N1278" s="44" t="s">
        <v>28</v>
      </c>
      <c r="O1278" s="45">
        <v>0.218</v>
      </c>
      <c r="P1278" s="44">
        <v>7.898233433756E12</v>
      </c>
      <c r="Q1278" s="44">
        <v>1.0</v>
      </c>
    </row>
    <row r="1279" ht="15.75" customHeight="1">
      <c r="A1279" s="35" t="s">
        <v>3286</v>
      </c>
      <c r="B1279" s="36">
        <v>123.67238792287314</v>
      </c>
      <c r="C1279" s="36">
        <f>'Lista de Preço 02_2022'!$B1279*0.9*0.9*0.9*0.9*0.9*0.97</f>
        <v>70.83648909</v>
      </c>
      <c r="D1279" s="36">
        <f>'Lista de Preço 02_2022'!$C1279*1.1712</f>
        <v>82.96369603</v>
      </c>
      <c r="E1279" s="37">
        <v>3.25</v>
      </c>
      <c r="F1279" s="38">
        <v>0.18</v>
      </c>
      <c r="G1279" s="38" t="s">
        <v>22</v>
      </c>
      <c r="H1279" s="39" t="s">
        <v>65</v>
      </c>
      <c r="I1279" s="40" t="s">
        <v>3287</v>
      </c>
      <c r="J1279" s="41" t="s">
        <v>67</v>
      </c>
      <c r="K1279" s="42" t="s">
        <v>73</v>
      </c>
      <c r="L1279" s="43" t="s">
        <v>3288</v>
      </c>
      <c r="M1279" s="44">
        <v>8.708999E7</v>
      </c>
      <c r="N1279" s="44" t="s">
        <v>28</v>
      </c>
      <c r="O1279" s="45">
        <v>0.918</v>
      </c>
      <c r="P1279" s="44">
        <v>7.898233433541E12</v>
      </c>
      <c r="Q1279" s="44">
        <v>1.0</v>
      </c>
    </row>
    <row r="1280" ht="15.75" customHeight="1">
      <c r="A1280" s="35" t="s">
        <v>3289</v>
      </c>
      <c r="B1280" s="36">
        <v>123.67238792287314</v>
      </c>
      <c r="C1280" s="36">
        <f>'Lista de Preço 02_2022'!$B1280*0.9*0.9*0.9*0.9*0.9*0.97</f>
        <v>70.83648909</v>
      </c>
      <c r="D1280" s="36">
        <f>'Lista de Preço 02_2022'!$C1280*1.1712</f>
        <v>82.96369603</v>
      </c>
      <c r="E1280" s="37">
        <v>3.25</v>
      </c>
      <c r="F1280" s="38">
        <v>0.18</v>
      </c>
      <c r="G1280" s="38" t="s">
        <v>22</v>
      </c>
      <c r="H1280" s="39" t="s">
        <v>65</v>
      </c>
      <c r="I1280" s="40" t="s">
        <v>3287</v>
      </c>
      <c r="J1280" s="41" t="s">
        <v>67</v>
      </c>
      <c r="K1280" s="42" t="s">
        <v>73</v>
      </c>
      <c r="L1280" s="43" t="s">
        <v>3290</v>
      </c>
      <c r="M1280" s="44">
        <v>8.708999E7</v>
      </c>
      <c r="N1280" s="44" t="s">
        <v>28</v>
      </c>
      <c r="O1280" s="45">
        <v>0.916</v>
      </c>
      <c r="P1280" s="44">
        <v>7.898233433558E12</v>
      </c>
      <c r="Q1280" s="44">
        <v>1.0</v>
      </c>
    </row>
    <row r="1281" ht="15.75" customHeight="1">
      <c r="A1281" s="35" t="s">
        <v>3291</v>
      </c>
      <c r="B1281" s="36">
        <v>93.10441624603531</v>
      </c>
      <c r="C1281" s="36">
        <f>'Lista de Preço 02_2022'!$B1281*0.9*0.9*0.9*0.9*0.9*0.97</f>
        <v>53.32790995</v>
      </c>
      <c r="D1281" s="36">
        <f>'Lista de Preço 02_2022'!$C1281*1.1712</f>
        <v>62.45764813</v>
      </c>
      <c r="E1281" s="37">
        <v>3.25</v>
      </c>
      <c r="F1281" s="38">
        <v>0.18</v>
      </c>
      <c r="G1281" s="38" t="s">
        <v>22</v>
      </c>
      <c r="H1281" s="39" t="s">
        <v>23</v>
      </c>
      <c r="I1281" s="40" t="s">
        <v>3292</v>
      </c>
      <c r="J1281" s="41" t="s">
        <v>25</v>
      </c>
      <c r="K1281" s="42" t="s">
        <v>73</v>
      </c>
      <c r="L1281" s="43" t="s">
        <v>3293</v>
      </c>
      <c r="M1281" s="44">
        <v>8.708999E7</v>
      </c>
      <c r="N1281" s="44" t="s">
        <v>28</v>
      </c>
      <c r="O1281" s="45">
        <v>1.48</v>
      </c>
      <c r="P1281" s="44">
        <v>7.898233434272E12</v>
      </c>
      <c r="Q1281" s="44">
        <v>1.0</v>
      </c>
    </row>
    <row r="1282" ht="15.75" customHeight="1">
      <c r="A1282" s="35" t="s">
        <v>3294</v>
      </c>
      <c r="B1282" s="36">
        <v>266.2632656985</v>
      </c>
      <c r="C1282" s="36">
        <f>'Lista de Preço 02_2022'!$B1282*0.9*0.9*0.9*0.9*0.9*0.97</f>
        <v>152.5090219</v>
      </c>
      <c r="D1282" s="36">
        <f>'Lista de Preço 02_2022'!$C1282*1.1712</f>
        <v>178.6185664</v>
      </c>
      <c r="E1282" s="37">
        <v>3.25</v>
      </c>
      <c r="F1282" s="38">
        <v>0.18</v>
      </c>
      <c r="G1282" s="38" t="s">
        <v>22</v>
      </c>
      <c r="H1282" s="39" t="s">
        <v>23</v>
      </c>
      <c r="I1282" s="40" t="s">
        <v>3295</v>
      </c>
      <c r="J1282" s="41" t="s">
        <v>25</v>
      </c>
      <c r="K1282" s="42" t="s">
        <v>73</v>
      </c>
      <c r="L1282" s="43" t="s">
        <v>3296</v>
      </c>
      <c r="M1282" s="44">
        <v>8.708999E7</v>
      </c>
      <c r="N1282" s="44" t="s">
        <v>28</v>
      </c>
      <c r="O1282" s="45">
        <v>2.018</v>
      </c>
      <c r="P1282" s="44">
        <v>7.898233434524E12</v>
      </c>
      <c r="Q1282" s="44">
        <v>1.0</v>
      </c>
    </row>
    <row r="1283" ht="15.75" customHeight="1">
      <c r="A1283" s="35" t="s">
        <v>3297</v>
      </c>
      <c r="B1283" s="36">
        <v>294.2376550890001</v>
      </c>
      <c r="C1283" s="36">
        <f>'Lista de Preço 02_2022'!$B1283*0.9*0.9*0.9*0.9*0.9*0.97</f>
        <v>168.5320612</v>
      </c>
      <c r="D1283" s="36">
        <f>'Lista de Preço 02_2022'!$C1283*1.1712</f>
        <v>197.38475</v>
      </c>
      <c r="E1283" s="37">
        <v>3.25</v>
      </c>
      <c r="F1283" s="38">
        <v>0.18</v>
      </c>
      <c r="G1283" s="38" t="s">
        <v>22</v>
      </c>
      <c r="H1283" s="39" t="s">
        <v>23</v>
      </c>
      <c r="I1283" s="40" t="s">
        <v>3298</v>
      </c>
      <c r="J1283" s="41" t="s">
        <v>25</v>
      </c>
      <c r="K1283" s="42" t="s">
        <v>73</v>
      </c>
      <c r="L1283" s="43" t="s">
        <v>3299</v>
      </c>
      <c r="M1283" s="44">
        <v>8.708999E7</v>
      </c>
      <c r="N1283" s="44" t="s">
        <v>28</v>
      </c>
      <c r="O1283" s="45">
        <v>2.014</v>
      </c>
      <c r="P1283" s="44">
        <v>7.898233435514E12</v>
      </c>
      <c r="Q1283" s="44">
        <v>1.0</v>
      </c>
    </row>
    <row r="1284" ht="15.75" customHeight="1">
      <c r="A1284" s="35" t="s">
        <v>3300</v>
      </c>
      <c r="B1284" s="36">
        <v>206.12064653812186</v>
      </c>
      <c r="C1284" s="36">
        <f>'Lista de Preço 02_2022'!$B1284*0.9*0.9*0.9*0.9*0.9*0.97</f>
        <v>118.0608152</v>
      </c>
      <c r="D1284" s="36">
        <f>'Lista de Preço 02_2022'!$C1284*1.1712</f>
        <v>138.2728267</v>
      </c>
      <c r="E1284" s="37">
        <v>3.25</v>
      </c>
      <c r="F1284" s="38">
        <v>0.18</v>
      </c>
      <c r="G1284" s="38" t="s">
        <v>22</v>
      </c>
      <c r="H1284" s="39" t="s">
        <v>65</v>
      </c>
      <c r="I1284" s="40" t="s">
        <v>3301</v>
      </c>
      <c r="J1284" s="41" t="s">
        <v>67</v>
      </c>
      <c r="K1284" s="42" t="s">
        <v>73</v>
      </c>
      <c r="L1284" s="43">
        <v>3.33501117E8</v>
      </c>
      <c r="M1284" s="44">
        <v>8.708999E7</v>
      </c>
      <c r="N1284" s="44" t="s">
        <v>28</v>
      </c>
      <c r="O1284" s="45">
        <v>1.064</v>
      </c>
      <c r="P1284" s="44">
        <v>7.898233435163E12</v>
      </c>
      <c r="Q1284" s="44">
        <v>1.0</v>
      </c>
    </row>
    <row r="1285" ht="15.75" customHeight="1">
      <c r="A1285" s="35" t="s">
        <v>3302</v>
      </c>
      <c r="B1285" s="36">
        <v>206.12064653812186</v>
      </c>
      <c r="C1285" s="36">
        <f>'Lista de Preço 02_2022'!$B1285*0.9*0.9*0.9*0.9*0.9*0.97</f>
        <v>118.0608152</v>
      </c>
      <c r="D1285" s="36">
        <f>'Lista de Preço 02_2022'!$C1285*1.1712</f>
        <v>138.2728267</v>
      </c>
      <c r="E1285" s="37">
        <v>3.25</v>
      </c>
      <c r="F1285" s="38">
        <v>0.18</v>
      </c>
      <c r="G1285" s="38" t="s">
        <v>22</v>
      </c>
      <c r="H1285" s="39" t="s">
        <v>65</v>
      </c>
      <c r="I1285" s="40" t="s">
        <v>3301</v>
      </c>
      <c r="J1285" s="41" t="s">
        <v>67</v>
      </c>
      <c r="K1285" s="42" t="s">
        <v>73</v>
      </c>
      <c r="L1285" s="43">
        <v>3.33501118E8</v>
      </c>
      <c r="M1285" s="44">
        <v>8.708999E7</v>
      </c>
      <c r="N1285" s="44" t="s">
        <v>28</v>
      </c>
      <c r="O1285" s="45">
        <v>1.074</v>
      </c>
      <c r="P1285" s="44">
        <v>7.89823343517E12</v>
      </c>
      <c r="Q1285" s="44">
        <v>1.0</v>
      </c>
    </row>
    <row r="1286" ht="15.75" customHeight="1">
      <c r="A1286" s="35" t="s">
        <v>3303</v>
      </c>
      <c r="B1286" s="36">
        <v>246.11647351864423</v>
      </c>
      <c r="C1286" s="36">
        <f>'Lista de Preço 02_2022'!$B1286*0.9*0.9*0.9*0.9*0.9*0.97</f>
        <v>140.969437</v>
      </c>
      <c r="D1286" s="36">
        <f>'Lista de Preço 02_2022'!$C1286*1.1712</f>
        <v>165.1034046</v>
      </c>
      <c r="E1286" s="37">
        <v>3.25</v>
      </c>
      <c r="F1286" s="38">
        <v>0.18</v>
      </c>
      <c r="G1286" s="38" t="s">
        <v>22</v>
      </c>
      <c r="H1286" s="39" t="s">
        <v>23</v>
      </c>
      <c r="I1286" s="40" t="s">
        <v>3304</v>
      </c>
      <c r="J1286" s="41" t="s">
        <v>25</v>
      </c>
      <c r="K1286" s="42" t="s">
        <v>73</v>
      </c>
      <c r="L1286" s="43" t="s">
        <v>3305</v>
      </c>
      <c r="M1286" s="44">
        <v>8.708999E7</v>
      </c>
      <c r="N1286" s="44" t="s">
        <v>28</v>
      </c>
      <c r="O1286" s="45">
        <v>1.556</v>
      </c>
      <c r="P1286" s="44">
        <v>7.898233435569E12</v>
      </c>
      <c r="Q1286" s="44">
        <v>1.0</v>
      </c>
    </row>
    <row r="1287" ht="15.75" customHeight="1">
      <c r="A1287" s="35" t="s">
        <v>3306</v>
      </c>
      <c r="B1287" s="36">
        <v>243.2253634945524</v>
      </c>
      <c r="C1287" s="36">
        <f>'Lista de Preço 02_2022'!$B1287*0.9*0.9*0.9*0.9*0.9*0.97</f>
        <v>139.3134805</v>
      </c>
      <c r="D1287" s="36">
        <f>'Lista de Preço 02_2022'!$C1287*1.1712</f>
        <v>163.1639484</v>
      </c>
      <c r="E1287" s="37">
        <v>3.25</v>
      </c>
      <c r="F1287" s="38">
        <v>0.18</v>
      </c>
      <c r="G1287" s="38" t="s">
        <v>22</v>
      </c>
      <c r="H1287" s="39" t="s">
        <v>23</v>
      </c>
      <c r="I1287" s="40" t="s">
        <v>3307</v>
      </c>
      <c r="J1287" s="41" t="s">
        <v>500</v>
      </c>
      <c r="K1287" s="42" t="s">
        <v>73</v>
      </c>
      <c r="L1287" s="43" t="s">
        <v>3308</v>
      </c>
      <c r="M1287" s="44">
        <v>8.708999E7</v>
      </c>
      <c r="N1287" s="44" t="s">
        <v>28</v>
      </c>
      <c r="O1287" s="45">
        <v>1.566</v>
      </c>
      <c r="P1287" s="44">
        <v>7.898233435576E12</v>
      </c>
      <c r="Q1287" s="44">
        <v>1.0</v>
      </c>
    </row>
    <row r="1288" ht="15.75" customHeight="1">
      <c r="A1288" s="35" t="s">
        <v>3309</v>
      </c>
      <c r="B1288" s="36">
        <v>141.71459466284836</v>
      </c>
      <c r="C1288" s="36">
        <f>'Lista de Preço 02_2022'!$B1288*0.9*0.9*0.9*0.9*0.9*0.97</f>
        <v>81.17061947</v>
      </c>
      <c r="D1288" s="36">
        <f>'Lista de Preço 02_2022'!$C1288*1.1627</f>
        <v>94.37707926</v>
      </c>
      <c r="E1288" s="37">
        <v>2.6</v>
      </c>
      <c r="F1288" s="38">
        <v>0.18</v>
      </c>
      <c r="G1288" s="38" t="s">
        <v>22</v>
      </c>
      <c r="H1288" s="39" t="s">
        <v>38</v>
      </c>
      <c r="I1288" s="40" t="s">
        <v>3310</v>
      </c>
      <c r="J1288" s="41" t="s">
        <v>556</v>
      </c>
      <c r="K1288" s="42" t="s">
        <v>73</v>
      </c>
      <c r="L1288" s="43" t="s">
        <v>3311</v>
      </c>
      <c r="M1288" s="44">
        <v>8.70893E7</v>
      </c>
      <c r="N1288" s="44" t="s">
        <v>28</v>
      </c>
      <c r="O1288" s="45">
        <v>0.448</v>
      </c>
      <c r="P1288" s="44">
        <v>7.898233439093E12</v>
      </c>
      <c r="Q1288" s="44">
        <v>1.0</v>
      </c>
    </row>
    <row r="1289" ht="15.75" customHeight="1">
      <c r="A1289" s="35" t="s">
        <v>3312</v>
      </c>
      <c r="B1289" s="36">
        <v>80.97056717795479</v>
      </c>
      <c r="C1289" s="36">
        <f>'Lista de Preço 02_2022'!$B1289*0.9*0.9*0.9*0.9*0.9*0.97</f>
        <v>46.37794091</v>
      </c>
      <c r="D1289" s="36">
        <f>'Lista de Preço 02_2022'!$C1289*1.1627</f>
        <v>53.92363189</v>
      </c>
      <c r="E1289" s="37">
        <v>2.6</v>
      </c>
      <c r="F1289" s="38">
        <v>0.18</v>
      </c>
      <c r="G1289" s="38" t="s">
        <v>22</v>
      </c>
      <c r="H1289" s="39" t="s">
        <v>38</v>
      </c>
      <c r="I1289" s="40" t="s">
        <v>3313</v>
      </c>
      <c r="J1289" s="41" t="s">
        <v>556</v>
      </c>
      <c r="K1289" s="42" t="s">
        <v>68</v>
      </c>
      <c r="L1289" s="43">
        <v>9.0278611E7</v>
      </c>
      <c r="M1289" s="44">
        <v>8.70893E7</v>
      </c>
      <c r="N1289" s="44" t="s">
        <v>28</v>
      </c>
      <c r="O1289" s="45">
        <v>0.204</v>
      </c>
      <c r="P1289" s="44">
        <v>7.898233433763E12</v>
      </c>
      <c r="Q1289" s="44">
        <v>1.0</v>
      </c>
    </row>
    <row r="1290" ht="15.75" customHeight="1">
      <c r="A1290" s="35" t="s">
        <v>3314</v>
      </c>
      <c r="B1290" s="36">
        <v>83.1353274370425</v>
      </c>
      <c r="C1290" s="36">
        <f>'Lista de Preço 02_2022'!$B1290*0.9*0.9*0.9*0.9*0.9*0.97</f>
        <v>47.61786211</v>
      </c>
      <c r="D1290" s="36">
        <f>'Lista de Preço 02_2022'!$C1290*1.1712</f>
        <v>55.77004011</v>
      </c>
      <c r="E1290" s="37">
        <v>3.25</v>
      </c>
      <c r="F1290" s="38">
        <v>0.18</v>
      </c>
      <c r="G1290" s="38" t="s">
        <v>22</v>
      </c>
      <c r="H1290" s="39" t="s">
        <v>65</v>
      </c>
      <c r="I1290" s="40" t="s">
        <v>3315</v>
      </c>
      <c r="J1290" s="41" t="s">
        <v>67</v>
      </c>
      <c r="K1290" s="42" t="s">
        <v>153</v>
      </c>
      <c r="L1290" s="43">
        <v>7.700416374E9</v>
      </c>
      <c r="M1290" s="44">
        <v>8.708999E7</v>
      </c>
      <c r="N1290" s="44" t="s">
        <v>28</v>
      </c>
      <c r="O1290" s="45">
        <v>0.752</v>
      </c>
      <c r="P1290" s="44">
        <v>7.898233436627E12</v>
      </c>
      <c r="Q1290" s="44">
        <v>1.0</v>
      </c>
    </row>
    <row r="1291" ht="15.75" customHeight="1">
      <c r="A1291" s="35" t="s">
        <v>3316</v>
      </c>
      <c r="B1291" s="36">
        <v>118.50139303126271</v>
      </c>
      <c r="C1291" s="36">
        <f>'Lista de Preço 02_2022'!$B1291*0.9*0.9*0.9*0.9*0.9*0.97</f>
        <v>67.87467094</v>
      </c>
      <c r="D1291" s="36">
        <f>'Lista de Preço 02_2022'!$C1291*1.1712</f>
        <v>79.49481461</v>
      </c>
      <c r="E1291" s="37">
        <v>3.25</v>
      </c>
      <c r="F1291" s="38">
        <v>0.18</v>
      </c>
      <c r="G1291" s="38" t="s">
        <v>22</v>
      </c>
      <c r="H1291" s="39" t="s">
        <v>23</v>
      </c>
      <c r="I1291" s="40" t="s">
        <v>3317</v>
      </c>
      <c r="J1291" s="41" t="s">
        <v>25</v>
      </c>
      <c r="K1291" s="42" t="s">
        <v>153</v>
      </c>
      <c r="L1291" s="43" t="s">
        <v>3318</v>
      </c>
      <c r="M1291" s="44">
        <v>8.708999E7</v>
      </c>
      <c r="N1291" s="44" t="s">
        <v>28</v>
      </c>
      <c r="O1291" s="45">
        <v>1.496</v>
      </c>
      <c r="P1291" s="44">
        <v>7.898233436719E12</v>
      </c>
      <c r="Q1291" s="44">
        <v>1.0</v>
      </c>
    </row>
    <row r="1292" ht="15.75" customHeight="1">
      <c r="A1292" s="35" t="s">
        <v>3319</v>
      </c>
      <c r="B1292" s="36">
        <v>346.76877446963147</v>
      </c>
      <c r="C1292" s="36">
        <f>'Lista de Preço 02_2022'!$B1292*0.9*0.9*0.9*0.9*0.9*0.97</f>
        <v>198.6205888</v>
      </c>
      <c r="D1292" s="36">
        <f>'Lista de Preço 02_2022'!$C1292*1.1712</f>
        <v>232.6244336</v>
      </c>
      <c r="E1292" s="37">
        <v>3.25</v>
      </c>
      <c r="F1292" s="38">
        <v>0.18</v>
      </c>
      <c r="G1292" s="38" t="s">
        <v>22</v>
      </c>
      <c r="H1292" s="39" t="s">
        <v>23</v>
      </c>
      <c r="I1292" s="40" t="s">
        <v>3320</v>
      </c>
      <c r="J1292" s="41" t="s">
        <v>25</v>
      </c>
      <c r="K1292" s="42" t="s">
        <v>86</v>
      </c>
      <c r="L1292" s="43" t="s">
        <v>3321</v>
      </c>
      <c r="M1292" s="44">
        <v>8.708999E7</v>
      </c>
      <c r="N1292" s="44" t="s">
        <v>28</v>
      </c>
      <c r="O1292" s="45">
        <v>3.128</v>
      </c>
      <c r="P1292" s="44">
        <v>7.898233436771E12</v>
      </c>
      <c r="Q1292" s="44">
        <v>1.0</v>
      </c>
    </row>
    <row r="1293" ht="15.75" customHeight="1">
      <c r="A1293" s="35" t="s">
        <v>3322</v>
      </c>
      <c r="B1293" s="36">
        <v>522.1374756202662</v>
      </c>
      <c r="C1293" s="36">
        <f>'Lista de Preço 02_2022'!$B1293*0.9*0.9*0.9*0.9*0.9*0.97</f>
        <v>299.0674492</v>
      </c>
      <c r="D1293" s="36">
        <f>'Lista de Preço 02_2022'!$C1293*1.1712</f>
        <v>350.2677965</v>
      </c>
      <c r="E1293" s="37">
        <v>3.25</v>
      </c>
      <c r="F1293" s="38">
        <v>0.18</v>
      </c>
      <c r="G1293" s="38" t="s">
        <v>22</v>
      </c>
      <c r="H1293" s="39" t="s">
        <v>23</v>
      </c>
      <c r="I1293" s="40" t="s">
        <v>3323</v>
      </c>
      <c r="J1293" s="41" t="s">
        <v>25</v>
      </c>
      <c r="K1293" s="42" t="s">
        <v>86</v>
      </c>
      <c r="L1293" s="43" t="s">
        <v>3324</v>
      </c>
      <c r="M1293" s="44">
        <v>8.708999E7</v>
      </c>
      <c r="N1293" s="44" t="s">
        <v>28</v>
      </c>
      <c r="O1293" s="45">
        <v>3.222</v>
      </c>
      <c r="P1293" s="44">
        <v>7.898233436757E12</v>
      </c>
      <c r="Q1293" s="44">
        <v>1.0</v>
      </c>
    </row>
    <row r="1294" ht="15.75" customHeight="1">
      <c r="A1294" s="35" t="s">
        <v>3325</v>
      </c>
      <c r="B1294" s="36">
        <v>143.6450248800848</v>
      </c>
      <c r="C1294" s="36">
        <f>'Lista de Preço 02_2022'!$B1294*0.9*0.9*0.9*0.9*0.9*0.97</f>
        <v>82.27632222</v>
      </c>
      <c r="D1294" s="36">
        <f>'Lista de Preço 02_2022'!$C1294*1.1712</f>
        <v>96.36202858</v>
      </c>
      <c r="E1294" s="37">
        <v>3.25</v>
      </c>
      <c r="F1294" s="38">
        <v>0.18</v>
      </c>
      <c r="G1294" s="38" t="s">
        <v>22</v>
      </c>
      <c r="H1294" s="39" t="s">
        <v>23</v>
      </c>
      <c r="I1294" s="40" t="s">
        <v>3326</v>
      </c>
      <c r="J1294" s="41" t="s">
        <v>25</v>
      </c>
      <c r="K1294" s="42" t="s">
        <v>86</v>
      </c>
      <c r="L1294" s="43" t="s">
        <v>3327</v>
      </c>
      <c r="M1294" s="44">
        <v>8.708999E7</v>
      </c>
      <c r="N1294" s="44" t="s">
        <v>28</v>
      </c>
      <c r="O1294" s="45">
        <v>1.678</v>
      </c>
      <c r="P1294" s="44">
        <v>7.898233436702E12</v>
      </c>
      <c r="Q1294" s="44">
        <v>1.0</v>
      </c>
    </row>
    <row r="1295" ht="15.75" customHeight="1">
      <c r="A1295" s="35" t="s">
        <v>3328</v>
      </c>
      <c r="B1295" s="36">
        <v>300.94200213273433</v>
      </c>
      <c r="C1295" s="36">
        <f>'Lista de Preço 02_2022'!$B1295*0.9*0.9*0.9*0.9*0.9*0.97</f>
        <v>172.3721456</v>
      </c>
      <c r="D1295" s="36">
        <f>'Lista de Preço 02_2022'!$C1295*1.1712</f>
        <v>201.8822569</v>
      </c>
      <c r="E1295" s="37">
        <v>3.25</v>
      </c>
      <c r="F1295" s="38">
        <v>0.18</v>
      </c>
      <c r="G1295" s="38" t="s">
        <v>22</v>
      </c>
      <c r="H1295" s="39" t="s">
        <v>23</v>
      </c>
      <c r="I1295" s="40" t="s">
        <v>3329</v>
      </c>
      <c r="J1295" s="41" t="s">
        <v>25</v>
      </c>
      <c r="K1295" s="42" t="s">
        <v>157</v>
      </c>
      <c r="L1295" s="43" t="s">
        <v>3330</v>
      </c>
      <c r="M1295" s="44">
        <v>8.708999E7</v>
      </c>
      <c r="N1295" s="44" t="s">
        <v>28</v>
      </c>
      <c r="O1295" s="45">
        <v>1.936</v>
      </c>
      <c r="P1295" s="44">
        <v>7.898233436696E12</v>
      </c>
      <c r="Q1295" s="44">
        <v>1.0</v>
      </c>
    </row>
    <row r="1296" ht="15.75" customHeight="1">
      <c r="A1296" s="35" t="s">
        <v>3331</v>
      </c>
      <c r="B1296" s="36">
        <v>3.8066151137871636</v>
      </c>
      <c r="C1296" s="36">
        <f>'Lista de Preço 02_2022'!$B1296*0.9*0.9*0.9*0.9*0.9*0.97</f>
        <v>2.180335114</v>
      </c>
      <c r="D1296" s="36">
        <f>'Lista de Preço 02_2022'!$C1296*1.1712</f>
        <v>2.553608485</v>
      </c>
      <c r="E1296" s="37">
        <v>3.25</v>
      </c>
      <c r="F1296" s="38">
        <v>0.18</v>
      </c>
      <c r="G1296" s="38" t="s">
        <v>22</v>
      </c>
      <c r="H1296" s="39" t="s">
        <v>559</v>
      </c>
      <c r="I1296" s="40" t="s">
        <v>3332</v>
      </c>
      <c r="J1296" s="41" t="s">
        <v>32</v>
      </c>
      <c r="K1296" s="42" t="s">
        <v>68</v>
      </c>
      <c r="L1296" s="43">
        <v>9298661.0</v>
      </c>
      <c r="M1296" s="44">
        <v>8.708999E7</v>
      </c>
      <c r="N1296" s="44" t="s">
        <v>28</v>
      </c>
      <c r="O1296" s="45">
        <v>0.088</v>
      </c>
      <c r="P1296" s="44">
        <v>7.898233430465E12</v>
      </c>
      <c r="Q1296" s="44">
        <v>1.0</v>
      </c>
    </row>
    <row r="1297" ht="15.75" customHeight="1">
      <c r="A1297" s="35" t="s">
        <v>3333</v>
      </c>
      <c r="B1297" s="36">
        <v>279.22163410368313</v>
      </c>
      <c r="C1297" s="36">
        <f>'Lista de Preço 02_2022'!$B1297*0.9*0.9*0.9*0.9*0.9*0.97</f>
        <v>159.9312552</v>
      </c>
      <c r="D1297" s="36">
        <f>'Lista de Preço 02_2022'!$C1297*1.1712</f>
        <v>187.3114861</v>
      </c>
      <c r="E1297" s="37">
        <v>3.25</v>
      </c>
      <c r="F1297" s="38">
        <v>0.18</v>
      </c>
      <c r="G1297" s="38" t="s">
        <v>22</v>
      </c>
      <c r="H1297" s="39" t="s">
        <v>23</v>
      </c>
      <c r="I1297" s="40" t="s">
        <v>3334</v>
      </c>
      <c r="J1297" s="41" t="s">
        <v>25</v>
      </c>
      <c r="K1297" s="42" t="s">
        <v>157</v>
      </c>
      <c r="L1297" s="43" t="s">
        <v>3335</v>
      </c>
      <c r="M1297" s="44">
        <v>8.708999E7</v>
      </c>
      <c r="N1297" s="44" t="s">
        <v>28</v>
      </c>
      <c r="O1297" s="45">
        <v>1.76</v>
      </c>
      <c r="P1297" s="44">
        <v>7.898233436689E12</v>
      </c>
      <c r="Q1297" s="44">
        <v>1.0</v>
      </c>
    </row>
    <row r="1298" ht="15.75" customHeight="1">
      <c r="A1298" s="35" t="s">
        <v>3336</v>
      </c>
      <c r="B1298" s="36">
        <v>78.62300471694901</v>
      </c>
      <c r="C1298" s="36">
        <f>'Lista de Preço 02_2022'!$B1298*0.9*0.9*0.9*0.9*0.9*0.97</f>
        <v>45.03331511</v>
      </c>
      <c r="D1298" s="36">
        <f>'Lista de Preço 02_2022'!$C1298*1.1712</f>
        <v>52.74301866</v>
      </c>
      <c r="E1298" s="37">
        <v>3.25</v>
      </c>
      <c r="F1298" s="38">
        <v>0.18</v>
      </c>
      <c r="G1298" s="38" t="s">
        <v>22</v>
      </c>
      <c r="H1298" s="39" t="s">
        <v>43</v>
      </c>
      <c r="I1298" s="40" t="s">
        <v>3337</v>
      </c>
      <c r="J1298" s="41" t="s">
        <v>45</v>
      </c>
      <c r="K1298" s="42" t="s">
        <v>625</v>
      </c>
      <c r="L1298" s="43" t="s">
        <v>3338</v>
      </c>
      <c r="M1298" s="44">
        <v>8.708999E7</v>
      </c>
      <c r="N1298" s="44" t="s">
        <v>28</v>
      </c>
      <c r="O1298" s="45">
        <v>0.382</v>
      </c>
      <c r="P1298" s="44">
        <v>7.898233437662E12</v>
      </c>
      <c r="Q1298" s="44">
        <v>1.0</v>
      </c>
    </row>
    <row r="1299" ht="15.75" customHeight="1">
      <c r="A1299" s="35" t="s">
        <v>3339</v>
      </c>
      <c r="B1299" s="36">
        <v>81.35090697610804</v>
      </c>
      <c r="C1299" s="36">
        <f>'Lista de Preço 02_2022'!$B1299*0.9*0.9*0.9*0.9*0.9*0.97</f>
        <v>46.59579015</v>
      </c>
      <c r="D1299" s="36">
        <f>'Lista de Preço 02_2022'!$C1299*1.1712</f>
        <v>54.57298942</v>
      </c>
      <c r="E1299" s="37">
        <v>3.25</v>
      </c>
      <c r="F1299" s="38">
        <v>0.18</v>
      </c>
      <c r="G1299" s="38" t="s">
        <v>22</v>
      </c>
      <c r="H1299" s="39" t="s">
        <v>43</v>
      </c>
      <c r="I1299" s="40" t="s">
        <v>3340</v>
      </c>
      <c r="J1299" s="41" t="s">
        <v>45</v>
      </c>
      <c r="K1299" s="42" t="s">
        <v>86</v>
      </c>
      <c r="L1299" s="43" t="s">
        <v>1028</v>
      </c>
      <c r="M1299" s="44">
        <v>8.708999E7</v>
      </c>
      <c r="N1299" s="44" t="s">
        <v>28</v>
      </c>
      <c r="O1299" s="45">
        <v>0.55</v>
      </c>
      <c r="P1299" s="44">
        <v>7.898233436665E12</v>
      </c>
      <c r="Q1299" s="44">
        <v>1.0</v>
      </c>
    </row>
    <row r="1300" ht="15.75" customHeight="1">
      <c r="A1300" s="35" t="s">
        <v>3341</v>
      </c>
      <c r="B1300" s="36">
        <v>101.68255671015173</v>
      </c>
      <c r="C1300" s="36">
        <f>'Lista de Preço 02_2022'!$B1300*0.9*0.9*0.9*0.9*0.9*0.97</f>
        <v>58.24125692</v>
      </c>
      <c r="D1300" s="36">
        <f>'Lista de Preço 02_2022'!$C1300*1.1712</f>
        <v>68.21216011</v>
      </c>
      <c r="E1300" s="37">
        <v>3.25</v>
      </c>
      <c r="F1300" s="38">
        <v>0.18</v>
      </c>
      <c r="G1300" s="38" t="s">
        <v>22</v>
      </c>
      <c r="H1300" s="39" t="s">
        <v>43</v>
      </c>
      <c r="I1300" s="40" t="s">
        <v>3342</v>
      </c>
      <c r="J1300" s="41" t="s">
        <v>45</v>
      </c>
      <c r="K1300" s="42" t="s">
        <v>625</v>
      </c>
      <c r="L1300" s="43" t="s">
        <v>3343</v>
      </c>
      <c r="M1300" s="44">
        <v>8.708999E7</v>
      </c>
      <c r="N1300" s="44" t="s">
        <v>28</v>
      </c>
      <c r="O1300" s="45">
        <v>0.44</v>
      </c>
      <c r="P1300" s="44">
        <v>7.898233435903E12</v>
      </c>
      <c r="Q1300" s="44">
        <v>1.0</v>
      </c>
    </row>
    <row r="1301" ht="15.75" customHeight="1">
      <c r="A1301" s="35" t="s">
        <v>3344</v>
      </c>
      <c r="B1301" s="36">
        <v>130.12904044186203</v>
      </c>
      <c r="C1301" s="36">
        <f>'Lista de Preço 02_2022'!$B1301*0.9*0.9*0.9*0.9*0.9*0.97</f>
        <v>74.53470018</v>
      </c>
      <c r="D1301" s="36">
        <f>'Lista de Preço 02_2022'!$C1301*1.1712</f>
        <v>87.29504085</v>
      </c>
      <c r="E1301" s="37">
        <v>3.25</v>
      </c>
      <c r="F1301" s="38">
        <v>0.18</v>
      </c>
      <c r="G1301" s="38" t="s">
        <v>22</v>
      </c>
      <c r="H1301" s="39" t="s">
        <v>43</v>
      </c>
      <c r="I1301" s="40" t="s">
        <v>3345</v>
      </c>
      <c r="J1301" s="41" t="s">
        <v>45</v>
      </c>
      <c r="K1301" s="42" t="s">
        <v>157</v>
      </c>
      <c r="L1301" s="43" t="s">
        <v>3346</v>
      </c>
      <c r="M1301" s="44">
        <v>8.708999E7</v>
      </c>
      <c r="N1301" s="44" t="s">
        <v>28</v>
      </c>
      <c r="O1301" s="45">
        <v>0.34</v>
      </c>
      <c r="P1301" s="44">
        <v>7.898233435927E12</v>
      </c>
      <c r="Q1301" s="44">
        <v>1.0</v>
      </c>
    </row>
    <row r="1302" ht="15.75" customHeight="1">
      <c r="A1302" s="35" t="s">
        <v>3347</v>
      </c>
      <c r="B1302" s="36">
        <v>86.76619809453751</v>
      </c>
      <c r="C1302" s="36">
        <f>'Lista de Preço 02_2022'!$B1302*0.9*0.9*0.9*0.9*0.9*0.97</f>
        <v>49.69753514</v>
      </c>
      <c r="D1302" s="36">
        <f>'Lista de Preço 02_2022'!$C1302*1.1712</f>
        <v>58.20575316</v>
      </c>
      <c r="E1302" s="37">
        <v>3.25</v>
      </c>
      <c r="F1302" s="38">
        <v>0.18</v>
      </c>
      <c r="G1302" s="38" t="s">
        <v>22</v>
      </c>
      <c r="H1302" s="39" t="s">
        <v>43</v>
      </c>
      <c r="I1302" s="40" t="s">
        <v>3348</v>
      </c>
      <c r="J1302" s="41" t="s">
        <v>45</v>
      </c>
      <c r="K1302" s="42" t="s">
        <v>507</v>
      </c>
      <c r="L1302" s="43" t="s">
        <v>3349</v>
      </c>
      <c r="M1302" s="44">
        <v>8.708999E7</v>
      </c>
      <c r="N1302" s="44" t="s">
        <v>28</v>
      </c>
      <c r="O1302" s="45">
        <v>0.346</v>
      </c>
      <c r="P1302" s="44">
        <v>7.898233435934E12</v>
      </c>
      <c r="Q1302" s="44">
        <v>1.0</v>
      </c>
    </row>
    <row r="1303" ht="15.75" customHeight="1">
      <c r="A1303" s="35" t="s">
        <v>3350</v>
      </c>
      <c r="B1303" s="36">
        <v>116.79088661940744</v>
      </c>
      <c r="C1303" s="36">
        <f>'Lista de Preço 02_2022'!$B1303*0.9*0.9*0.9*0.9*0.9*0.97</f>
        <v>66.89493512</v>
      </c>
      <c r="D1303" s="36">
        <f>'Lista de Preço 02_2022'!$C1303*1.1712</f>
        <v>78.34734801</v>
      </c>
      <c r="E1303" s="37">
        <v>3.25</v>
      </c>
      <c r="F1303" s="38">
        <v>0.18</v>
      </c>
      <c r="G1303" s="38" t="s">
        <v>22</v>
      </c>
      <c r="H1303" s="39" t="s">
        <v>23</v>
      </c>
      <c r="I1303" s="40" t="s">
        <v>3351</v>
      </c>
      <c r="J1303" s="41" t="s">
        <v>25</v>
      </c>
      <c r="K1303" s="42" t="s">
        <v>1904</v>
      </c>
      <c r="L1303" s="43" t="s">
        <v>3352</v>
      </c>
      <c r="M1303" s="44">
        <v>8.708999E7</v>
      </c>
      <c r="N1303" s="44" t="s">
        <v>28</v>
      </c>
      <c r="O1303" s="45">
        <v>1.688</v>
      </c>
      <c r="P1303" s="44">
        <v>7.898233435842E12</v>
      </c>
      <c r="Q1303" s="44">
        <v>1.0</v>
      </c>
    </row>
    <row r="1304" ht="15.75" customHeight="1">
      <c r="A1304" s="35" t="s">
        <v>3353</v>
      </c>
      <c r="B1304" s="36">
        <v>249.1851722620009</v>
      </c>
      <c r="C1304" s="36">
        <f>'Lista de Preço 02_2022'!$B1304*0.9*0.9*0.9*0.9*0.9*0.97</f>
        <v>142.7271118</v>
      </c>
      <c r="D1304" s="36">
        <f>'Lista de Preço 02_2022'!$C1304*1.1712</f>
        <v>167.1619933</v>
      </c>
      <c r="E1304" s="37">
        <v>3.25</v>
      </c>
      <c r="F1304" s="38">
        <v>0.18</v>
      </c>
      <c r="G1304" s="38" t="s">
        <v>22</v>
      </c>
      <c r="H1304" s="39" t="s">
        <v>23</v>
      </c>
      <c r="I1304" s="40" t="s">
        <v>3354</v>
      </c>
      <c r="J1304" s="41" t="s">
        <v>25</v>
      </c>
      <c r="K1304" s="42" t="s">
        <v>1904</v>
      </c>
      <c r="L1304" s="43" t="s">
        <v>3355</v>
      </c>
      <c r="M1304" s="44">
        <v>8.708999E7</v>
      </c>
      <c r="N1304" s="44" t="s">
        <v>28</v>
      </c>
      <c r="O1304" s="45">
        <v>3.922</v>
      </c>
      <c r="P1304" s="44">
        <v>7.898233435828E12</v>
      </c>
      <c r="Q1304" s="44">
        <v>1.0</v>
      </c>
    </row>
    <row r="1305" ht="15.75" customHeight="1">
      <c r="A1305" s="35" t="s">
        <v>3356</v>
      </c>
      <c r="B1305" s="36">
        <v>68.01527642948203</v>
      </c>
      <c r="C1305" s="36">
        <f>'Lista de Preço 02_2022'!$B1305*0.9*0.9*0.9*0.9*0.9*0.97</f>
        <v>38.95747036</v>
      </c>
      <c r="D1305" s="36">
        <f>'Lista de Preço 02_2022'!$C1305*1.1627</f>
        <v>45.29585079</v>
      </c>
      <c r="E1305" s="37">
        <v>2.6</v>
      </c>
      <c r="F1305" s="38">
        <v>0.18</v>
      </c>
      <c r="G1305" s="38" t="s">
        <v>22</v>
      </c>
      <c r="H1305" s="39" t="s">
        <v>38</v>
      </c>
      <c r="I1305" s="40" t="s">
        <v>3357</v>
      </c>
      <c r="J1305" s="41" t="s">
        <v>556</v>
      </c>
      <c r="K1305" s="42" t="s">
        <v>68</v>
      </c>
      <c r="L1305" s="43">
        <v>733629.0</v>
      </c>
      <c r="M1305" s="44">
        <v>8.70893E7</v>
      </c>
      <c r="N1305" s="44" t="s">
        <v>28</v>
      </c>
      <c r="O1305" s="45">
        <v>0.486</v>
      </c>
      <c r="P1305" s="44">
        <v>7.898233430472E12</v>
      </c>
      <c r="Q1305" s="44">
        <v>1.0</v>
      </c>
    </row>
    <row r="1306" ht="15.75" customHeight="1">
      <c r="A1306" s="35" t="s">
        <v>3358</v>
      </c>
      <c r="B1306" s="36">
        <v>201.36175536323304</v>
      </c>
      <c r="C1306" s="36">
        <f>'Lista de Preço 02_2022'!$B1306*0.9*0.9*0.9*0.9*0.9*0.97</f>
        <v>115.3350398</v>
      </c>
      <c r="D1306" s="36">
        <f>'Lista de Preço 02_2022'!$C1306*1.1712</f>
        <v>135.0803987</v>
      </c>
      <c r="E1306" s="37">
        <v>3.25</v>
      </c>
      <c r="F1306" s="38">
        <v>0.18</v>
      </c>
      <c r="G1306" s="38" t="s">
        <v>22</v>
      </c>
      <c r="H1306" s="39" t="s">
        <v>23</v>
      </c>
      <c r="I1306" s="40" t="s">
        <v>3359</v>
      </c>
      <c r="J1306" s="41" t="s">
        <v>25</v>
      </c>
      <c r="K1306" s="42" t="s">
        <v>1904</v>
      </c>
      <c r="L1306" s="43">
        <v>4509767.0</v>
      </c>
      <c r="M1306" s="44">
        <v>8.708999E7</v>
      </c>
      <c r="N1306" s="44" t="s">
        <v>28</v>
      </c>
      <c r="O1306" s="45">
        <v>1.866</v>
      </c>
      <c r="P1306" s="44">
        <v>7.898233435699E12</v>
      </c>
      <c r="Q1306" s="44">
        <v>1.0</v>
      </c>
    </row>
    <row r="1307" ht="15.75" customHeight="1">
      <c r="A1307" s="35" t="s">
        <v>3360</v>
      </c>
      <c r="B1307" s="36">
        <v>219.93395610061862</v>
      </c>
      <c r="C1307" s="36">
        <f>'Lista de Preço 02_2022'!$B1307*0.9*0.9*0.9*0.9*0.9*0.97</f>
        <v>125.9727377</v>
      </c>
      <c r="D1307" s="36">
        <f>'Lista de Preço 02_2022'!$C1307*1.1712</f>
        <v>147.5392704</v>
      </c>
      <c r="E1307" s="37">
        <v>3.25</v>
      </c>
      <c r="F1307" s="38">
        <v>0.18</v>
      </c>
      <c r="G1307" s="38" t="s">
        <v>22</v>
      </c>
      <c r="H1307" s="39" t="s">
        <v>23</v>
      </c>
      <c r="I1307" s="40" t="s">
        <v>3361</v>
      </c>
      <c r="J1307" s="41" t="s">
        <v>25</v>
      </c>
      <c r="K1307" s="42" t="s">
        <v>1904</v>
      </c>
      <c r="L1307" s="43" t="s">
        <v>3362</v>
      </c>
      <c r="M1307" s="44">
        <v>8.708999E7</v>
      </c>
      <c r="N1307" s="44" t="s">
        <v>28</v>
      </c>
      <c r="O1307" s="45">
        <v>3.326</v>
      </c>
      <c r="P1307" s="44">
        <v>7.898233435804E12</v>
      </c>
      <c r="Q1307" s="44">
        <v>1.0</v>
      </c>
    </row>
    <row r="1308" ht="15.75" customHeight="1">
      <c r="A1308" s="35" t="s">
        <v>3363</v>
      </c>
      <c r="B1308" s="36">
        <v>315.5292247620954</v>
      </c>
      <c r="C1308" s="36">
        <f>'Lista de Preço 02_2022'!$B1308*0.9*0.9*0.9*0.9*0.9*0.97</f>
        <v>180.7273464</v>
      </c>
      <c r="D1308" s="36">
        <f>'Lista de Preço 02_2022'!$C1308*1.1712</f>
        <v>211.6678681</v>
      </c>
      <c r="E1308" s="37">
        <v>3.25</v>
      </c>
      <c r="F1308" s="38">
        <v>0.18</v>
      </c>
      <c r="G1308" s="38" t="s">
        <v>22</v>
      </c>
      <c r="H1308" s="39" t="s">
        <v>23</v>
      </c>
      <c r="I1308" s="40" t="s">
        <v>3364</v>
      </c>
      <c r="J1308" s="41" t="s">
        <v>1391</v>
      </c>
      <c r="K1308" s="42" t="s">
        <v>507</v>
      </c>
      <c r="L1308" s="43" t="s">
        <v>3365</v>
      </c>
      <c r="M1308" s="44">
        <v>8.708999E7</v>
      </c>
      <c r="N1308" s="44" t="s">
        <v>28</v>
      </c>
      <c r="O1308" s="45">
        <v>2.504</v>
      </c>
      <c r="P1308" s="44">
        <v>7.898233435798E12</v>
      </c>
      <c r="Q1308" s="44">
        <v>1.0</v>
      </c>
    </row>
    <row r="1309" ht="15.75" customHeight="1">
      <c r="A1309" s="35" t="s">
        <v>3366</v>
      </c>
      <c r="B1309" s="36">
        <v>127.7246085799148</v>
      </c>
      <c r="C1309" s="36">
        <f>'Lista de Preço 02_2022'!$B1309*0.9*0.9*0.9*0.9*0.9*0.97</f>
        <v>73.157501</v>
      </c>
      <c r="D1309" s="36">
        <f>'Lista de Preço 02_2022'!$C1309*1.1712</f>
        <v>85.68206517</v>
      </c>
      <c r="E1309" s="37">
        <v>3.25</v>
      </c>
      <c r="F1309" s="38">
        <v>0.18</v>
      </c>
      <c r="G1309" s="38" t="s">
        <v>22</v>
      </c>
      <c r="H1309" s="39" t="s">
        <v>23</v>
      </c>
      <c r="I1309" s="40" t="s">
        <v>3367</v>
      </c>
      <c r="J1309" s="41" t="s">
        <v>1391</v>
      </c>
      <c r="K1309" s="42" t="s">
        <v>507</v>
      </c>
      <c r="L1309" s="43" t="s">
        <v>3368</v>
      </c>
      <c r="M1309" s="44">
        <v>8.708999E7</v>
      </c>
      <c r="N1309" s="44" t="s">
        <v>28</v>
      </c>
      <c r="O1309" s="45">
        <v>2.234</v>
      </c>
      <c r="P1309" s="44">
        <v>7.898233435866E12</v>
      </c>
      <c r="Q1309" s="44">
        <v>1.0</v>
      </c>
    </row>
    <row r="1310" ht="15.75" customHeight="1">
      <c r="A1310" s="35" t="s">
        <v>3369</v>
      </c>
      <c r="B1310" s="36">
        <v>329.55010219550763</v>
      </c>
      <c r="C1310" s="36">
        <f>'Lista de Preço 02_2022'!$B1310*0.9*0.9*0.9*0.9*0.9*0.97</f>
        <v>188.7581587</v>
      </c>
      <c r="D1310" s="36">
        <f>'Lista de Preço 02_2022'!$C1310*1.1712</f>
        <v>221.0735554</v>
      </c>
      <c r="E1310" s="37">
        <v>3.25</v>
      </c>
      <c r="F1310" s="38">
        <v>0.18</v>
      </c>
      <c r="G1310" s="38" t="s">
        <v>22</v>
      </c>
      <c r="H1310" s="39" t="s">
        <v>23</v>
      </c>
      <c r="I1310" s="40" t="s">
        <v>3370</v>
      </c>
      <c r="J1310" s="41" t="s">
        <v>1391</v>
      </c>
      <c r="K1310" s="42" t="s">
        <v>507</v>
      </c>
      <c r="L1310" s="43" t="s">
        <v>3371</v>
      </c>
      <c r="M1310" s="44">
        <v>8.708999E7</v>
      </c>
      <c r="N1310" s="44" t="s">
        <v>28</v>
      </c>
      <c r="O1310" s="45">
        <v>2.542</v>
      </c>
      <c r="P1310" s="44">
        <v>7.898233435781E12</v>
      </c>
      <c r="Q1310" s="44">
        <v>1.0</v>
      </c>
    </row>
    <row r="1311" ht="15.75" customHeight="1">
      <c r="A1311" s="35" t="s">
        <v>3372</v>
      </c>
      <c r="B1311" s="36">
        <v>169.49383487727548</v>
      </c>
      <c r="C1311" s="36">
        <f>'Lista de Preço 02_2022'!$B1311*0.9*0.9*0.9*0.9*0.9*0.97</f>
        <v>97.08188212</v>
      </c>
      <c r="D1311" s="36">
        <f>'Lista de Preço 02_2022'!$C1311*1.1712</f>
        <v>113.7023003</v>
      </c>
      <c r="E1311" s="37">
        <v>3.25</v>
      </c>
      <c r="F1311" s="38">
        <v>0.18</v>
      </c>
      <c r="G1311" s="38" t="s">
        <v>22</v>
      </c>
      <c r="H1311" s="39" t="s">
        <v>23</v>
      </c>
      <c r="I1311" s="40" t="s">
        <v>3373</v>
      </c>
      <c r="J1311" s="41" t="s">
        <v>1391</v>
      </c>
      <c r="K1311" s="42" t="s">
        <v>507</v>
      </c>
      <c r="L1311" s="43" t="s">
        <v>3374</v>
      </c>
      <c r="M1311" s="44">
        <v>8.708999E7</v>
      </c>
      <c r="N1311" s="44" t="s">
        <v>28</v>
      </c>
      <c r="O1311" s="45">
        <v>2.164</v>
      </c>
      <c r="P1311" s="44">
        <v>7.898233435835E12</v>
      </c>
      <c r="Q1311" s="44">
        <v>1.0</v>
      </c>
    </row>
    <row r="1312" ht="15.75" customHeight="1">
      <c r="A1312" s="35" t="s">
        <v>3375</v>
      </c>
      <c r="B1312" s="36">
        <v>145.40078208874232</v>
      </c>
      <c r="C1312" s="36">
        <f>'Lista de Preço 02_2022'!$B1312*0.9*0.9*0.9*0.9*0.9*0.97</f>
        <v>83.28197658</v>
      </c>
      <c r="D1312" s="36">
        <f>'Lista de Preço 02_2022'!$C1312*1.1712</f>
        <v>97.53985097</v>
      </c>
      <c r="E1312" s="37">
        <v>3.25</v>
      </c>
      <c r="F1312" s="38">
        <v>0.18</v>
      </c>
      <c r="G1312" s="38" t="s">
        <v>22</v>
      </c>
      <c r="H1312" s="39" t="s">
        <v>23</v>
      </c>
      <c r="I1312" s="40" t="s">
        <v>3376</v>
      </c>
      <c r="J1312" s="41" t="s">
        <v>25</v>
      </c>
      <c r="K1312" s="42" t="s">
        <v>507</v>
      </c>
      <c r="L1312" s="43" t="s">
        <v>3377</v>
      </c>
      <c r="M1312" s="44">
        <v>8.708999E7</v>
      </c>
      <c r="N1312" s="44" t="s">
        <v>28</v>
      </c>
      <c r="O1312" s="45">
        <v>1.886</v>
      </c>
      <c r="P1312" s="44">
        <v>7.898233435811E12</v>
      </c>
      <c r="Q1312" s="44">
        <v>1.0</v>
      </c>
    </row>
    <row r="1313" ht="15.75" customHeight="1">
      <c r="A1313" s="35" t="s">
        <v>3378</v>
      </c>
      <c r="B1313" s="36">
        <v>81.4570207780069</v>
      </c>
      <c r="C1313" s="36">
        <f>'Lista de Preço 02_2022'!$B1313*0.9*0.9*0.9*0.9*0.9*0.97</f>
        <v>46.65656951</v>
      </c>
      <c r="D1313" s="36">
        <f>'Lista de Preço 02_2022'!$C1313*1.1712</f>
        <v>54.64417421</v>
      </c>
      <c r="E1313" s="37">
        <v>3.25</v>
      </c>
      <c r="F1313" s="38">
        <v>0.18</v>
      </c>
      <c r="G1313" s="38" t="s">
        <v>22</v>
      </c>
      <c r="H1313" s="39" t="s">
        <v>23</v>
      </c>
      <c r="I1313" s="40" t="s">
        <v>3379</v>
      </c>
      <c r="J1313" s="41" t="s">
        <v>25</v>
      </c>
      <c r="K1313" s="42" t="s">
        <v>507</v>
      </c>
      <c r="L1313" s="43">
        <v>5.1750245E9</v>
      </c>
      <c r="M1313" s="44">
        <v>8.708999E7</v>
      </c>
      <c r="N1313" s="44" t="s">
        <v>28</v>
      </c>
      <c r="O1313" s="45">
        <v>1.99</v>
      </c>
      <c r="P1313" s="44">
        <v>7.89823343588E12</v>
      </c>
      <c r="Q1313" s="44">
        <v>1.0</v>
      </c>
    </row>
    <row r="1314" ht="15.75" customHeight="1">
      <c r="A1314" s="35" t="s">
        <v>3380</v>
      </c>
      <c r="B1314" s="36">
        <v>122.47384938111229</v>
      </c>
      <c r="C1314" s="36">
        <f>'Lista de Preço 02_2022'!$B1314*0.9*0.9*0.9*0.9*0.9*0.97</f>
        <v>70.14999582</v>
      </c>
      <c r="D1314" s="36">
        <f>'Lista de Preço 02_2022'!$C1314*1.1712</f>
        <v>82.15967511</v>
      </c>
      <c r="E1314" s="37">
        <v>3.25</v>
      </c>
      <c r="F1314" s="38">
        <v>0.18</v>
      </c>
      <c r="G1314" s="38" t="s">
        <v>22</v>
      </c>
      <c r="H1314" s="39" t="s">
        <v>43</v>
      </c>
      <c r="I1314" s="40" t="s">
        <v>3381</v>
      </c>
      <c r="J1314" s="41" t="s">
        <v>2104</v>
      </c>
      <c r="K1314" s="42" t="s">
        <v>157</v>
      </c>
      <c r="L1314" s="43" t="s">
        <v>3382</v>
      </c>
      <c r="M1314" s="44">
        <v>8.708999E7</v>
      </c>
      <c r="N1314" s="44" t="s">
        <v>28</v>
      </c>
      <c r="O1314" s="45">
        <v>0.408</v>
      </c>
      <c r="P1314" s="44">
        <v>7.898233435644E12</v>
      </c>
      <c r="Q1314" s="44">
        <v>1.0</v>
      </c>
    </row>
    <row r="1315" ht="15.75" customHeight="1">
      <c r="A1315" s="35" t="s">
        <v>3383</v>
      </c>
      <c r="B1315" s="36">
        <v>119.29845820500303</v>
      </c>
      <c r="C1315" s="36">
        <f>'Lista de Preço 02_2022'!$B1315*0.9*0.9*0.9*0.9*0.9*0.97</f>
        <v>68.33121019</v>
      </c>
      <c r="D1315" s="36">
        <f>'Lista de Preço 02_2022'!$C1315*1.1712</f>
        <v>80.02951337</v>
      </c>
      <c r="E1315" s="37">
        <v>3.25</v>
      </c>
      <c r="F1315" s="38">
        <v>0.18</v>
      </c>
      <c r="G1315" s="38" t="s">
        <v>22</v>
      </c>
      <c r="H1315" s="39" t="s">
        <v>43</v>
      </c>
      <c r="I1315" s="40" t="s">
        <v>3384</v>
      </c>
      <c r="J1315" s="41" t="s">
        <v>45</v>
      </c>
      <c r="K1315" s="42" t="s">
        <v>73</v>
      </c>
      <c r="L1315" s="43" t="s">
        <v>3385</v>
      </c>
      <c r="M1315" s="44">
        <v>8.708999E7</v>
      </c>
      <c r="N1315" s="44" t="s">
        <v>28</v>
      </c>
      <c r="O1315" s="45">
        <v>0.456</v>
      </c>
      <c r="P1315" s="44">
        <v>7.898233435675E12</v>
      </c>
      <c r="Q1315" s="44">
        <v>1.0</v>
      </c>
    </row>
    <row r="1316" ht="15.75" customHeight="1">
      <c r="A1316" s="35" t="s">
        <v>3386</v>
      </c>
      <c r="B1316" s="36">
        <v>87.37627460044655</v>
      </c>
      <c r="C1316" s="36">
        <f>'Lista de Preço 02_2022'!$B1316*0.9*0.9*0.9*0.9*0.9*0.97</f>
        <v>50.0469719</v>
      </c>
      <c r="D1316" s="36">
        <f>'Lista de Preço 02_2022'!$C1316*1.1627</f>
        <v>58.18961422</v>
      </c>
      <c r="E1316" s="37">
        <v>2.6</v>
      </c>
      <c r="F1316" s="38">
        <v>0.18</v>
      </c>
      <c r="G1316" s="38" t="s">
        <v>37</v>
      </c>
      <c r="H1316" s="39" t="s">
        <v>38</v>
      </c>
      <c r="I1316" s="40" t="s">
        <v>3387</v>
      </c>
      <c r="J1316" s="41" t="s">
        <v>2098</v>
      </c>
      <c r="K1316" s="42" t="s">
        <v>303</v>
      </c>
      <c r="L1316" s="43">
        <v>839239.0</v>
      </c>
      <c r="M1316" s="42">
        <v>8.70893E7</v>
      </c>
      <c r="N1316" s="44" t="s">
        <v>28</v>
      </c>
      <c r="O1316" s="45">
        <v>0.614</v>
      </c>
      <c r="P1316" s="44">
        <v>7.898233433466E12</v>
      </c>
      <c r="Q1316" s="44">
        <v>1.0</v>
      </c>
    </row>
    <row r="1317" ht="15.75" customHeight="1">
      <c r="A1317" s="35" t="s">
        <v>3388</v>
      </c>
      <c r="B1317" s="36">
        <v>109.7701362388024</v>
      </c>
      <c r="C1317" s="36">
        <f>'Lista de Preço 02_2022'!$B1317*0.9*0.9*0.9*0.9*0.9*0.97</f>
        <v>62.87362272</v>
      </c>
      <c r="D1317" s="36">
        <f>'Lista de Preço 02_2022'!$C1317*1.1712</f>
        <v>73.63758692</v>
      </c>
      <c r="E1317" s="37">
        <v>3.25</v>
      </c>
      <c r="F1317" s="38">
        <v>0.18</v>
      </c>
      <c r="G1317" s="38" t="s">
        <v>22</v>
      </c>
      <c r="H1317" s="39" t="s">
        <v>43</v>
      </c>
      <c r="I1317" s="40" t="s">
        <v>3389</v>
      </c>
      <c r="J1317" s="41" t="s">
        <v>45</v>
      </c>
      <c r="K1317" s="42" t="s">
        <v>157</v>
      </c>
      <c r="L1317" s="43" t="s">
        <v>3390</v>
      </c>
      <c r="M1317" s="44">
        <v>8.708999E7</v>
      </c>
      <c r="N1317" s="44" t="s">
        <v>28</v>
      </c>
      <c r="O1317" s="45">
        <v>0.444</v>
      </c>
      <c r="P1317" s="44">
        <v>7.898233435651E12</v>
      </c>
      <c r="Q1317" s="44">
        <v>1.0</v>
      </c>
    </row>
    <row r="1318" ht="15.75" customHeight="1">
      <c r="A1318" s="35" t="s">
        <v>3391</v>
      </c>
      <c r="B1318" s="36">
        <v>109.7701362388024</v>
      </c>
      <c r="C1318" s="36">
        <f>'Lista de Preço 02_2022'!$B1318*0.9*0.9*0.9*0.9*0.9*0.97</f>
        <v>62.87362272</v>
      </c>
      <c r="D1318" s="36">
        <f>'Lista de Preço 02_2022'!$C1318*1.1712</f>
        <v>73.63758692</v>
      </c>
      <c r="E1318" s="37">
        <v>3.25</v>
      </c>
      <c r="F1318" s="38">
        <v>0.18</v>
      </c>
      <c r="G1318" s="38" t="s">
        <v>22</v>
      </c>
      <c r="H1318" s="39" t="s">
        <v>43</v>
      </c>
      <c r="I1318" s="40" t="s">
        <v>3392</v>
      </c>
      <c r="J1318" s="41" t="s">
        <v>45</v>
      </c>
      <c r="K1318" s="42" t="s">
        <v>157</v>
      </c>
      <c r="L1318" s="43" t="s">
        <v>3393</v>
      </c>
      <c r="M1318" s="44">
        <v>8.708999E7</v>
      </c>
      <c r="N1318" s="44" t="s">
        <v>28</v>
      </c>
      <c r="O1318" s="45">
        <v>0.306</v>
      </c>
      <c r="P1318" s="44">
        <v>7.898233435668E12</v>
      </c>
      <c r="Q1318" s="44">
        <v>1.0</v>
      </c>
    </row>
    <row r="1319" ht="15.75" customHeight="1">
      <c r="A1319" s="35" t="s">
        <v>3394</v>
      </c>
      <c r="B1319" s="36">
        <v>115.54191458428107</v>
      </c>
      <c r="C1319" s="36">
        <f>'Lista de Preço 02_2022'!$B1319*0.9*0.9*0.9*0.9*0.9*0.97</f>
        <v>66.17955479</v>
      </c>
      <c r="D1319" s="36">
        <f>'Lista de Preço 02_2022'!$C1319*1.1712</f>
        <v>77.50949457</v>
      </c>
      <c r="E1319" s="37">
        <v>3.25</v>
      </c>
      <c r="F1319" s="38">
        <v>0.18</v>
      </c>
      <c r="G1319" s="38" t="s">
        <v>22</v>
      </c>
      <c r="H1319" s="39" t="s">
        <v>43</v>
      </c>
      <c r="I1319" s="40" t="s">
        <v>3395</v>
      </c>
      <c r="J1319" s="41" t="s">
        <v>2104</v>
      </c>
      <c r="K1319" s="42" t="s">
        <v>157</v>
      </c>
      <c r="L1319" s="43" t="s">
        <v>3396</v>
      </c>
      <c r="M1319" s="44">
        <v>8.708999E7</v>
      </c>
      <c r="N1319" s="44" t="s">
        <v>28</v>
      </c>
      <c r="O1319" s="45">
        <v>0.488</v>
      </c>
      <c r="P1319" s="44">
        <v>7.89823343591E12</v>
      </c>
      <c r="Q1319" s="44">
        <v>1.0</v>
      </c>
    </row>
    <row r="1320" ht="15.75" customHeight="1">
      <c r="A1320" s="35" t="s">
        <v>3397</v>
      </c>
      <c r="B1320" s="36">
        <v>152.5569467218424</v>
      </c>
      <c r="C1320" s="36">
        <f>'Lista de Preço 02_2022'!$B1320*0.9*0.9*0.9*0.9*0.9*0.97</f>
        <v>87.38085093</v>
      </c>
      <c r="D1320" s="36">
        <f>'Lista de Preço 02_2022'!$C1320*1.1712</f>
        <v>102.3404526</v>
      </c>
      <c r="E1320" s="37">
        <v>3.25</v>
      </c>
      <c r="F1320" s="38">
        <v>0.18</v>
      </c>
      <c r="G1320" s="38" t="s">
        <v>22</v>
      </c>
      <c r="H1320" s="39" t="s">
        <v>23</v>
      </c>
      <c r="I1320" s="40" t="s">
        <v>3398</v>
      </c>
      <c r="J1320" s="41" t="s">
        <v>25</v>
      </c>
      <c r="K1320" s="42" t="s">
        <v>157</v>
      </c>
      <c r="L1320" s="43" t="s">
        <v>3399</v>
      </c>
      <c r="M1320" s="44">
        <v>8.708999E7</v>
      </c>
      <c r="N1320" s="44" t="s">
        <v>28</v>
      </c>
      <c r="O1320" s="45">
        <v>1.86</v>
      </c>
      <c r="P1320" s="44">
        <v>7.898233435538E12</v>
      </c>
      <c r="Q1320" s="44">
        <v>1.0</v>
      </c>
    </row>
    <row r="1321" ht="15.75" customHeight="1">
      <c r="A1321" s="35" t="s">
        <v>3400</v>
      </c>
      <c r="B1321" s="36">
        <v>159.82156323240633</v>
      </c>
      <c r="C1321" s="36">
        <f>'Lista de Preço 02_2022'!$B1321*0.9*0.9*0.9*0.9*0.9*0.97</f>
        <v>91.54184383</v>
      </c>
      <c r="D1321" s="36">
        <f>'Lista de Preço 02_2022'!$C1321*1.1712</f>
        <v>107.2138075</v>
      </c>
      <c r="E1321" s="37">
        <v>3.25</v>
      </c>
      <c r="F1321" s="38">
        <v>0.18</v>
      </c>
      <c r="G1321" s="38" t="s">
        <v>22</v>
      </c>
      <c r="H1321" s="39" t="s">
        <v>23</v>
      </c>
      <c r="I1321" s="40" t="s">
        <v>3401</v>
      </c>
      <c r="J1321" s="41" t="s">
        <v>25</v>
      </c>
      <c r="K1321" s="42" t="s">
        <v>157</v>
      </c>
      <c r="L1321" s="43" t="s">
        <v>3402</v>
      </c>
      <c r="M1321" s="44">
        <v>8.708999E7</v>
      </c>
      <c r="N1321" s="44" t="s">
        <v>28</v>
      </c>
      <c r="O1321" s="45">
        <v>1.734</v>
      </c>
      <c r="P1321" s="44">
        <v>7.898233435583E12</v>
      </c>
      <c r="Q1321" s="44">
        <v>1.0</v>
      </c>
    </row>
    <row r="1322" ht="15.75" customHeight="1">
      <c r="A1322" s="35" t="s">
        <v>3403</v>
      </c>
      <c r="B1322" s="36">
        <v>370.64207113000003</v>
      </c>
      <c r="C1322" s="36">
        <f>'Lista de Preço 02_2022'!$B1322*0.9*0.9*0.9*0.9*0.9*0.97</f>
        <v>212.2946235</v>
      </c>
      <c r="D1322" s="36">
        <f>'Lista de Preço 02_2022'!$C1322*1.1712</f>
        <v>248.639463</v>
      </c>
      <c r="E1322" s="37">
        <v>3.25</v>
      </c>
      <c r="F1322" s="38">
        <v>0.18</v>
      </c>
      <c r="G1322" s="38" t="s">
        <v>22</v>
      </c>
      <c r="H1322" s="39" t="s">
        <v>23</v>
      </c>
      <c r="I1322" s="40" t="s">
        <v>3404</v>
      </c>
      <c r="J1322" s="41" t="s">
        <v>25</v>
      </c>
      <c r="K1322" s="42" t="s">
        <v>157</v>
      </c>
      <c r="L1322" s="43" t="s">
        <v>3405</v>
      </c>
      <c r="M1322" s="44">
        <v>8.708999E7</v>
      </c>
      <c r="N1322" s="44" t="s">
        <v>28</v>
      </c>
      <c r="O1322" s="45">
        <v>2.894</v>
      </c>
      <c r="P1322" s="44">
        <v>7.898233435545E12</v>
      </c>
      <c r="Q1322" s="44">
        <v>1.0</v>
      </c>
    </row>
    <row r="1323" ht="15.75" customHeight="1">
      <c r="A1323" s="35" t="s">
        <v>3406</v>
      </c>
      <c r="B1323" s="36">
        <v>245.15394879802054</v>
      </c>
      <c r="C1323" s="36">
        <f>'Lista de Preço 02_2022'!$B1323*0.9*0.9*0.9*0.9*0.9*0.97</f>
        <v>140.4181266</v>
      </c>
      <c r="D1323" s="36">
        <f>'Lista de Preço 02_2022'!$C1323*1.1712</f>
        <v>164.4577098</v>
      </c>
      <c r="E1323" s="37">
        <v>3.25</v>
      </c>
      <c r="F1323" s="38">
        <v>0.18</v>
      </c>
      <c r="G1323" s="38" t="s">
        <v>22</v>
      </c>
      <c r="H1323" s="39" t="s">
        <v>23</v>
      </c>
      <c r="I1323" s="40" t="s">
        <v>3407</v>
      </c>
      <c r="J1323" s="41" t="s">
        <v>25</v>
      </c>
      <c r="K1323" s="42" t="s">
        <v>456</v>
      </c>
      <c r="L1323" s="43">
        <v>374829.0</v>
      </c>
      <c r="M1323" s="44">
        <v>8.708999E7</v>
      </c>
      <c r="N1323" s="44" t="s">
        <v>28</v>
      </c>
      <c r="O1323" s="45">
        <v>1.916</v>
      </c>
      <c r="P1323" s="44">
        <v>7.89823343559E12</v>
      </c>
      <c r="Q1323" s="44">
        <v>1.0</v>
      </c>
    </row>
    <row r="1324" ht="15.75" customHeight="1">
      <c r="A1324" s="35" t="s">
        <v>3408</v>
      </c>
      <c r="B1324" s="36">
        <v>132.80660787085654</v>
      </c>
      <c r="C1324" s="36">
        <f>'Lista de Preço 02_2022'!$B1324*0.9*0.9*0.9*0.9*0.9*0.97</f>
        <v>76.06834467</v>
      </c>
      <c r="D1324" s="36">
        <f>'Lista de Preço 02_2022'!$C1324*1.1712</f>
        <v>89.09124527</v>
      </c>
      <c r="E1324" s="37">
        <v>3.25</v>
      </c>
      <c r="F1324" s="38">
        <v>0.18</v>
      </c>
      <c r="G1324" s="38" t="s">
        <v>22</v>
      </c>
      <c r="H1324" s="39" t="s">
        <v>23</v>
      </c>
      <c r="I1324" s="40" t="s">
        <v>3409</v>
      </c>
      <c r="J1324" s="41" t="s">
        <v>25</v>
      </c>
      <c r="K1324" s="42" t="s">
        <v>73</v>
      </c>
      <c r="L1324" s="43">
        <v>3.77501613E8</v>
      </c>
      <c r="M1324" s="44">
        <v>8.708999E7</v>
      </c>
      <c r="N1324" s="44" t="s">
        <v>28</v>
      </c>
      <c r="O1324" s="45">
        <v>2.064</v>
      </c>
      <c r="P1324" s="44">
        <v>7.898233435606E12</v>
      </c>
      <c r="Q1324" s="44">
        <v>1.0</v>
      </c>
    </row>
    <row r="1325" ht="15.75" customHeight="1">
      <c r="A1325" s="35" t="s">
        <v>3410</v>
      </c>
      <c r="B1325" s="36">
        <v>109.80481816446454</v>
      </c>
      <c r="C1325" s="36">
        <f>'Lista de Preço 02_2022'!$B1325*0.9*0.9*0.9*0.9*0.9*0.97</f>
        <v>62.89348767</v>
      </c>
      <c r="D1325" s="36">
        <f>'Lista de Preço 02_2022'!$C1325*1.1712</f>
        <v>73.66085275</v>
      </c>
      <c r="E1325" s="37">
        <v>3.25</v>
      </c>
      <c r="F1325" s="38">
        <v>0.18</v>
      </c>
      <c r="G1325" s="38" t="s">
        <v>22</v>
      </c>
      <c r="H1325" s="39" t="s">
        <v>43</v>
      </c>
      <c r="I1325" s="40" t="s">
        <v>3411</v>
      </c>
      <c r="J1325" s="41" t="s">
        <v>45</v>
      </c>
      <c r="K1325" s="42" t="s">
        <v>73</v>
      </c>
      <c r="L1325" s="43" t="s">
        <v>662</v>
      </c>
      <c r="M1325" s="44">
        <v>8.708999E7</v>
      </c>
      <c r="N1325" s="44" t="s">
        <v>28</v>
      </c>
      <c r="O1325" s="45">
        <v>0.36</v>
      </c>
      <c r="P1325" s="44">
        <v>7.898233435613E12</v>
      </c>
      <c r="Q1325" s="44">
        <v>1.0</v>
      </c>
    </row>
    <row r="1326" ht="15.75" customHeight="1">
      <c r="A1326" s="35" t="s">
        <v>3412</v>
      </c>
      <c r="B1326" s="36">
        <v>81.91525743791865</v>
      </c>
      <c r="C1326" s="36">
        <f>'Lista de Preço 02_2022'!$B1326*0.9*0.9*0.9*0.9*0.9*0.97</f>
        <v>46.91903615</v>
      </c>
      <c r="D1326" s="36">
        <f>'Lista de Preço 02_2022'!$C1326*1.1627</f>
        <v>54.55276334</v>
      </c>
      <c r="E1326" s="37">
        <v>2.6</v>
      </c>
      <c r="F1326" s="38">
        <v>0.18</v>
      </c>
      <c r="G1326" s="38" t="s">
        <v>37</v>
      </c>
      <c r="H1326" s="39" t="s">
        <v>38</v>
      </c>
      <c r="I1326" s="40" t="s">
        <v>3413</v>
      </c>
      <c r="J1326" s="41" t="s">
        <v>2098</v>
      </c>
      <c r="K1326" s="42" t="s">
        <v>303</v>
      </c>
      <c r="L1326" s="43">
        <v>9302935.0</v>
      </c>
      <c r="M1326" s="42">
        <v>8.70893E7</v>
      </c>
      <c r="N1326" s="44" t="s">
        <v>28</v>
      </c>
      <c r="O1326" s="45">
        <v>1.03</v>
      </c>
      <c r="P1326" s="44">
        <v>7.89823343377E12</v>
      </c>
      <c r="Q1326" s="44">
        <v>1.0</v>
      </c>
    </row>
    <row r="1327" ht="15.75" customHeight="1">
      <c r="A1327" s="35" t="s">
        <v>3414</v>
      </c>
      <c r="B1327" s="36">
        <v>301.0145611715551</v>
      </c>
      <c r="C1327" s="36">
        <f>'Lista de Preço 02_2022'!$B1327*0.9*0.9*0.9*0.9*0.9*0.97</f>
        <v>172.4137056</v>
      </c>
      <c r="D1327" s="36">
        <f>'Lista de Preço 02_2022'!$C1327*1.1712</f>
        <v>201.930932</v>
      </c>
      <c r="E1327" s="37">
        <v>3.25</v>
      </c>
      <c r="F1327" s="38">
        <v>0.18</v>
      </c>
      <c r="G1327" s="38" t="s">
        <v>22</v>
      </c>
      <c r="H1327" s="39" t="s">
        <v>23</v>
      </c>
      <c r="I1327" s="40" t="s">
        <v>3415</v>
      </c>
      <c r="J1327" s="41" t="s">
        <v>372</v>
      </c>
      <c r="K1327" s="42" t="s">
        <v>3059</v>
      </c>
      <c r="L1327" s="43" t="s">
        <v>3416</v>
      </c>
      <c r="M1327" s="44">
        <v>8.708999E7</v>
      </c>
      <c r="N1327" s="44" t="s">
        <v>28</v>
      </c>
      <c r="O1327" s="45">
        <v>4.682</v>
      </c>
      <c r="P1327" s="44">
        <v>7.898233431394E12</v>
      </c>
      <c r="Q1327" s="44">
        <v>1.0</v>
      </c>
    </row>
    <row r="1328" ht="15.75" customHeight="1">
      <c r="A1328" s="35" t="s">
        <v>3417</v>
      </c>
      <c r="B1328" s="36">
        <v>301.0145611715551</v>
      </c>
      <c r="C1328" s="36">
        <f>'Lista de Preço 02_2022'!$B1328*0.9*0.9*0.9*0.9*0.9*0.97</f>
        <v>172.4137056</v>
      </c>
      <c r="D1328" s="36">
        <f>'Lista de Preço 02_2022'!$C1328*1.1712</f>
        <v>201.930932</v>
      </c>
      <c r="E1328" s="37">
        <v>3.25</v>
      </c>
      <c r="F1328" s="38">
        <v>0.18</v>
      </c>
      <c r="G1328" s="38" t="s">
        <v>22</v>
      </c>
      <c r="H1328" s="39" t="s">
        <v>23</v>
      </c>
      <c r="I1328" s="40" t="s">
        <v>3418</v>
      </c>
      <c r="J1328" s="41" t="s">
        <v>372</v>
      </c>
      <c r="K1328" s="42" t="s">
        <v>3059</v>
      </c>
      <c r="L1328" s="43" t="s">
        <v>3419</v>
      </c>
      <c r="M1328" s="44">
        <v>8.708999E7</v>
      </c>
      <c r="N1328" s="44" t="s">
        <v>28</v>
      </c>
      <c r="O1328" s="45">
        <v>4.57</v>
      </c>
      <c r="P1328" s="44">
        <v>7.8982334314E12</v>
      </c>
      <c r="Q1328" s="44">
        <v>1.0</v>
      </c>
    </row>
    <row r="1329" ht="15.75" customHeight="1">
      <c r="A1329" s="35" t="s">
        <v>3420</v>
      </c>
      <c r="B1329" s="36">
        <v>170.67185305868108</v>
      </c>
      <c r="C1329" s="36">
        <f>'Lista de Preço 02_2022'!$B1329*0.9*0.9*0.9*0.9*0.9*0.97</f>
        <v>97.75662184</v>
      </c>
      <c r="D1329" s="36">
        <f>'Lista de Preço 02_2022'!$C1329*1.1712</f>
        <v>114.4925555</v>
      </c>
      <c r="E1329" s="37">
        <v>3.25</v>
      </c>
      <c r="F1329" s="38">
        <v>0.18</v>
      </c>
      <c r="G1329" s="38" t="s">
        <v>22</v>
      </c>
      <c r="H1329" s="39" t="s">
        <v>23</v>
      </c>
      <c r="I1329" s="40" t="s">
        <v>3421</v>
      </c>
      <c r="J1329" s="41" t="s">
        <v>372</v>
      </c>
      <c r="K1329" s="42" t="s">
        <v>668</v>
      </c>
      <c r="L1329" s="43" t="s">
        <v>3422</v>
      </c>
      <c r="M1329" s="44">
        <v>8.708999E7</v>
      </c>
      <c r="N1329" s="44" t="s">
        <v>28</v>
      </c>
      <c r="O1329" s="45">
        <v>4.156</v>
      </c>
      <c r="P1329" s="44">
        <v>7.898233431424E12</v>
      </c>
      <c r="Q1329" s="44">
        <v>1.0</v>
      </c>
    </row>
    <row r="1330" ht="15.75" customHeight="1">
      <c r="A1330" s="35" t="s">
        <v>3423</v>
      </c>
      <c r="B1330" s="36">
        <v>170.67185305868108</v>
      </c>
      <c r="C1330" s="36">
        <f>'Lista de Preço 02_2022'!$B1330*0.9*0.9*0.9*0.9*0.9*0.97</f>
        <v>97.75662184</v>
      </c>
      <c r="D1330" s="36">
        <f>'Lista de Preço 02_2022'!$C1330*1.1712</f>
        <v>114.4925555</v>
      </c>
      <c r="E1330" s="37">
        <v>3.25</v>
      </c>
      <c r="F1330" s="38">
        <v>0.18</v>
      </c>
      <c r="G1330" s="38" t="s">
        <v>22</v>
      </c>
      <c r="H1330" s="39" t="s">
        <v>23</v>
      </c>
      <c r="I1330" s="40" t="s">
        <v>3424</v>
      </c>
      <c r="J1330" s="41" t="s">
        <v>372</v>
      </c>
      <c r="K1330" s="42" t="s">
        <v>668</v>
      </c>
      <c r="L1330" s="43" t="s">
        <v>3422</v>
      </c>
      <c r="M1330" s="44">
        <v>8.708999E7</v>
      </c>
      <c r="N1330" s="44" t="s">
        <v>28</v>
      </c>
      <c r="O1330" s="45">
        <v>4.08</v>
      </c>
      <c r="P1330" s="44">
        <v>7.898233431417E12</v>
      </c>
      <c r="Q1330" s="44">
        <v>1.0</v>
      </c>
    </row>
    <row r="1331" ht="15.75" customHeight="1">
      <c r="A1331" s="35" t="s">
        <v>3425</v>
      </c>
      <c r="B1331" s="36">
        <v>172.23167051689728</v>
      </c>
      <c r="C1331" s="36">
        <f>'Lista de Preço 02_2022'!$B1331*0.9*0.9*0.9*0.9*0.9*0.97</f>
        <v>98.65004675</v>
      </c>
      <c r="D1331" s="36">
        <f>'Lista de Preço 02_2022'!$C1331*1.1712</f>
        <v>115.5389348</v>
      </c>
      <c r="E1331" s="37">
        <v>3.25</v>
      </c>
      <c r="F1331" s="38">
        <v>0.18</v>
      </c>
      <c r="G1331" s="38" t="s">
        <v>22</v>
      </c>
      <c r="H1331" s="39" t="s">
        <v>23</v>
      </c>
      <c r="I1331" s="40" t="s">
        <v>3426</v>
      </c>
      <c r="J1331" s="41" t="s">
        <v>372</v>
      </c>
      <c r="K1331" s="42" t="s">
        <v>668</v>
      </c>
      <c r="L1331" s="43" t="s">
        <v>3427</v>
      </c>
      <c r="M1331" s="44">
        <v>8.708999E7</v>
      </c>
      <c r="N1331" s="44" t="s">
        <v>28</v>
      </c>
      <c r="O1331" s="45">
        <v>4.066</v>
      </c>
      <c r="P1331" s="44">
        <v>7.898233431448E12</v>
      </c>
      <c r="Q1331" s="44">
        <v>1.0</v>
      </c>
    </row>
    <row r="1332" ht="15.75" customHeight="1">
      <c r="A1332" s="35" t="s">
        <v>3428</v>
      </c>
      <c r="B1332" s="36">
        <v>172.23167051689728</v>
      </c>
      <c r="C1332" s="36">
        <f>'Lista de Preço 02_2022'!$B1332*0.9*0.9*0.9*0.9*0.9*0.97</f>
        <v>98.65004675</v>
      </c>
      <c r="D1332" s="36">
        <f>'Lista de Preço 02_2022'!$C1332*1.1712</f>
        <v>115.5389348</v>
      </c>
      <c r="E1332" s="37">
        <v>3.25</v>
      </c>
      <c r="F1332" s="38">
        <v>0.18</v>
      </c>
      <c r="G1332" s="38" t="s">
        <v>22</v>
      </c>
      <c r="H1332" s="39" t="s">
        <v>23</v>
      </c>
      <c r="I1332" s="40" t="s">
        <v>3429</v>
      </c>
      <c r="J1332" s="41" t="s">
        <v>372</v>
      </c>
      <c r="K1332" s="42" t="s">
        <v>668</v>
      </c>
      <c r="L1332" s="43" t="s">
        <v>3427</v>
      </c>
      <c r="M1332" s="44">
        <v>8.708999E7</v>
      </c>
      <c r="N1332" s="44" t="s">
        <v>28</v>
      </c>
      <c r="O1332" s="45">
        <v>4.23</v>
      </c>
      <c r="P1332" s="44">
        <v>7.898233431431E12</v>
      </c>
      <c r="Q1332" s="44">
        <v>1.0</v>
      </c>
    </row>
    <row r="1333" ht="15.75" customHeight="1">
      <c r="A1333" s="35" t="s">
        <v>3430</v>
      </c>
      <c r="B1333" s="36">
        <v>100.2030064036564</v>
      </c>
      <c r="C1333" s="36">
        <f>'Lista de Preço 02_2022'!$B1333*0.9*0.9*0.9*0.9*0.9*0.97</f>
        <v>57.39380705</v>
      </c>
      <c r="D1333" s="36">
        <f>'Lista de Preço 02_2022'!$C1333*1.1712</f>
        <v>67.21962682</v>
      </c>
      <c r="E1333" s="37">
        <v>3.25</v>
      </c>
      <c r="F1333" s="38">
        <v>0.18</v>
      </c>
      <c r="G1333" s="38" t="s">
        <v>22</v>
      </c>
      <c r="H1333" s="39" t="s">
        <v>23</v>
      </c>
      <c r="I1333" s="40" t="s">
        <v>3431</v>
      </c>
      <c r="J1333" s="41" t="s">
        <v>372</v>
      </c>
      <c r="K1333" s="42" t="s">
        <v>3059</v>
      </c>
      <c r="L1333" s="43" t="s">
        <v>3432</v>
      </c>
      <c r="M1333" s="44">
        <v>8.708999E7</v>
      </c>
      <c r="N1333" s="44" t="s">
        <v>28</v>
      </c>
      <c r="O1333" s="45">
        <v>1.984</v>
      </c>
      <c r="P1333" s="44">
        <v>7.898233431455E12</v>
      </c>
      <c r="Q1333" s="44">
        <v>1.0</v>
      </c>
    </row>
    <row r="1334" ht="15.75" customHeight="1">
      <c r="A1334" s="35" t="s">
        <v>3433</v>
      </c>
      <c r="B1334" s="36">
        <v>110.569597090025</v>
      </c>
      <c r="C1334" s="36">
        <f>'Lista de Preço 02_2022'!$B1334*0.9*0.9*0.9*0.9*0.9*0.97</f>
        <v>63.33153414</v>
      </c>
      <c r="D1334" s="36">
        <f>'Lista de Preço 02_2022'!$C1334*1.1712</f>
        <v>74.17389279</v>
      </c>
      <c r="E1334" s="37">
        <v>3.25</v>
      </c>
      <c r="F1334" s="38">
        <v>0.18</v>
      </c>
      <c r="G1334" s="38" t="s">
        <v>22</v>
      </c>
      <c r="H1334" s="39" t="s">
        <v>23</v>
      </c>
      <c r="I1334" s="40" t="s">
        <v>3434</v>
      </c>
      <c r="J1334" s="41" t="s">
        <v>25</v>
      </c>
      <c r="K1334" s="42" t="s">
        <v>153</v>
      </c>
      <c r="L1334" s="43">
        <v>7.70071914E9</v>
      </c>
      <c r="M1334" s="44">
        <v>8.708999E7</v>
      </c>
      <c r="N1334" s="44" t="s">
        <v>28</v>
      </c>
      <c r="O1334" s="45">
        <v>1.484</v>
      </c>
      <c r="P1334" s="44">
        <v>7.898233433121E12</v>
      </c>
      <c r="Q1334" s="44">
        <v>1.0</v>
      </c>
    </row>
    <row r="1335" ht="15.75" customHeight="1">
      <c r="A1335" s="35" t="s">
        <v>3435</v>
      </c>
      <c r="B1335" s="36">
        <v>95.99743468047062</v>
      </c>
      <c r="C1335" s="36">
        <f>'Lista de Preço 02_2022'!$B1335*0.9*0.9*0.9*0.9*0.9*0.97</f>
        <v>54.98495945</v>
      </c>
      <c r="D1335" s="36">
        <f>'Lista de Preço 02_2022'!$C1335*1.1712</f>
        <v>64.39838451</v>
      </c>
      <c r="E1335" s="37">
        <v>3.25</v>
      </c>
      <c r="F1335" s="38">
        <v>0.18</v>
      </c>
      <c r="G1335" s="38" t="s">
        <v>22</v>
      </c>
      <c r="H1335" s="39" t="s">
        <v>23</v>
      </c>
      <c r="I1335" s="40" t="s">
        <v>3436</v>
      </c>
      <c r="J1335" s="41" t="s">
        <v>25</v>
      </c>
      <c r="K1335" s="42" t="s">
        <v>153</v>
      </c>
      <c r="L1335" s="43">
        <v>7.700768319E9</v>
      </c>
      <c r="M1335" s="44">
        <v>8.708999E7</v>
      </c>
      <c r="N1335" s="44" t="s">
        <v>28</v>
      </c>
      <c r="O1335" s="45">
        <v>1.488</v>
      </c>
      <c r="P1335" s="44">
        <v>7.898233433138E12</v>
      </c>
      <c r="Q1335" s="44">
        <v>1.0</v>
      </c>
    </row>
    <row r="1336" ht="15.75" customHeight="1">
      <c r="A1336" s="35" t="s">
        <v>3437</v>
      </c>
      <c r="B1336" s="36">
        <v>78.13357433026421</v>
      </c>
      <c r="C1336" s="36">
        <f>'Lista de Preço 02_2022'!$B1336*0.9*0.9*0.9*0.9*0.9*0.97</f>
        <v>44.75298148</v>
      </c>
      <c r="D1336" s="36">
        <f>'Lista de Preço 02_2022'!$C1336*1.1712</f>
        <v>52.41469191</v>
      </c>
      <c r="E1336" s="37">
        <v>3.25</v>
      </c>
      <c r="F1336" s="38">
        <v>0.18</v>
      </c>
      <c r="G1336" s="38" t="s">
        <v>22</v>
      </c>
      <c r="H1336" s="39" t="s">
        <v>23</v>
      </c>
      <c r="I1336" s="40" t="s">
        <v>3438</v>
      </c>
      <c r="J1336" s="41" t="s">
        <v>25</v>
      </c>
      <c r="K1336" s="42" t="s">
        <v>153</v>
      </c>
      <c r="L1336" s="43">
        <v>7.700715149E9</v>
      </c>
      <c r="M1336" s="44">
        <v>8.708999E7</v>
      </c>
      <c r="N1336" s="44" t="s">
        <v>28</v>
      </c>
      <c r="O1336" s="45">
        <v>1.51</v>
      </c>
      <c r="P1336" s="44">
        <v>7.898233433145E12</v>
      </c>
      <c r="Q1336" s="44">
        <v>1.0</v>
      </c>
    </row>
    <row r="1337" ht="15.75" customHeight="1">
      <c r="A1337" s="35" t="s">
        <v>3439</v>
      </c>
      <c r="B1337" s="36">
        <v>186.9141006849646</v>
      </c>
      <c r="C1337" s="36">
        <f>'Lista de Preço 02_2022'!$B1337*0.9*0.9*0.9*0.9*0.9*0.97</f>
        <v>107.0597801</v>
      </c>
      <c r="D1337" s="36">
        <f>'Lista de Preço 02_2022'!$C1337*1.1712</f>
        <v>125.3884144</v>
      </c>
      <c r="E1337" s="37">
        <v>3.25</v>
      </c>
      <c r="F1337" s="38">
        <v>0.18</v>
      </c>
      <c r="G1337" s="38" t="s">
        <v>37</v>
      </c>
      <c r="H1337" s="39" t="s">
        <v>23</v>
      </c>
      <c r="I1337" s="40" t="s">
        <v>3440</v>
      </c>
      <c r="J1337" s="41" t="s">
        <v>302</v>
      </c>
      <c r="K1337" s="42" t="s">
        <v>507</v>
      </c>
      <c r="L1337" s="43">
        <v>5.17704408E9</v>
      </c>
      <c r="M1337" s="42">
        <v>8.708999E7</v>
      </c>
      <c r="N1337" s="44" t="s">
        <v>28</v>
      </c>
      <c r="O1337" s="45">
        <v>3.098</v>
      </c>
      <c r="P1337" s="44">
        <v>7.898233433169E12</v>
      </c>
      <c r="Q1337" s="44">
        <v>1.0</v>
      </c>
    </row>
    <row r="1338" ht="15.75" customHeight="1">
      <c r="A1338" s="35" t="s">
        <v>3441</v>
      </c>
      <c r="B1338" s="36">
        <v>186.9141006849646</v>
      </c>
      <c r="C1338" s="36">
        <f>'Lista de Preço 02_2022'!$B1338*0.9*0.9*0.9*0.9*0.9*0.97</f>
        <v>107.0597801</v>
      </c>
      <c r="D1338" s="36">
        <f>'Lista de Preço 02_2022'!$C1338*1.1712</f>
        <v>125.3884144</v>
      </c>
      <c r="E1338" s="37">
        <v>3.25</v>
      </c>
      <c r="F1338" s="38">
        <v>0.18</v>
      </c>
      <c r="G1338" s="38" t="s">
        <v>37</v>
      </c>
      <c r="H1338" s="39" t="s">
        <v>23</v>
      </c>
      <c r="I1338" s="40" t="s">
        <v>3440</v>
      </c>
      <c r="J1338" s="41" t="s">
        <v>302</v>
      </c>
      <c r="K1338" s="42" t="s">
        <v>507</v>
      </c>
      <c r="L1338" s="43">
        <v>5.17504408E9</v>
      </c>
      <c r="M1338" s="42">
        <v>8.708999E7</v>
      </c>
      <c r="N1338" s="44" t="s">
        <v>28</v>
      </c>
      <c r="O1338" s="45">
        <v>3.078</v>
      </c>
      <c r="P1338" s="44">
        <v>7.898233433152E12</v>
      </c>
      <c r="Q1338" s="44">
        <v>1.0</v>
      </c>
    </row>
    <row r="1339" ht="15.75" customHeight="1">
      <c r="A1339" s="35" t="s">
        <v>3442</v>
      </c>
      <c r="B1339" s="36">
        <v>107.05779873680906</v>
      </c>
      <c r="C1339" s="36">
        <f>'Lista de Preço 02_2022'!$B1339*0.9*0.9*0.9*0.9*0.9*0.97</f>
        <v>61.32006279</v>
      </c>
      <c r="D1339" s="36">
        <f>'Lista de Preço 02_2022'!$C1339*1.1712</f>
        <v>71.81805754</v>
      </c>
      <c r="E1339" s="37">
        <v>3.25</v>
      </c>
      <c r="F1339" s="38">
        <v>0.18</v>
      </c>
      <c r="G1339" s="38" t="s">
        <v>22</v>
      </c>
      <c r="H1339" s="39" t="s">
        <v>23</v>
      </c>
      <c r="I1339" s="40" t="s">
        <v>3443</v>
      </c>
      <c r="J1339" s="41" t="s">
        <v>500</v>
      </c>
      <c r="K1339" s="42" t="s">
        <v>456</v>
      </c>
      <c r="L1339" s="43">
        <v>3701400.0</v>
      </c>
      <c r="M1339" s="44">
        <v>8.708999E7</v>
      </c>
      <c r="N1339" s="44" t="s">
        <v>28</v>
      </c>
      <c r="O1339" s="45">
        <v>3.532</v>
      </c>
      <c r="P1339" s="44">
        <v>7.898233433176E12</v>
      </c>
      <c r="Q1339" s="44">
        <v>1.0</v>
      </c>
    </row>
    <row r="1340" ht="15.75" customHeight="1">
      <c r="A1340" s="35" t="s">
        <v>3444</v>
      </c>
      <c r="B1340" s="36">
        <v>55.83330478592683</v>
      </c>
      <c r="C1340" s="36">
        <f>'Lista de Preço 02_2022'!$B1340*0.9*0.9*0.9*0.9*0.9*0.97</f>
        <v>31.9799379</v>
      </c>
      <c r="D1340" s="36">
        <f>'Lista de Preço 02_2022'!$C1340*1.1712</f>
        <v>37.45490327</v>
      </c>
      <c r="E1340" s="37">
        <v>3.25</v>
      </c>
      <c r="F1340" s="38">
        <v>0.18</v>
      </c>
      <c r="G1340" s="38" t="s">
        <v>22</v>
      </c>
      <c r="H1340" s="39" t="s">
        <v>525</v>
      </c>
      <c r="I1340" s="40" t="s">
        <v>3445</v>
      </c>
      <c r="J1340" s="41" t="s">
        <v>527</v>
      </c>
      <c r="K1340" s="42" t="s">
        <v>68</v>
      </c>
      <c r="L1340" s="43">
        <v>9.0334909E7</v>
      </c>
      <c r="M1340" s="44">
        <v>8.708999E7</v>
      </c>
      <c r="N1340" s="44" t="s">
        <v>28</v>
      </c>
      <c r="O1340" s="45">
        <v>1.438</v>
      </c>
      <c r="P1340" s="44">
        <v>7.898233433688E12</v>
      </c>
      <c r="Q1340" s="44">
        <v>1.0</v>
      </c>
    </row>
    <row r="1341" ht="15.75" customHeight="1">
      <c r="A1341" s="35" t="s">
        <v>3446</v>
      </c>
      <c r="B1341" s="36">
        <v>111.92168504971734</v>
      </c>
      <c r="C1341" s="36">
        <f>'Lista de Preço 02_2022'!$B1341*0.9*0.9*0.9*0.9*0.9*0.97</f>
        <v>64.10597673</v>
      </c>
      <c r="D1341" s="36">
        <f>'Lista de Preço 02_2022'!$C1341*1.1712</f>
        <v>75.08091995</v>
      </c>
      <c r="E1341" s="37">
        <v>3.25</v>
      </c>
      <c r="F1341" s="38">
        <v>0.18</v>
      </c>
      <c r="G1341" s="38" t="s">
        <v>22</v>
      </c>
      <c r="H1341" s="39" t="s">
        <v>23</v>
      </c>
      <c r="I1341" s="40" t="s">
        <v>3447</v>
      </c>
      <c r="J1341" s="41" t="s">
        <v>25</v>
      </c>
      <c r="K1341" s="42" t="s">
        <v>456</v>
      </c>
      <c r="L1341" s="43">
        <v>330776.0</v>
      </c>
      <c r="M1341" s="44">
        <v>8.708999E7</v>
      </c>
      <c r="N1341" s="44" t="s">
        <v>28</v>
      </c>
      <c r="O1341" s="45">
        <v>1.694</v>
      </c>
      <c r="P1341" s="44">
        <v>7.898233433183E12</v>
      </c>
      <c r="Q1341" s="44">
        <v>1.0</v>
      </c>
    </row>
    <row r="1342" ht="15.75" customHeight="1">
      <c r="A1342" s="35" t="s">
        <v>3448</v>
      </c>
      <c r="B1342" s="36">
        <v>109.29740133951408</v>
      </c>
      <c r="C1342" s="36">
        <f>'Lista de Preço 02_2022'!$B1342*0.9*0.9*0.9*0.9*0.9*0.97</f>
        <v>62.60285184</v>
      </c>
      <c r="D1342" s="36">
        <f>'Lista de Preço 02_2022'!$C1342*1.1712</f>
        <v>73.32046008</v>
      </c>
      <c r="E1342" s="37">
        <v>3.25</v>
      </c>
      <c r="F1342" s="38">
        <v>0.18</v>
      </c>
      <c r="G1342" s="38" t="s">
        <v>22</v>
      </c>
      <c r="H1342" s="39" t="s">
        <v>23</v>
      </c>
      <c r="I1342" s="40" t="s">
        <v>3449</v>
      </c>
      <c r="J1342" s="41" t="s">
        <v>25</v>
      </c>
      <c r="K1342" s="42" t="s">
        <v>625</v>
      </c>
      <c r="L1342" s="43">
        <v>330772.0</v>
      </c>
      <c r="M1342" s="44">
        <v>8.708999E7</v>
      </c>
      <c r="N1342" s="44" t="s">
        <v>28</v>
      </c>
      <c r="O1342" s="45">
        <v>1.666</v>
      </c>
      <c r="P1342" s="44">
        <v>7.89823343319E12</v>
      </c>
      <c r="Q1342" s="44">
        <v>1.0</v>
      </c>
    </row>
    <row r="1343" ht="15.75" customHeight="1">
      <c r="A1343" s="35" t="s">
        <v>3450</v>
      </c>
      <c r="B1343" s="36">
        <v>78.95096682744038</v>
      </c>
      <c r="C1343" s="36">
        <f>'Lista de Preço 02_2022'!$B1343*0.9*0.9*0.9*0.9*0.9*0.97</f>
        <v>45.22116371</v>
      </c>
      <c r="D1343" s="36">
        <f>'Lista de Preço 02_2022'!$C1343*1.1712</f>
        <v>52.96302694</v>
      </c>
      <c r="E1343" s="37">
        <v>3.25</v>
      </c>
      <c r="F1343" s="38">
        <v>0.18</v>
      </c>
      <c r="G1343" s="38" t="s">
        <v>22</v>
      </c>
      <c r="H1343" s="39" t="s">
        <v>23</v>
      </c>
      <c r="I1343" s="40" t="s">
        <v>3451</v>
      </c>
      <c r="J1343" s="41" t="s">
        <v>25</v>
      </c>
      <c r="K1343" s="42" t="s">
        <v>456</v>
      </c>
      <c r="L1343" s="43">
        <v>330749.0</v>
      </c>
      <c r="M1343" s="44">
        <v>8.708999E7</v>
      </c>
      <c r="N1343" s="44" t="s">
        <v>28</v>
      </c>
      <c r="O1343" s="45">
        <v>1.478</v>
      </c>
      <c r="P1343" s="44">
        <v>7.898233433206E12</v>
      </c>
      <c r="Q1343" s="44">
        <v>1.0</v>
      </c>
    </row>
    <row r="1344" ht="15.75" customHeight="1">
      <c r="A1344" s="35" t="s">
        <v>3452</v>
      </c>
      <c r="B1344" s="36">
        <v>224.44266090266416</v>
      </c>
      <c r="C1344" s="36">
        <f>'Lista de Preço 02_2022'!$B1344*0.9*0.9*0.9*0.9*0.9*0.97</f>
        <v>128.5552124</v>
      </c>
      <c r="D1344" s="36">
        <f>'Lista de Preço 02_2022'!$C1344*1.1712</f>
        <v>150.5638648</v>
      </c>
      <c r="E1344" s="37">
        <v>3.25</v>
      </c>
      <c r="F1344" s="38">
        <v>0.18</v>
      </c>
      <c r="G1344" s="38" t="s">
        <v>22</v>
      </c>
      <c r="H1344" s="39" t="s">
        <v>23</v>
      </c>
      <c r="I1344" s="40" t="s">
        <v>3453</v>
      </c>
      <c r="J1344" s="41" t="s">
        <v>372</v>
      </c>
      <c r="K1344" s="42" t="s">
        <v>3059</v>
      </c>
      <c r="L1344" s="43" t="s">
        <v>3454</v>
      </c>
      <c r="M1344" s="44">
        <v>8.708999E7</v>
      </c>
      <c r="N1344" s="44" t="s">
        <v>28</v>
      </c>
      <c r="O1344" s="45">
        <v>3.942</v>
      </c>
      <c r="P1344" s="44">
        <v>7.898233433435E12</v>
      </c>
      <c r="Q1344" s="44">
        <v>1.0</v>
      </c>
    </row>
    <row r="1345" ht="15.75" customHeight="1">
      <c r="A1345" s="35" t="s">
        <v>3455</v>
      </c>
      <c r="B1345" s="36">
        <v>215.7568733834719</v>
      </c>
      <c r="C1345" s="36">
        <f>'Lista de Preço 02_2022'!$B1345*0.9*0.9*0.9*0.9*0.9*0.97</f>
        <v>123.5802079</v>
      </c>
      <c r="D1345" s="36">
        <f>'Lista de Preço 02_2022'!$C1345*1.1712</f>
        <v>144.7371395</v>
      </c>
      <c r="E1345" s="37">
        <v>3.25</v>
      </c>
      <c r="F1345" s="38">
        <v>0.18</v>
      </c>
      <c r="G1345" s="38" t="s">
        <v>22</v>
      </c>
      <c r="H1345" s="39" t="s">
        <v>23</v>
      </c>
      <c r="I1345" s="40" t="s">
        <v>3456</v>
      </c>
      <c r="J1345" s="41" t="s">
        <v>500</v>
      </c>
      <c r="K1345" s="42" t="s">
        <v>86</v>
      </c>
      <c r="L1345" s="43">
        <v>4.351139015E9</v>
      </c>
      <c r="M1345" s="44">
        <v>8.708999E7</v>
      </c>
      <c r="N1345" s="44" t="s">
        <v>28</v>
      </c>
      <c r="O1345" s="45">
        <v>4.354</v>
      </c>
      <c r="P1345" s="44">
        <v>7.898233433213E12</v>
      </c>
      <c r="Q1345" s="44">
        <v>1.0</v>
      </c>
    </row>
    <row r="1346" ht="15.75" customHeight="1">
      <c r="A1346" s="35" t="s">
        <v>3457</v>
      </c>
      <c r="B1346" s="36">
        <v>125.73985312225564</v>
      </c>
      <c r="C1346" s="36">
        <f>'Lista de Preço 02_2022'!$B1346*0.9*0.9*0.9*0.9*0.9*0.97</f>
        <v>72.02068209</v>
      </c>
      <c r="D1346" s="36">
        <f>'Lista de Preço 02_2022'!$C1346*1.1712</f>
        <v>84.35062287</v>
      </c>
      <c r="E1346" s="37">
        <v>3.25</v>
      </c>
      <c r="F1346" s="38">
        <v>0.18</v>
      </c>
      <c r="G1346" s="38" t="s">
        <v>22</v>
      </c>
      <c r="H1346" s="39" t="s">
        <v>23</v>
      </c>
      <c r="I1346" s="40" t="s">
        <v>3458</v>
      </c>
      <c r="J1346" s="41" t="s">
        <v>25</v>
      </c>
      <c r="K1346" s="42" t="s">
        <v>86</v>
      </c>
      <c r="L1346" s="43">
        <v>4.35021209E9</v>
      </c>
      <c r="M1346" s="44">
        <v>8.708999E7</v>
      </c>
      <c r="N1346" s="44" t="s">
        <v>28</v>
      </c>
      <c r="O1346" s="45">
        <v>1.628</v>
      </c>
      <c r="P1346" s="44">
        <v>7.89823343322E12</v>
      </c>
      <c r="Q1346" s="44">
        <v>1.0</v>
      </c>
    </row>
    <row r="1347" ht="15.75" customHeight="1">
      <c r="A1347" s="35" t="s">
        <v>3459</v>
      </c>
      <c r="B1347" s="36">
        <v>142.52485725487315</v>
      </c>
      <c r="C1347" s="36">
        <f>'Lista de Preço 02_2022'!$B1347*0.9*0.9*0.9*0.9*0.9*0.97</f>
        <v>81.63471787</v>
      </c>
      <c r="D1347" s="36">
        <f>'Lista de Preço 02_2022'!$C1347*1.1712</f>
        <v>95.61058157</v>
      </c>
      <c r="E1347" s="37">
        <v>3.25</v>
      </c>
      <c r="F1347" s="38">
        <v>0.18</v>
      </c>
      <c r="G1347" s="38" t="s">
        <v>22</v>
      </c>
      <c r="H1347" s="39" t="s">
        <v>23</v>
      </c>
      <c r="I1347" s="40" t="s">
        <v>3460</v>
      </c>
      <c r="J1347" s="41" t="s">
        <v>25</v>
      </c>
      <c r="K1347" s="42" t="s">
        <v>157</v>
      </c>
      <c r="L1347" s="43" t="s">
        <v>3461</v>
      </c>
      <c r="M1347" s="44">
        <v>8.708999E7</v>
      </c>
      <c r="N1347" s="44" t="s">
        <v>28</v>
      </c>
      <c r="O1347" s="45">
        <v>1.684</v>
      </c>
      <c r="P1347" s="44">
        <v>7.898233433237E12</v>
      </c>
      <c r="Q1347" s="44">
        <v>1.0</v>
      </c>
    </row>
    <row r="1348" ht="15.75" customHeight="1">
      <c r="A1348" s="35" t="s">
        <v>3462</v>
      </c>
      <c r="B1348" s="36">
        <v>85.34884293783226</v>
      </c>
      <c r="C1348" s="36">
        <f>'Lista de Preço 02_2022'!$B1348*0.9*0.9*0.9*0.9*0.9*0.97</f>
        <v>48.88570912</v>
      </c>
      <c r="D1348" s="36">
        <f>'Lista de Preço 02_2022'!$C1348*1.1712</f>
        <v>57.25494252</v>
      </c>
      <c r="E1348" s="37">
        <v>3.25</v>
      </c>
      <c r="F1348" s="38">
        <v>0.18</v>
      </c>
      <c r="G1348" s="38" t="s">
        <v>22</v>
      </c>
      <c r="H1348" s="39" t="s">
        <v>23</v>
      </c>
      <c r="I1348" s="40" t="s">
        <v>3463</v>
      </c>
      <c r="J1348" s="41" t="s">
        <v>25</v>
      </c>
      <c r="K1348" s="42" t="s">
        <v>157</v>
      </c>
      <c r="L1348" s="43" t="s">
        <v>3464</v>
      </c>
      <c r="M1348" s="44">
        <v>8.708999E7</v>
      </c>
      <c r="N1348" s="44" t="s">
        <v>28</v>
      </c>
      <c r="O1348" s="45">
        <v>1.3</v>
      </c>
      <c r="P1348" s="44">
        <v>7.898233433244E12</v>
      </c>
      <c r="Q1348" s="44">
        <v>1.0</v>
      </c>
    </row>
    <row r="1349" ht="15.75" customHeight="1">
      <c r="A1349" s="35" t="s">
        <v>3465</v>
      </c>
      <c r="B1349" s="36">
        <v>72.1476469748061</v>
      </c>
      <c r="C1349" s="36">
        <f>'Lista de Preço 02_2022'!$B1349*0.9*0.9*0.9*0.9*0.9*0.97</f>
        <v>41.32439014</v>
      </c>
      <c r="D1349" s="36">
        <f>'Lista de Preço 02_2022'!$C1349*1.1712</f>
        <v>48.39912573</v>
      </c>
      <c r="E1349" s="37">
        <v>3.25</v>
      </c>
      <c r="F1349" s="38">
        <v>0.18</v>
      </c>
      <c r="G1349" s="38" t="s">
        <v>22</v>
      </c>
      <c r="H1349" s="39" t="s">
        <v>23</v>
      </c>
      <c r="I1349" s="40" t="s">
        <v>3466</v>
      </c>
      <c r="J1349" s="41" t="s">
        <v>25</v>
      </c>
      <c r="K1349" s="42" t="s">
        <v>157</v>
      </c>
      <c r="L1349" s="43" t="s">
        <v>3467</v>
      </c>
      <c r="M1349" s="44">
        <v>8.708999E7</v>
      </c>
      <c r="N1349" s="44" t="s">
        <v>28</v>
      </c>
      <c r="O1349" s="45">
        <v>1.28</v>
      </c>
      <c r="P1349" s="44">
        <v>7.898233433251E12</v>
      </c>
      <c r="Q1349" s="44">
        <v>1.0</v>
      </c>
    </row>
    <row r="1350" ht="15.75" customHeight="1">
      <c r="A1350" s="35" t="s">
        <v>3468</v>
      </c>
      <c r="B1350" s="36">
        <v>101.10131832802416</v>
      </c>
      <c r="C1350" s="36">
        <f>'Lista de Preço 02_2022'!$B1350*0.9*0.9*0.9*0.9*0.9*0.97</f>
        <v>57.90833794</v>
      </c>
      <c r="D1350" s="36">
        <f>'Lista de Preço 02_2022'!$C1350*1.1712</f>
        <v>67.82224539</v>
      </c>
      <c r="E1350" s="37">
        <v>3.25</v>
      </c>
      <c r="F1350" s="38">
        <v>0.18</v>
      </c>
      <c r="G1350" s="38" t="s">
        <v>22</v>
      </c>
      <c r="H1350" s="39" t="s">
        <v>23</v>
      </c>
      <c r="I1350" s="40" t="s">
        <v>3469</v>
      </c>
      <c r="J1350" s="41" t="s">
        <v>25</v>
      </c>
      <c r="K1350" s="42" t="s">
        <v>157</v>
      </c>
      <c r="L1350" s="43" t="s">
        <v>3470</v>
      </c>
      <c r="M1350" s="44">
        <v>8.708999E7</v>
      </c>
      <c r="N1350" s="44" t="s">
        <v>28</v>
      </c>
      <c r="O1350" s="45">
        <v>1.682</v>
      </c>
      <c r="P1350" s="44">
        <v>7.898233433268E12</v>
      </c>
      <c r="Q1350" s="44">
        <v>1.0</v>
      </c>
    </row>
    <row r="1351" ht="15.75" customHeight="1">
      <c r="A1351" s="35" t="s">
        <v>3471</v>
      </c>
      <c r="B1351" s="36">
        <v>112.40830107167264</v>
      </c>
      <c r="C1351" s="36">
        <f>'Lista de Preço 02_2022'!$B1351*0.9*0.9*0.9*0.9*0.9*0.97</f>
        <v>64.38469837</v>
      </c>
      <c r="D1351" s="36">
        <f>'Lista de Preço 02_2022'!$C1351*1.1712</f>
        <v>75.40735873</v>
      </c>
      <c r="E1351" s="37">
        <v>3.25</v>
      </c>
      <c r="F1351" s="38">
        <v>0.18</v>
      </c>
      <c r="G1351" s="38" t="s">
        <v>22</v>
      </c>
      <c r="H1351" s="39" t="s">
        <v>525</v>
      </c>
      <c r="I1351" s="40" t="s">
        <v>3472</v>
      </c>
      <c r="J1351" s="41" t="s">
        <v>527</v>
      </c>
      <c r="K1351" s="42" t="s">
        <v>68</v>
      </c>
      <c r="L1351" s="43">
        <v>9.0496095E7</v>
      </c>
      <c r="M1351" s="44">
        <v>8.708999E7</v>
      </c>
      <c r="N1351" s="44" t="s">
        <v>28</v>
      </c>
      <c r="O1351" s="45">
        <v>2.444</v>
      </c>
      <c r="P1351" s="44">
        <v>7.898233433008E12</v>
      </c>
      <c r="Q1351" s="44">
        <v>1.0</v>
      </c>
    </row>
    <row r="1352" ht="15.75" customHeight="1">
      <c r="A1352" s="35" t="s">
        <v>3473</v>
      </c>
      <c r="B1352" s="36">
        <v>62.07143934432002</v>
      </c>
      <c r="C1352" s="36">
        <f>'Lista de Preço 02_2022'!$B1352*0.9*0.9*0.9*0.9*0.9*0.97</f>
        <v>35.55298729</v>
      </c>
      <c r="D1352" s="36">
        <f>'Lista de Preço 02_2022'!$C1352*1.1712</f>
        <v>41.63965872</v>
      </c>
      <c r="E1352" s="37">
        <v>3.25</v>
      </c>
      <c r="F1352" s="38">
        <v>0.18</v>
      </c>
      <c r="G1352" s="38" t="s">
        <v>22</v>
      </c>
      <c r="H1352" s="39" t="s">
        <v>23</v>
      </c>
      <c r="I1352" s="40" t="s">
        <v>3474</v>
      </c>
      <c r="J1352" s="41" t="s">
        <v>25</v>
      </c>
      <c r="K1352" s="42" t="s">
        <v>157</v>
      </c>
      <c r="L1352" s="43" t="s">
        <v>3475</v>
      </c>
      <c r="M1352" s="44">
        <v>8.708999E7</v>
      </c>
      <c r="N1352" s="44" t="s">
        <v>28</v>
      </c>
      <c r="O1352" s="45">
        <v>1.288</v>
      </c>
      <c r="P1352" s="44">
        <v>7.898233433275E12</v>
      </c>
      <c r="Q1352" s="44">
        <v>1.0</v>
      </c>
    </row>
    <row r="1353" ht="15.75" customHeight="1">
      <c r="A1353" s="35" t="s">
        <v>3476</v>
      </c>
      <c r="B1353" s="36">
        <v>125.05408741821466</v>
      </c>
      <c r="C1353" s="36">
        <f>'Lista de Preço 02_2022'!$B1353*0.9*0.9*0.9*0.9*0.9*0.97</f>
        <v>71.62789244</v>
      </c>
      <c r="D1353" s="36">
        <f>'Lista de Preço 02_2022'!$C1353*1.1712</f>
        <v>83.89058762</v>
      </c>
      <c r="E1353" s="37">
        <v>3.25</v>
      </c>
      <c r="F1353" s="38">
        <v>0.18</v>
      </c>
      <c r="G1353" s="38" t="s">
        <v>22</v>
      </c>
      <c r="H1353" s="39" t="s">
        <v>23</v>
      </c>
      <c r="I1353" s="40" t="s">
        <v>3477</v>
      </c>
      <c r="J1353" s="41" t="s">
        <v>25</v>
      </c>
      <c r="K1353" s="42" t="s">
        <v>157</v>
      </c>
      <c r="L1353" s="43" t="s">
        <v>3478</v>
      </c>
      <c r="M1353" s="44">
        <v>8.708999E7</v>
      </c>
      <c r="N1353" s="44" t="s">
        <v>28</v>
      </c>
      <c r="O1353" s="45">
        <v>1.682</v>
      </c>
      <c r="P1353" s="44">
        <v>7.898233433282E12</v>
      </c>
      <c r="Q1353" s="44">
        <v>1.0</v>
      </c>
    </row>
    <row r="1354" ht="15.75" customHeight="1">
      <c r="A1354" s="35" t="s">
        <v>3479</v>
      </c>
      <c r="B1354" s="36">
        <v>82.23280192827362</v>
      </c>
      <c r="C1354" s="36">
        <f>'Lista de Preço 02_2022'!$B1354*0.9*0.9*0.9*0.9*0.9*0.97</f>
        <v>47.10091779</v>
      </c>
      <c r="D1354" s="36">
        <f>'Lista de Preço 02_2022'!$C1354*1.1712</f>
        <v>55.16459492</v>
      </c>
      <c r="E1354" s="37">
        <v>3.25</v>
      </c>
      <c r="F1354" s="38">
        <v>0.18</v>
      </c>
      <c r="G1354" s="38" t="s">
        <v>22</v>
      </c>
      <c r="H1354" s="39" t="s">
        <v>23</v>
      </c>
      <c r="I1354" s="40" t="s">
        <v>3480</v>
      </c>
      <c r="J1354" s="41" t="s">
        <v>25</v>
      </c>
      <c r="K1354" s="42" t="s">
        <v>157</v>
      </c>
      <c r="L1354" s="43" t="s">
        <v>3481</v>
      </c>
      <c r="M1354" s="44">
        <v>8.708999E7</v>
      </c>
      <c r="N1354" s="44" t="s">
        <v>28</v>
      </c>
      <c r="O1354" s="45">
        <v>2.158</v>
      </c>
      <c r="P1354" s="44">
        <v>7.898233433299E12</v>
      </c>
      <c r="Q1354" s="44">
        <v>1.0</v>
      </c>
    </row>
    <row r="1355" ht="15.75" customHeight="1">
      <c r="A1355" s="35" t="s">
        <v>3482</v>
      </c>
      <c r="B1355" s="36">
        <v>62.07143934432002</v>
      </c>
      <c r="C1355" s="36">
        <f>'Lista de Preço 02_2022'!$B1355*0.9*0.9*0.9*0.9*0.9*0.97</f>
        <v>35.55298729</v>
      </c>
      <c r="D1355" s="36">
        <f>'Lista de Preço 02_2022'!$C1355*1.1712</f>
        <v>41.63965872</v>
      </c>
      <c r="E1355" s="37">
        <v>3.25</v>
      </c>
      <c r="F1355" s="38">
        <v>0.18</v>
      </c>
      <c r="G1355" s="38" t="s">
        <v>22</v>
      </c>
      <c r="H1355" s="39" t="s">
        <v>23</v>
      </c>
      <c r="I1355" s="40" t="s">
        <v>3483</v>
      </c>
      <c r="J1355" s="41" t="s">
        <v>25</v>
      </c>
      <c r="K1355" s="42" t="s">
        <v>157</v>
      </c>
      <c r="L1355" s="43" t="s">
        <v>3484</v>
      </c>
      <c r="M1355" s="44">
        <v>8.708999E7</v>
      </c>
      <c r="N1355" s="44" t="s">
        <v>28</v>
      </c>
      <c r="O1355" s="45">
        <v>1.942</v>
      </c>
      <c r="P1355" s="44">
        <v>7.898233433305E12</v>
      </c>
      <c r="Q1355" s="44">
        <v>1.0</v>
      </c>
    </row>
    <row r="1356" ht="15.75" customHeight="1">
      <c r="A1356" s="35" t="s">
        <v>3485</v>
      </c>
      <c r="B1356" s="36">
        <v>194.0909179799923</v>
      </c>
      <c r="C1356" s="36">
        <f>'Lista de Preço 02_2022'!$B1356*0.9*0.9*0.9*0.9*0.9*0.97</f>
        <v>111.1704838</v>
      </c>
      <c r="D1356" s="36">
        <f>'Lista de Preço 02_2022'!$C1356*1.1712</f>
        <v>130.2028706</v>
      </c>
      <c r="E1356" s="37">
        <v>3.25</v>
      </c>
      <c r="F1356" s="38">
        <v>0.18</v>
      </c>
      <c r="G1356" s="38" t="s">
        <v>22</v>
      </c>
      <c r="H1356" s="39" t="s">
        <v>23</v>
      </c>
      <c r="I1356" s="40" t="s">
        <v>3486</v>
      </c>
      <c r="J1356" s="41" t="s">
        <v>25</v>
      </c>
      <c r="K1356" s="42" t="s">
        <v>661</v>
      </c>
      <c r="L1356" s="43" t="s">
        <v>3487</v>
      </c>
      <c r="M1356" s="44">
        <v>8.708999E7</v>
      </c>
      <c r="N1356" s="44" t="s">
        <v>28</v>
      </c>
      <c r="O1356" s="45">
        <v>1.546</v>
      </c>
      <c r="P1356" s="44">
        <v>7.898233433336E12</v>
      </c>
      <c r="Q1356" s="44">
        <v>1.0</v>
      </c>
    </row>
    <row r="1357" ht="15.75" customHeight="1">
      <c r="A1357" s="35" t="s">
        <v>3488</v>
      </c>
      <c r="B1357" s="36">
        <v>93.0937380320079</v>
      </c>
      <c r="C1357" s="36">
        <f>'Lista de Preço 02_2022'!$B1357*0.9*0.9*0.9*0.9*0.9*0.97</f>
        <v>53.32179373</v>
      </c>
      <c r="D1357" s="36">
        <f>'Lista de Preço 02_2022'!$C1357*1.1712</f>
        <v>62.45048482</v>
      </c>
      <c r="E1357" s="37">
        <v>3.25</v>
      </c>
      <c r="F1357" s="38">
        <v>0.18</v>
      </c>
      <c r="G1357" s="38" t="s">
        <v>22</v>
      </c>
      <c r="H1357" s="39" t="s">
        <v>23</v>
      </c>
      <c r="I1357" s="40" t="s">
        <v>3489</v>
      </c>
      <c r="J1357" s="41" t="s">
        <v>25</v>
      </c>
      <c r="K1357" s="42" t="s">
        <v>661</v>
      </c>
      <c r="L1357" s="43" t="s">
        <v>3490</v>
      </c>
      <c r="M1357" s="44">
        <v>8.708999E7</v>
      </c>
      <c r="N1357" s="44" t="s">
        <v>28</v>
      </c>
      <c r="O1357" s="45">
        <v>1.814</v>
      </c>
      <c r="P1357" s="44">
        <v>7.898233433343E12</v>
      </c>
      <c r="Q1357" s="44">
        <v>1.0</v>
      </c>
    </row>
    <row r="1358" ht="15.75" customHeight="1">
      <c r="A1358" s="35" t="s">
        <v>3491</v>
      </c>
      <c r="B1358" s="36">
        <v>93.0937380320079</v>
      </c>
      <c r="C1358" s="36">
        <f>'Lista de Preço 02_2022'!$B1358*0.9*0.9*0.9*0.9*0.9*0.97</f>
        <v>53.32179373</v>
      </c>
      <c r="D1358" s="36">
        <f>'Lista de Preço 02_2022'!$C1358*1.1712</f>
        <v>62.45048482</v>
      </c>
      <c r="E1358" s="37">
        <v>3.25</v>
      </c>
      <c r="F1358" s="38">
        <v>0.18</v>
      </c>
      <c r="G1358" s="38" t="s">
        <v>22</v>
      </c>
      <c r="H1358" s="39" t="s">
        <v>23</v>
      </c>
      <c r="I1358" s="40" t="s">
        <v>3492</v>
      </c>
      <c r="J1358" s="41" t="s">
        <v>25</v>
      </c>
      <c r="K1358" s="42" t="s">
        <v>661</v>
      </c>
      <c r="L1358" s="43" t="s">
        <v>3493</v>
      </c>
      <c r="M1358" s="44">
        <v>8.708999E7</v>
      </c>
      <c r="N1358" s="44" t="s">
        <v>28</v>
      </c>
      <c r="O1358" s="45">
        <v>1.794</v>
      </c>
      <c r="P1358" s="44">
        <v>7.89823343335E12</v>
      </c>
      <c r="Q1358" s="44">
        <v>1.0</v>
      </c>
    </row>
    <row r="1359" ht="15.75" customHeight="1">
      <c r="A1359" s="35" t="s">
        <v>3494</v>
      </c>
      <c r="B1359" s="36">
        <v>444.6918271334583</v>
      </c>
      <c r="C1359" s="36">
        <f>'Lista de Preço 02_2022'!$B1359*0.9*0.9*0.9*0.9*0.9*0.97</f>
        <v>254.7084947</v>
      </c>
      <c r="D1359" s="36">
        <f>'Lista de Preço 02_2022'!$C1359*1.1712</f>
        <v>298.314589</v>
      </c>
      <c r="E1359" s="37">
        <v>3.25</v>
      </c>
      <c r="F1359" s="38">
        <v>0.18</v>
      </c>
      <c r="G1359" s="38" t="s">
        <v>22</v>
      </c>
      <c r="H1359" s="39" t="s">
        <v>23</v>
      </c>
      <c r="I1359" s="40" t="s">
        <v>3495</v>
      </c>
      <c r="J1359" s="41" t="s">
        <v>500</v>
      </c>
      <c r="K1359" s="42" t="s">
        <v>282</v>
      </c>
      <c r="L1359" s="43" t="s">
        <v>3496</v>
      </c>
      <c r="M1359" s="44">
        <v>8.708999E7</v>
      </c>
      <c r="N1359" s="44" t="s">
        <v>28</v>
      </c>
      <c r="O1359" s="45">
        <v>3.8</v>
      </c>
      <c r="P1359" s="44">
        <v>7.898233433367E12</v>
      </c>
      <c r="Q1359" s="44">
        <v>1.0</v>
      </c>
    </row>
    <row r="1360" ht="15.75" customHeight="1">
      <c r="A1360" s="35" t="s">
        <v>3497</v>
      </c>
      <c r="B1360" s="36">
        <v>8.14366020244631</v>
      </c>
      <c r="C1360" s="36">
        <f>'Lista de Preço 02_2022'!$B1360*0.9*0.9*0.9*0.9*0.9*0.97</f>
        <v>4.664487416</v>
      </c>
      <c r="D1360" s="36">
        <f>'Lista de Preço 02_2022'!$C1360*1.1712</f>
        <v>5.463047661</v>
      </c>
      <c r="E1360" s="37">
        <v>3.25</v>
      </c>
      <c r="F1360" s="38">
        <v>0.18</v>
      </c>
      <c r="G1360" s="38" t="s">
        <v>22</v>
      </c>
      <c r="H1360" s="39" t="s">
        <v>559</v>
      </c>
      <c r="I1360" s="40" t="s">
        <v>3498</v>
      </c>
      <c r="J1360" s="41" t="s">
        <v>32</v>
      </c>
      <c r="K1360" s="42" t="s">
        <v>68</v>
      </c>
      <c r="L1360" s="43">
        <v>7324646.0</v>
      </c>
      <c r="M1360" s="44">
        <v>8.708999E7</v>
      </c>
      <c r="N1360" s="44" t="s">
        <v>28</v>
      </c>
      <c r="O1360" s="45">
        <v>0.102</v>
      </c>
      <c r="P1360" s="44">
        <v>7.898233430489E12</v>
      </c>
      <c r="Q1360" s="44">
        <v>1.0</v>
      </c>
    </row>
    <row r="1361" ht="15.75" customHeight="1">
      <c r="A1361" s="35" t="s">
        <v>3499</v>
      </c>
      <c r="B1361" s="36">
        <v>329.8011123562595</v>
      </c>
      <c r="C1361" s="36">
        <f>'Lista de Preço 02_2022'!$B1361*0.9*0.9*0.9*0.9*0.9*0.97</f>
        <v>188.9019311</v>
      </c>
      <c r="D1361" s="36">
        <f>'Lista de Preço 02_2022'!$C1361*1.1712</f>
        <v>221.2419417</v>
      </c>
      <c r="E1361" s="37">
        <v>3.25</v>
      </c>
      <c r="F1361" s="38">
        <v>0.18</v>
      </c>
      <c r="G1361" s="38" t="s">
        <v>22</v>
      </c>
      <c r="H1361" s="39" t="s">
        <v>23</v>
      </c>
      <c r="I1361" s="40" t="s">
        <v>3500</v>
      </c>
      <c r="J1361" s="41" t="s">
        <v>500</v>
      </c>
      <c r="K1361" s="42" t="s">
        <v>282</v>
      </c>
      <c r="L1361" s="43" t="s">
        <v>3501</v>
      </c>
      <c r="M1361" s="44">
        <v>8.708999E7</v>
      </c>
      <c r="N1361" s="44" t="s">
        <v>28</v>
      </c>
      <c r="O1361" s="45">
        <v>3.54</v>
      </c>
      <c r="P1361" s="44">
        <v>7.898233433374E12</v>
      </c>
      <c r="Q1361" s="44">
        <v>1.0</v>
      </c>
    </row>
    <row r="1362" ht="15.75" customHeight="1">
      <c r="A1362" s="35" t="s">
        <v>3502</v>
      </c>
      <c r="B1362" s="36">
        <v>129.62505374724907</v>
      </c>
      <c r="C1362" s="36">
        <f>'Lista de Preço 02_2022'!$B1362*0.9*0.9*0.9*0.9*0.9*0.97</f>
        <v>74.24602905</v>
      </c>
      <c r="D1362" s="36">
        <f>'Lista de Preço 02_2022'!$C1362*1.1712</f>
        <v>86.95694922</v>
      </c>
      <c r="E1362" s="37">
        <v>3.25</v>
      </c>
      <c r="F1362" s="38">
        <v>0.18</v>
      </c>
      <c r="G1362" s="38" t="s">
        <v>22</v>
      </c>
      <c r="H1362" s="39" t="s">
        <v>23</v>
      </c>
      <c r="I1362" s="40" t="s">
        <v>3503</v>
      </c>
      <c r="J1362" s="41" t="s">
        <v>25</v>
      </c>
      <c r="K1362" s="42" t="s">
        <v>303</v>
      </c>
      <c r="L1362" s="43" t="s">
        <v>3504</v>
      </c>
      <c r="M1362" s="44">
        <v>8.708999E7</v>
      </c>
      <c r="N1362" s="44" t="s">
        <v>28</v>
      </c>
      <c r="O1362" s="45">
        <v>1.638</v>
      </c>
      <c r="P1362" s="44">
        <v>7.898233433381E12</v>
      </c>
      <c r="Q1362" s="44">
        <v>1.0</v>
      </c>
    </row>
    <row r="1363" ht="15.75" customHeight="1">
      <c r="A1363" s="35" t="s">
        <v>3505</v>
      </c>
      <c r="B1363" s="36">
        <v>265.05552650987795</v>
      </c>
      <c r="C1363" s="36">
        <f>'Lista de Preço 02_2022'!$B1363*0.9*0.9*0.9*0.9*0.9*0.97</f>
        <v>151.8172587</v>
      </c>
      <c r="D1363" s="36">
        <f>'Lista de Preço 02_2022'!$C1363*1.1712</f>
        <v>177.8083734</v>
      </c>
      <c r="E1363" s="37">
        <v>3.25</v>
      </c>
      <c r="F1363" s="38">
        <v>0.18</v>
      </c>
      <c r="G1363" s="38" t="s">
        <v>22</v>
      </c>
      <c r="H1363" s="39" t="s">
        <v>23</v>
      </c>
      <c r="I1363" s="40" t="s">
        <v>3503</v>
      </c>
      <c r="J1363" s="41" t="s">
        <v>25</v>
      </c>
      <c r="K1363" s="42" t="s">
        <v>303</v>
      </c>
      <c r="L1363" s="43" t="s">
        <v>3506</v>
      </c>
      <c r="M1363" s="44">
        <v>8.708999E7</v>
      </c>
      <c r="N1363" s="44" t="s">
        <v>28</v>
      </c>
      <c r="O1363" s="45">
        <v>2.386</v>
      </c>
      <c r="P1363" s="44">
        <v>7.898233433398E12</v>
      </c>
      <c r="Q1363" s="44">
        <v>1.0</v>
      </c>
    </row>
    <row r="1364" ht="15.75" customHeight="1">
      <c r="A1364" s="35" t="s">
        <v>3507</v>
      </c>
      <c r="B1364" s="36">
        <v>180.9998086480382</v>
      </c>
      <c r="C1364" s="36">
        <f>'Lista de Preço 02_2022'!$B1364*0.9*0.9*0.9*0.9*0.9*0.97</f>
        <v>103.6722197</v>
      </c>
      <c r="D1364" s="36">
        <f>'Lista de Preço 02_2022'!$C1364*1.1712</f>
        <v>121.4209037</v>
      </c>
      <c r="E1364" s="37">
        <v>3.25</v>
      </c>
      <c r="F1364" s="38">
        <v>0.18</v>
      </c>
      <c r="G1364" s="38" t="s">
        <v>22</v>
      </c>
      <c r="H1364" s="39" t="s">
        <v>23</v>
      </c>
      <c r="I1364" s="40" t="s">
        <v>3508</v>
      </c>
      <c r="J1364" s="41" t="s">
        <v>372</v>
      </c>
      <c r="K1364" s="42" t="s">
        <v>95</v>
      </c>
      <c r="L1364" s="43">
        <v>1.300447208E10</v>
      </c>
      <c r="M1364" s="44">
        <v>8.708999E7</v>
      </c>
      <c r="N1364" s="44" t="s">
        <v>28</v>
      </c>
      <c r="O1364" s="45">
        <v>2.632</v>
      </c>
      <c r="P1364" s="44">
        <v>7.898233433084E12</v>
      </c>
      <c r="Q1364" s="44">
        <v>1.0</v>
      </c>
    </row>
    <row r="1365" ht="15.75" customHeight="1">
      <c r="A1365" s="35" t="s">
        <v>3509</v>
      </c>
      <c r="B1365" s="36">
        <v>139.64846173687505</v>
      </c>
      <c r="C1365" s="36">
        <f>'Lista de Preço 02_2022'!$B1365*0.9*0.9*0.9*0.9*0.9*0.97</f>
        <v>79.98718957</v>
      </c>
      <c r="D1365" s="36">
        <f>'Lista de Preço 02_2022'!$C1365*1.1712</f>
        <v>93.68099642</v>
      </c>
      <c r="E1365" s="37">
        <v>3.25</v>
      </c>
      <c r="F1365" s="38">
        <v>0.18</v>
      </c>
      <c r="G1365" s="38" t="s">
        <v>22</v>
      </c>
      <c r="H1365" s="39" t="s">
        <v>23</v>
      </c>
      <c r="I1365" s="40" t="s">
        <v>3510</v>
      </c>
      <c r="J1365" s="41" t="s">
        <v>372</v>
      </c>
      <c r="K1365" s="42" t="s">
        <v>95</v>
      </c>
      <c r="L1365" s="43">
        <v>1.30669108E9</v>
      </c>
      <c r="M1365" s="44">
        <v>8.708999E7</v>
      </c>
      <c r="N1365" s="44" t="s">
        <v>28</v>
      </c>
      <c r="O1365" s="45">
        <v>2.908</v>
      </c>
      <c r="P1365" s="44">
        <v>7.898233433091E12</v>
      </c>
      <c r="Q1365" s="44">
        <v>1.0</v>
      </c>
    </row>
    <row r="1366" ht="15.75" customHeight="1">
      <c r="A1366" s="35" t="s">
        <v>3511</v>
      </c>
      <c r="B1366" s="36">
        <v>181.57927918376527</v>
      </c>
      <c r="C1366" s="36">
        <f>'Lista de Preço 02_2022'!$B1366*0.9*0.9*0.9*0.9*0.9*0.97</f>
        <v>104.0041261</v>
      </c>
      <c r="D1366" s="36">
        <f>'Lista de Preço 02_2022'!$C1366*1.1712</f>
        <v>121.8096325</v>
      </c>
      <c r="E1366" s="37">
        <v>3.25</v>
      </c>
      <c r="F1366" s="38">
        <v>0.18</v>
      </c>
      <c r="G1366" s="38" t="s">
        <v>22</v>
      </c>
      <c r="H1366" s="39" t="s">
        <v>23</v>
      </c>
      <c r="I1366" s="40" t="s">
        <v>3512</v>
      </c>
      <c r="J1366" s="41" t="s">
        <v>372</v>
      </c>
      <c r="K1366" s="42" t="s">
        <v>95</v>
      </c>
      <c r="L1366" s="43">
        <v>1.30735508E9</v>
      </c>
      <c r="M1366" s="44">
        <v>8.708999E7</v>
      </c>
      <c r="N1366" s="44" t="s">
        <v>28</v>
      </c>
      <c r="O1366" s="45">
        <v>3.246</v>
      </c>
      <c r="P1366" s="44">
        <v>7.898233433107E12</v>
      </c>
      <c r="Q1366" s="44">
        <v>1.0</v>
      </c>
    </row>
    <row r="1367" ht="15.75" customHeight="1">
      <c r="A1367" s="35" t="s">
        <v>3513</v>
      </c>
      <c r="B1367" s="36">
        <v>156.7077923538799</v>
      </c>
      <c r="C1367" s="36">
        <f>'Lista de Preço 02_2022'!$B1367*0.9*0.9*0.9*0.9*0.9*0.97</f>
        <v>89.75835278</v>
      </c>
      <c r="D1367" s="36">
        <f>'Lista de Preço 02_2022'!$C1367*1.1712</f>
        <v>105.1249828</v>
      </c>
      <c r="E1367" s="37">
        <v>3.25</v>
      </c>
      <c r="F1367" s="38">
        <v>0.18</v>
      </c>
      <c r="G1367" s="38" t="s">
        <v>22</v>
      </c>
      <c r="H1367" s="39" t="s">
        <v>23</v>
      </c>
      <c r="I1367" s="40" t="s">
        <v>3514</v>
      </c>
      <c r="J1367" s="41" t="s">
        <v>372</v>
      </c>
      <c r="K1367" s="42" t="s">
        <v>95</v>
      </c>
      <c r="L1367" s="43">
        <v>1.30571708E9</v>
      </c>
      <c r="M1367" s="44">
        <v>8.708999E7</v>
      </c>
      <c r="N1367" s="44" t="s">
        <v>28</v>
      </c>
      <c r="O1367" s="45">
        <v>3.474</v>
      </c>
      <c r="P1367" s="44">
        <v>7.898233433114E12</v>
      </c>
      <c r="Q1367" s="44">
        <v>1.0</v>
      </c>
    </row>
    <row r="1368" ht="15.75" customHeight="1">
      <c r="A1368" s="35" t="s">
        <v>3515</v>
      </c>
      <c r="B1368" s="36">
        <v>201.8706756435118</v>
      </c>
      <c r="C1368" s="36">
        <f>'Lista de Preço 02_2022'!$B1368*0.9*0.9*0.9*0.9*0.9*0.97</f>
        <v>115.6265368</v>
      </c>
      <c r="D1368" s="36">
        <f>'Lista de Preço 02_2022'!$C1368*1.1712</f>
        <v>135.4217999</v>
      </c>
      <c r="E1368" s="37">
        <v>3.25</v>
      </c>
      <c r="F1368" s="38">
        <v>0.18</v>
      </c>
      <c r="G1368" s="38" t="s">
        <v>37</v>
      </c>
      <c r="H1368" s="39" t="s">
        <v>23</v>
      </c>
      <c r="I1368" s="40" t="s">
        <v>3516</v>
      </c>
      <c r="J1368" s="41" t="s">
        <v>302</v>
      </c>
      <c r="K1368" s="42" t="s">
        <v>507</v>
      </c>
      <c r="L1368" s="43">
        <v>5.1770444024E10</v>
      </c>
      <c r="M1368" s="42">
        <v>8.708999E7</v>
      </c>
      <c r="N1368" s="44" t="s">
        <v>28</v>
      </c>
      <c r="O1368" s="45">
        <v>3.024</v>
      </c>
      <c r="P1368" s="44">
        <v>7.898233433749E12</v>
      </c>
      <c r="Q1368" s="44">
        <v>1.0</v>
      </c>
    </row>
    <row r="1369" ht="15.75" customHeight="1">
      <c r="A1369" s="35" t="s">
        <v>3517</v>
      </c>
      <c r="B1369" s="36">
        <v>107.73067045202768</v>
      </c>
      <c r="C1369" s="36">
        <f>'Lista de Preço 02_2022'!$B1369*0.9*0.9*0.9*0.9*0.9*0.97</f>
        <v>61.70546709</v>
      </c>
      <c r="D1369" s="36">
        <f>'Lista de Preço 02_2022'!$C1369*1.1712</f>
        <v>72.26944305</v>
      </c>
      <c r="E1369" s="37">
        <v>3.25</v>
      </c>
      <c r="F1369" s="38">
        <v>0.18</v>
      </c>
      <c r="G1369" s="38" t="s">
        <v>22</v>
      </c>
      <c r="H1369" s="39" t="s">
        <v>525</v>
      </c>
      <c r="I1369" s="40" t="s">
        <v>3518</v>
      </c>
      <c r="J1369" s="41" t="s">
        <v>527</v>
      </c>
      <c r="K1369" s="42" t="s">
        <v>68</v>
      </c>
      <c r="L1369" s="43">
        <v>9.0445122E7</v>
      </c>
      <c r="M1369" s="44">
        <v>8.708999E7</v>
      </c>
      <c r="N1369" s="44" t="s">
        <v>28</v>
      </c>
      <c r="O1369" s="45">
        <v>2.81</v>
      </c>
      <c r="P1369" s="44">
        <v>7.898233430496E12</v>
      </c>
      <c r="Q1369" s="44">
        <v>1.0</v>
      </c>
    </row>
    <row r="1370" ht="15.75" customHeight="1">
      <c r="A1370" s="35" t="s">
        <v>3519</v>
      </c>
      <c r="B1370" s="36">
        <v>266.70657743135024</v>
      </c>
      <c r="C1370" s="36">
        <f>'Lista de Preço 02_2022'!$B1370*0.9*0.9*0.9*0.9*0.9*0.97</f>
        <v>152.7629399</v>
      </c>
      <c r="D1370" s="36">
        <f>'Lista de Preço 02_2022'!$C1370*1.1712</f>
        <v>178.9159552</v>
      </c>
      <c r="E1370" s="37">
        <v>3.25</v>
      </c>
      <c r="F1370" s="38">
        <v>0.18</v>
      </c>
      <c r="G1370" s="38" t="s">
        <v>22</v>
      </c>
      <c r="H1370" s="39" t="s">
        <v>23</v>
      </c>
      <c r="I1370" s="40" t="s">
        <v>3520</v>
      </c>
      <c r="J1370" s="41" t="s">
        <v>25</v>
      </c>
      <c r="K1370" s="42" t="s">
        <v>2162</v>
      </c>
      <c r="L1370" s="43">
        <v>2.1213103012E10</v>
      </c>
      <c r="M1370" s="44">
        <v>8.708999E7</v>
      </c>
      <c r="N1370" s="44" t="s">
        <v>28</v>
      </c>
      <c r="O1370" s="45">
        <v>2.588</v>
      </c>
      <c r="P1370" s="44">
        <v>7.898233433428E12</v>
      </c>
      <c r="Q1370" s="44">
        <v>1.0</v>
      </c>
    </row>
    <row r="1371" ht="15.75" customHeight="1">
      <c r="A1371" s="35" t="s">
        <v>3521</v>
      </c>
      <c r="B1371" s="36">
        <v>234.92936108597854</v>
      </c>
      <c r="C1371" s="36">
        <f>'Lista de Preço 02_2022'!$B1371*0.9*0.9*0.9*0.9*0.9*0.97</f>
        <v>134.5617353</v>
      </c>
      <c r="D1371" s="36">
        <f>'Lista de Preço 02_2022'!$C1371*1.1712</f>
        <v>157.5987044</v>
      </c>
      <c r="E1371" s="37">
        <v>3.25</v>
      </c>
      <c r="F1371" s="38">
        <v>0.18</v>
      </c>
      <c r="G1371" s="38" t="s">
        <v>22</v>
      </c>
      <c r="H1371" s="39" t="s">
        <v>23</v>
      </c>
      <c r="I1371" s="40" t="s">
        <v>3522</v>
      </c>
      <c r="J1371" s="41" t="s">
        <v>25</v>
      </c>
      <c r="K1371" s="42" t="s">
        <v>1580</v>
      </c>
      <c r="L1371" s="43" t="s">
        <v>3523</v>
      </c>
      <c r="M1371" s="44">
        <v>8.708999E7</v>
      </c>
      <c r="N1371" s="44" t="s">
        <v>28</v>
      </c>
      <c r="O1371" s="45">
        <v>1.998</v>
      </c>
      <c r="P1371" s="44">
        <v>7.898233434098E12</v>
      </c>
      <c r="Q1371" s="44">
        <v>1.0</v>
      </c>
    </row>
    <row r="1372" ht="15.75" customHeight="1">
      <c r="A1372" s="35" t="s">
        <v>3524</v>
      </c>
      <c r="B1372" s="36">
        <v>199.71458706388</v>
      </c>
      <c r="C1372" s="36">
        <f>'Lista de Preço 02_2022'!$B1372*0.9*0.9*0.9*0.9*0.9*0.97</f>
        <v>114.3915825</v>
      </c>
      <c r="D1372" s="36">
        <f>'Lista de Preço 02_2022'!$C1372*1.1712</f>
        <v>133.9754214</v>
      </c>
      <c r="E1372" s="37">
        <v>3.25</v>
      </c>
      <c r="F1372" s="38">
        <v>0.18</v>
      </c>
      <c r="G1372" s="38" t="s">
        <v>22</v>
      </c>
      <c r="H1372" s="39" t="s">
        <v>23</v>
      </c>
      <c r="I1372" s="40" t="s">
        <v>3525</v>
      </c>
      <c r="J1372" s="41" t="s">
        <v>372</v>
      </c>
      <c r="K1372" s="42" t="s">
        <v>95</v>
      </c>
      <c r="L1372" s="43" t="s">
        <v>3526</v>
      </c>
      <c r="M1372" s="44">
        <v>8.708999E7</v>
      </c>
      <c r="N1372" s="44" t="s">
        <v>28</v>
      </c>
      <c r="O1372" s="45">
        <v>2.982</v>
      </c>
      <c r="P1372" s="44">
        <v>7.898233434043E12</v>
      </c>
      <c r="Q1372" s="44">
        <v>1.0</v>
      </c>
    </row>
    <row r="1373" ht="15.75" customHeight="1">
      <c r="A1373" s="35" t="s">
        <v>3527</v>
      </c>
      <c r="B1373" s="36">
        <v>247.52406893802066</v>
      </c>
      <c r="C1373" s="36">
        <f>'Lista de Preço 02_2022'!$B1373*0.9*0.9*0.9*0.9*0.9*0.97</f>
        <v>141.7756728</v>
      </c>
      <c r="D1373" s="36">
        <f>'Lista de Preço 02_2022'!$C1373*1.1712</f>
        <v>166.047668</v>
      </c>
      <c r="E1373" s="37">
        <v>3.25</v>
      </c>
      <c r="F1373" s="38">
        <v>0.18</v>
      </c>
      <c r="G1373" s="38" t="s">
        <v>22</v>
      </c>
      <c r="H1373" s="39" t="s">
        <v>23</v>
      </c>
      <c r="I1373" s="40" t="s">
        <v>3528</v>
      </c>
      <c r="J1373" s="41" t="s">
        <v>25</v>
      </c>
      <c r="K1373" s="42" t="s">
        <v>153</v>
      </c>
      <c r="L1373" s="43">
        <v>7.701204667E9</v>
      </c>
      <c r="M1373" s="44">
        <v>8.708999E7</v>
      </c>
      <c r="N1373" s="44" t="s">
        <v>28</v>
      </c>
      <c r="O1373" s="45">
        <v>1.852</v>
      </c>
      <c r="P1373" s="44">
        <v>7.898233434111E12</v>
      </c>
      <c r="Q1373" s="44">
        <v>1.0</v>
      </c>
    </row>
    <row r="1374" ht="15.75" customHeight="1">
      <c r="A1374" s="35" t="s">
        <v>3529</v>
      </c>
      <c r="B1374" s="36">
        <v>292.5066607663836</v>
      </c>
      <c r="C1374" s="36">
        <f>'Lista de Preço 02_2022'!$B1374*0.9*0.9*0.9*0.9*0.9*0.97</f>
        <v>167.5405904</v>
      </c>
      <c r="D1374" s="36">
        <f>'Lista de Preço 02_2022'!$C1374*1.1712</f>
        <v>196.2235394</v>
      </c>
      <c r="E1374" s="37">
        <v>3.25</v>
      </c>
      <c r="F1374" s="38">
        <v>0.18</v>
      </c>
      <c r="G1374" s="38" t="s">
        <v>22</v>
      </c>
      <c r="H1374" s="39" t="s">
        <v>23</v>
      </c>
      <c r="I1374" s="40" t="s">
        <v>3530</v>
      </c>
      <c r="J1374" s="41" t="s">
        <v>25</v>
      </c>
      <c r="K1374" s="42" t="s">
        <v>153</v>
      </c>
      <c r="L1374" s="43">
        <v>7.70120517E9</v>
      </c>
      <c r="M1374" s="44">
        <v>8.708999E7</v>
      </c>
      <c r="N1374" s="44" t="s">
        <v>28</v>
      </c>
      <c r="O1374" s="45">
        <v>1.976</v>
      </c>
      <c r="P1374" s="44">
        <v>7.898233434104E12</v>
      </c>
      <c r="Q1374" s="44">
        <v>1.0</v>
      </c>
    </row>
    <row r="1375" ht="15.75" customHeight="1">
      <c r="A1375" s="35" t="s">
        <v>3531</v>
      </c>
      <c r="B1375" s="36">
        <v>128.09446255361692</v>
      </c>
      <c r="C1375" s="36">
        <f>'Lista de Preço 02_2022'!$B1375*0.9*0.9*0.9*0.9*0.9*0.97</f>
        <v>73.36934422</v>
      </c>
      <c r="D1375" s="36">
        <f>'Lista de Preço 02_2022'!$C1375*1.1712</f>
        <v>85.93017595</v>
      </c>
      <c r="E1375" s="37">
        <v>3.25</v>
      </c>
      <c r="F1375" s="38">
        <v>0.18</v>
      </c>
      <c r="G1375" s="38" t="s">
        <v>22</v>
      </c>
      <c r="H1375" s="39" t="s">
        <v>23</v>
      </c>
      <c r="I1375" s="40" t="s">
        <v>3532</v>
      </c>
      <c r="J1375" s="41" t="s">
        <v>25</v>
      </c>
      <c r="K1375" s="42" t="s">
        <v>153</v>
      </c>
      <c r="L1375" s="43">
        <v>7.700415122E9</v>
      </c>
      <c r="M1375" s="44">
        <v>8.708999E7</v>
      </c>
      <c r="N1375" s="44" t="s">
        <v>28</v>
      </c>
      <c r="O1375" s="45">
        <v>1.47</v>
      </c>
      <c r="P1375" s="44">
        <v>7.898233436733E12</v>
      </c>
      <c r="Q1375" s="44">
        <v>1.0</v>
      </c>
    </row>
    <row r="1376" ht="15.75" customHeight="1">
      <c r="A1376" s="35" t="s">
        <v>3533</v>
      </c>
      <c r="B1376" s="36">
        <v>80.66954525071054</v>
      </c>
      <c r="C1376" s="36">
        <f>'Lista de Preço 02_2022'!$B1376*0.9*0.9*0.9*0.9*0.9*0.97</f>
        <v>46.20552298</v>
      </c>
      <c r="D1376" s="36">
        <f>'Lista de Preço 02_2022'!$C1376*1.1712</f>
        <v>54.11590852</v>
      </c>
      <c r="E1376" s="37">
        <v>3.25</v>
      </c>
      <c r="F1376" s="38">
        <v>0.18</v>
      </c>
      <c r="G1376" s="38" t="s">
        <v>22</v>
      </c>
      <c r="H1376" s="39" t="s">
        <v>23</v>
      </c>
      <c r="I1376" s="40" t="s">
        <v>3534</v>
      </c>
      <c r="J1376" s="41" t="s">
        <v>372</v>
      </c>
      <c r="K1376" s="42" t="s">
        <v>153</v>
      </c>
      <c r="L1376" s="43">
        <v>7.702307162E9</v>
      </c>
      <c r="M1376" s="44">
        <v>8.708999E7</v>
      </c>
      <c r="N1376" s="44" t="s">
        <v>28</v>
      </c>
      <c r="O1376" s="45">
        <v>1.52</v>
      </c>
      <c r="P1376" s="44">
        <v>7.898233434302E12</v>
      </c>
      <c r="Q1376" s="44">
        <v>1.0</v>
      </c>
    </row>
    <row r="1377" ht="15.75" customHeight="1">
      <c r="A1377" s="35" t="s">
        <v>3535</v>
      </c>
      <c r="B1377" s="36">
        <v>269.42593861300315</v>
      </c>
      <c r="C1377" s="36">
        <f>'Lista de Preço 02_2022'!$B1377*0.9*0.9*0.9*0.9*0.9*0.97</f>
        <v>154.3205228</v>
      </c>
      <c r="D1377" s="36">
        <f>'Lista de Preço 02_2022'!$C1377*1.1712</f>
        <v>180.7401963</v>
      </c>
      <c r="E1377" s="37">
        <v>3.25</v>
      </c>
      <c r="F1377" s="38">
        <v>0.18</v>
      </c>
      <c r="G1377" s="38" t="s">
        <v>22</v>
      </c>
      <c r="H1377" s="39" t="s">
        <v>23</v>
      </c>
      <c r="I1377" s="40" t="s">
        <v>3536</v>
      </c>
      <c r="J1377" s="41" t="s">
        <v>372</v>
      </c>
      <c r="K1377" s="42" t="s">
        <v>95</v>
      </c>
      <c r="L1377" s="43">
        <v>1.34665308E9</v>
      </c>
      <c r="M1377" s="44">
        <v>8.708999E7</v>
      </c>
      <c r="N1377" s="44" t="s">
        <v>28</v>
      </c>
      <c r="O1377" s="45">
        <v>3.4</v>
      </c>
      <c r="P1377" s="44">
        <v>7.898233434265E12</v>
      </c>
      <c r="Q1377" s="44">
        <v>1.0</v>
      </c>
    </row>
    <row r="1378" ht="15.75" customHeight="1">
      <c r="A1378" s="35" t="s">
        <v>3537</v>
      </c>
      <c r="B1378" s="36">
        <v>115.24711821615304</v>
      </c>
      <c r="C1378" s="36">
        <f>'Lista de Preço 02_2022'!$B1378*0.9*0.9*0.9*0.9*0.9*0.97</f>
        <v>66.01070271</v>
      </c>
      <c r="D1378" s="36">
        <f>'Lista de Preço 02_2022'!$C1378*1.1712</f>
        <v>77.31173501</v>
      </c>
      <c r="E1378" s="37">
        <v>3.25</v>
      </c>
      <c r="F1378" s="38">
        <v>0.18</v>
      </c>
      <c r="G1378" s="38" t="s">
        <v>22</v>
      </c>
      <c r="H1378" s="39" t="s">
        <v>43</v>
      </c>
      <c r="I1378" s="40" t="s">
        <v>3538</v>
      </c>
      <c r="J1378" s="41" t="s">
        <v>45</v>
      </c>
      <c r="K1378" s="42" t="s">
        <v>73</v>
      </c>
      <c r="L1378" s="43" t="s">
        <v>3539</v>
      </c>
      <c r="M1378" s="44">
        <v>8.708999E7</v>
      </c>
      <c r="N1378" s="44" t="s">
        <v>28</v>
      </c>
      <c r="O1378" s="45">
        <v>0.52</v>
      </c>
      <c r="P1378" s="44">
        <v>7.898233435033E12</v>
      </c>
      <c r="Q1378" s="44">
        <v>1.0</v>
      </c>
    </row>
    <row r="1379" ht="15.75" customHeight="1">
      <c r="A1379" s="35" t="s">
        <v>3540</v>
      </c>
      <c r="B1379" s="36">
        <v>94.89048521884474</v>
      </c>
      <c r="C1379" s="36">
        <f>'Lista de Preço 02_2022'!$B1379*0.9*0.9*0.9*0.9*0.9*0.97</f>
        <v>54.35092614</v>
      </c>
      <c r="D1379" s="36">
        <f>'Lista de Preço 02_2022'!$C1379*1.1712</f>
        <v>63.65580469</v>
      </c>
      <c r="E1379" s="37">
        <v>3.25</v>
      </c>
      <c r="F1379" s="38">
        <v>0.18</v>
      </c>
      <c r="G1379" s="38" t="s">
        <v>22</v>
      </c>
      <c r="H1379" s="39" t="s">
        <v>43</v>
      </c>
      <c r="I1379" s="40" t="s">
        <v>3541</v>
      </c>
      <c r="J1379" s="41" t="s">
        <v>469</v>
      </c>
      <c r="K1379" s="42" t="s">
        <v>153</v>
      </c>
      <c r="L1379" s="43">
        <v>7.701056151E9</v>
      </c>
      <c r="M1379" s="44">
        <v>8.708999E7</v>
      </c>
      <c r="N1379" s="44" t="s">
        <v>28</v>
      </c>
      <c r="O1379" s="45">
        <v>0.468</v>
      </c>
      <c r="P1379" s="44">
        <v>7.898233434425E12</v>
      </c>
      <c r="Q1379" s="44">
        <v>1.0</v>
      </c>
    </row>
    <row r="1380" ht="15.75" customHeight="1">
      <c r="A1380" s="35" t="s">
        <v>3542</v>
      </c>
      <c r="B1380" s="36">
        <v>186.98635260572706</v>
      </c>
      <c r="C1380" s="36">
        <f>'Lista de Preço 02_2022'!$B1380*0.9*0.9*0.9*0.9*0.9*0.97</f>
        <v>107.1011642</v>
      </c>
      <c r="D1380" s="36">
        <f>'Lista de Preço 02_2022'!$C1380*1.1712</f>
        <v>125.4368835</v>
      </c>
      <c r="E1380" s="37">
        <v>3.25</v>
      </c>
      <c r="F1380" s="38">
        <v>0.18</v>
      </c>
      <c r="G1380" s="38" t="s">
        <v>22</v>
      </c>
      <c r="H1380" s="39" t="s">
        <v>525</v>
      </c>
      <c r="I1380" s="40" t="s">
        <v>3543</v>
      </c>
      <c r="J1380" s="41" t="s">
        <v>527</v>
      </c>
      <c r="K1380" s="42" t="s">
        <v>68</v>
      </c>
      <c r="L1380" s="43">
        <v>9.3289848E7</v>
      </c>
      <c r="M1380" s="44">
        <v>8.708999E7</v>
      </c>
      <c r="N1380" s="44" t="s">
        <v>28</v>
      </c>
      <c r="O1380" s="45">
        <v>3.826</v>
      </c>
      <c r="P1380" s="44">
        <v>7.898233430502E12</v>
      </c>
      <c r="Q1380" s="44">
        <v>1.0</v>
      </c>
    </row>
    <row r="1381" ht="15.75" customHeight="1">
      <c r="A1381" s="35" t="s">
        <v>3544</v>
      </c>
      <c r="B1381" s="36">
        <v>70.50682027261952</v>
      </c>
      <c r="C1381" s="36">
        <f>'Lista de Preço 02_2022'!$B1381*0.9*0.9*0.9*0.9*0.9*0.97</f>
        <v>40.38456513</v>
      </c>
      <c r="D1381" s="36">
        <f>'Lista de Preço 02_2022'!$C1381*1.1712</f>
        <v>47.29840268</v>
      </c>
      <c r="E1381" s="37">
        <v>3.25</v>
      </c>
      <c r="F1381" s="38">
        <v>0.18</v>
      </c>
      <c r="G1381" s="38" t="s">
        <v>22</v>
      </c>
      <c r="H1381" s="39" t="s">
        <v>43</v>
      </c>
      <c r="I1381" s="40" t="s">
        <v>3545</v>
      </c>
      <c r="J1381" s="41" t="s">
        <v>45</v>
      </c>
      <c r="K1381" s="42" t="s">
        <v>456</v>
      </c>
      <c r="L1381" s="43" t="s">
        <v>3546</v>
      </c>
      <c r="M1381" s="44">
        <v>8.708999E7</v>
      </c>
      <c r="N1381" s="44" t="s">
        <v>28</v>
      </c>
      <c r="O1381" s="45">
        <v>0.378</v>
      </c>
      <c r="P1381" s="44">
        <v>7.898233433794E12</v>
      </c>
      <c r="Q1381" s="44">
        <v>1.0</v>
      </c>
    </row>
    <row r="1382" ht="15.75" customHeight="1">
      <c r="A1382" s="35" t="s">
        <v>3547</v>
      </c>
      <c r="B1382" s="36">
        <v>86.42521031214267</v>
      </c>
      <c r="C1382" s="36">
        <f>'Lista de Preço 02_2022'!$B1382*0.9*0.9*0.9*0.9*0.9*0.97</f>
        <v>49.50222576</v>
      </c>
      <c r="D1382" s="36">
        <f>'Lista de Preço 02_2022'!$C1382*1.1712</f>
        <v>57.97700681</v>
      </c>
      <c r="E1382" s="37">
        <v>3.25</v>
      </c>
      <c r="F1382" s="38">
        <v>0.18</v>
      </c>
      <c r="G1382" s="38" t="s">
        <v>22</v>
      </c>
      <c r="H1382" s="39" t="s">
        <v>43</v>
      </c>
      <c r="I1382" s="40" t="s">
        <v>3548</v>
      </c>
      <c r="J1382" s="41" t="s">
        <v>45</v>
      </c>
      <c r="K1382" s="42" t="s">
        <v>153</v>
      </c>
      <c r="L1382" s="43" t="s">
        <v>3549</v>
      </c>
      <c r="M1382" s="44">
        <v>8.708999E7</v>
      </c>
      <c r="N1382" s="44" t="s">
        <v>28</v>
      </c>
      <c r="O1382" s="45">
        <v>0.298</v>
      </c>
      <c r="P1382" s="44">
        <v>7.898233433787E12</v>
      </c>
      <c r="Q1382" s="44">
        <v>1.0</v>
      </c>
    </row>
    <row r="1383" ht="15.75" customHeight="1">
      <c r="A1383" s="35" t="s">
        <v>3550</v>
      </c>
      <c r="B1383" s="36">
        <v>86.42521031214267</v>
      </c>
      <c r="C1383" s="36">
        <f>'Lista de Preço 02_2022'!$B1383*0.9*0.9*0.9*0.9*0.9*0.97</f>
        <v>49.50222576</v>
      </c>
      <c r="D1383" s="36">
        <f>'Lista de Preço 02_2022'!$C1383*1.1712</f>
        <v>57.97700681</v>
      </c>
      <c r="E1383" s="37">
        <v>3.25</v>
      </c>
      <c r="F1383" s="38">
        <v>0.18</v>
      </c>
      <c r="G1383" s="38" t="s">
        <v>22</v>
      </c>
      <c r="H1383" s="39" t="s">
        <v>43</v>
      </c>
      <c r="I1383" s="40" t="s">
        <v>3551</v>
      </c>
      <c r="J1383" s="41" t="s">
        <v>45</v>
      </c>
      <c r="K1383" s="42" t="s">
        <v>68</v>
      </c>
      <c r="L1383" s="43" t="s">
        <v>3552</v>
      </c>
      <c r="M1383" s="44">
        <v>8.708999E7</v>
      </c>
      <c r="N1383" s="44" t="s">
        <v>28</v>
      </c>
      <c r="O1383" s="45">
        <v>0.314</v>
      </c>
      <c r="P1383" s="44">
        <v>7.8982334338E12</v>
      </c>
      <c r="Q1383" s="44">
        <v>1.0</v>
      </c>
    </row>
    <row r="1384" ht="15.75" customHeight="1">
      <c r="A1384" s="35" t="s">
        <v>3553</v>
      </c>
      <c r="B1384" s="36">
        <v>127.10674081017994</v>
      </c>
      <c r="C1384" s="36">
        <f>'Lista de Preço 02_2022'!$B1384*0.9*0.9*0.9*0.9*0.9*0.97</f>
        <v>72.8036016</v>
      </c>
      <c r="D1384" s="36">
        <f>'Lista de Preço 02_2022'!$C1384*1.1712</f>
        <v>85.26757819</v>
      </c>
      <c r="E1384" s="37">
        <v>3.25</v>
      </c>
      <c r="F1384" s="38">
        <v>0.18</v>
      </c>
      <c r="G1384" s="38" t="s">
        <v>22</v>
      </c>
      <c r="H1384" s="39" t="s">
        <v>43</v>
      </c>
      <c r="I1384" s="40" t="s">
        <v>3554</v>
      </c>
      <c r="J1384" s="41" t="s">
        <v>45</v>
      </c>
      <c r="K1384" s="42" t="s">
        <v>157</v>
      </c>
      <c r="L1384" s="43" t="s">
        <v>3555</v>
      </c>
      <c r="M1384" s="44">
        <v>8.708999E7</v>
      </c>
      <c r="N1384" s="44" t="s">
        <v>28</v>
      </c>
      <c r="O1384" s="45">
        <v>0.438</v>
      </c>
      <c r="P1384" s="44">
        <v>7.898233434036E12</v>
      </c>
      <c r="Q1384" s="44">
        <v>1.0</v>
      </c>
    </row>
    <row r="1385" ht="15.75" customHeight="1">
      <c r="A1385" s="35" t="s">
        <v>3556</v>
      </c>
      <c r="B1385" s="36">
        <v>79.9869558465285</v>
      </c>
      <c r="C1385" s="36">
        <f>'Lista de Preço 02_2022'!$B1385*0.9*0.9*0.9*0.9*0.9*0.97</f>
        <v>45.81455263</v>
      </c>
      <c r="D1385" s="36">
        <f>'Lista de Preço 02_2022'!$C1385*1.1712</f>
        <v>53.65800404</v>
      </c>
      <c r="E1385" s="37">
        <v>3.25</v>
      </c>
      <c r="F1385" s="38">
        <v>0.18</v>
      </c>
      <c r="G1385" s="38" t="s">
        <v>22</v>
      </c>
      <c r="H1385" s="39" t="s">
        <v>43</v>
      </c>
      <c r="I1385" s="40" t="s">
        <v>3557</v>
      </c>
      <c r="J1385" s="41" t="s">
        <v>45</v>
      </c>
      <c r="K1385" s="42" t="s">
        <v>86</v>
      </c>
      <c r="L1385" s="43" t="s">
        <v>650</v>
      </c>
      <c r="M1385" s="44">
        <v>8.708999E7</v>
      </c>
      <c r="N1385" s="44" t="s">
        <v>28</v>
      </c>
      <c r="O1385" s="45">
        <v>0.428</v>
      </c>
      <c r="P1385" s="44">
        <v>7.898233434289E12</v>
      </c>
      <c r="Q1385" s="44">
        <v>1.0</v>
      </c>
    </row>
    <row r="1386" ht="15.75" customHeight="1">
      <c r="A1386" s="35" t="s">
        <v>3558</v>
      </c>
      <c r="B1386" s="36">
        <v>61.01318023208103</v>
      </c>
      <c r="C1386" s="36">
        <f>'Lista de Preço 02_2022'!$B1386*0.9*0.9*0.9*0.9*0.9*0.97</f>
        <v>34.94684261</v>
      </c>
      <c r="D1386" s="36">
        <f>'Lista de Preço 02_2022'!$C1386*1.1712</f>
        <v>40.92974207</v>
      </c>
      <c r="E1386" s="37">
        <v>3.25</v>
      </c>
      <c r="F1386" s="38">
        <v>0.18</v>
      </c>
      <c r="G1386" s="38" t="s">
        <v>22</v>
      </c>
      <c r="H1386" s="39" t="s">
        <v>43</v>
      </c>
      <c r="I1386" s="40" t="s">
        <v>3559</v>
      </c>
      <c r="J1386" s="41" t="s">
        <v>45</v>
      </c>
      <c r="K1386" s="42" t="s">
        <v>153</v>
      </c>
      <c r="L1386" s="43">
        <v>7.700113959E9</v>
      </c>
      <c r="M1386" s="44">
        <v>8.708999E7</v>
      </c>
      <c r="N1386" s="44" t="s">
        <v>28</v>
      </c>
      <c r="O1386" s="45">
        <v>0.308</v>
      </c>
      <c r="P1386" s="44">
        <v>7.898233434395E12</v>
      </c>
      <c r="Q1386" s="44">
        <v>1.0</v>
      </c>
    </row>
    <row r="1387" ht="15.75" customHeight="1">
      <c r="A1387" s="35" t="s">
        <v>3560</v>
      </c>
      <c r="B1387" s="36">
        <v>282.901929791386</v>
      </c>
      <c r="C1387" s="36">
        <f>'Lista de Preço 02_2022'!$B1387*0.9*0.9*0.9*0.9*0.9*0.97</f>
        <v>162.0392377</v>
      </c>
      <c r="D1387" s="36">
        <f>'Lista de Preço 02_2022'!$C1387*1.1712</f>
        <v>189.7803552</v>
      </c>
      <c r="E1387" s="37">
        <v>3.25</v>
      </c>
      <c r="F1387" s="38">
        <v>0.18</v>
      </c>
      <c r="G1387" s="38" t="s">
        <v>22</v>
      </c>
      <c r="H1387" s="39" t="s">
        <v>23</v>
      </c>
      <c r="I1387" s="40" t="s">
        <v>3561</v>
      </c>
      <c r="J1387" s="41" t="s">
        <v>25</v>
      </c>
      <c r="K1387" s="42" t="s">
        <v>157</v>
      </c>
      <c r="L1387" s="43" t="s">
        <v>3562</v>
      </c>
      <c r="M1387" s="44">
        <v>8.708999E7</v>
      </c>
      <c r="N1387" s="44" t="s">
        <v>28</v>
      </c>
      <c r="O1387" s="45">
        <v>1.874</v>
      </c>
      <c r="P1387" s="44">
        <v>7.898233434791E12</v>
      </c>
      <c r="Q1387" s="44">
        <v>1.0</v>
      </c>
    </row>
    <row r="1388" ht="15.75" customHeight="1">
      <c r="A1388" s="35" t="s">
        <v>3563</v>
      </c>
      <c r="B1388" s="36">
        <v>257.7430468649383</v>
      </c>
      <c r="C1388" s="36">
        <f>'Lista de Preço 02_2022'!$B1388*0.9*0.9*0.9*0.9*0.9*0.97</f>
        <v>147.628851</v>
      </c>
      <c r="D1388" s="36">
        <f>'Lista de Preço 02_2022'!$C1388*1.1712</f>
        <v>172.9029103</v>
      </c>
      <c r="E1388" s="37">
        <v>3.25</v>
      </c>
      <c r="F1388" s="38">
        <v>0.18</v>
      </c>
      <c r="G1388" s="38" t="s">
        <v>22</v>
      </c>
      <c r="H1388" s="39" t="s">
        <v>23</v>
      </c>
      <c r="I1388" s="40" t="s">
        <v>3564</v>
      </c>
      <c r="J1388" s="41" t="s">
        <v>25</v>
      </c>
      <c r="K1388" s="42" t="s">
        <v>157</v>
      </c>
      <c r="L1388" s="43" t="s">
        <v>3565</v>
      </c>
      <c r="M1388" s="44">
        <v>8.708999E7</v>
      </c>
      <c r="N1388" s="44" t="s">
        <v>28</v>
      </c>
      <c r="O1388" s="45">
        <v>1.718</v>
      </c>
      <c r="P1388" s="44">
        <v>7.898233434708E12</v>
      </c>
      <c r="Q1388" s="44">
        <v>1.0</v>
      </c>
    </row>
    <row r="1389" ht="15.75" customHeight="1">
      <c r="A1389" s="35" t="s">
        <v>3566</v>
      </c>
      <c r="B1389" s="36">
        <v>126.0946861769552</v>
      </c>
      <c r="C1389" s="36">
        <f>'Lista de Preço 02_2022'!$B1389*0.9*0.9*0.9*0.9*0.9*0.97</f>
        <v>72.2239217</v>
      </c>
      <c r="D1389" s="36">
        <f>'Lista de Preço 02_2022'!$C1389*1.1712</f>
        <v>84.5886571</v>
      </c>
      <c r="E1389" s="37">
        <v>3.25</v>
      </c>
      <c r="F1389" s="38">
        <v>0.18</v>
      </c>
      <c r="G1389" s="38" t="s">
        <v>22</v>
      </c>
      <c r="H1389" s="39" t="s">
        <v>23</v>
      </c>
      <c r="I1389" s="40" t="s">
        <v>3567</v>
      </c>
      <c r="J1389" s="41" t="s">
        <v>25</v>
      </c>
      <c r="K1389" s="42" t="s">
        <v>68</v>
      </c>
      <c r="L1389" s="43">
        <v>9.0496444E7</v>
      </c>
      <c r="M1389" s="44">
        <v>8.708999E7</v>
      </c>
      <c r="N1389" s="44" t="s">
        <v>28</v>
      </c>
      <c r="O1389" s="45">
        <v>1.854</v>
      </c>
      <c r="P1389" s="44">
        <v>7.898233430519E12</v>
      </c>
      <c r="Q1389" s="44">
        <v>1.0</v>
      </c>
    </row>
    <row r="1390" ht="15.75" customHeight="1">
      <c r="A1390" s="35" t="s">
        <v>3568</v>
      </c>
      <c r="B1390" s="36">
        <v>119.33090278248153</v>
      </c>
      <c r="C1390" s="36">
        <f>'Lista de Preço 02_2022'!$B1390*0.9*0.9*0.9*0.9*0.9*0.97</f>
        <v>68.34979364</v>
      </c>
      <c r="D1390" s="36">
        <f>'Lista de Preço 02_2022'!$C1390*1.1712</f>
        <v>80.05127831</v>
      </c>
      <c r="E1390" s="37">
        <v>3.25</v>
      </c>
      <c r="F1390" s="38">
        <v>0.18</v>
      </c>
      <c r="G1390" s="38" t="s">
        <v>22</v>
      </c>
      <c r="H1390" s="39" t="s">
        <v>23</v>
      </c>
      <c r="I1390" s="40" t="s">
        <v>3569</v>
      </c>
      <c r="J1390" s="41" t="s">
        <v>25</v>
      </c>
      <c r="K1390" s="42" t="s">
        <v>157</v>
      </c>
      <c r="L1390" s="43" t="s">
        <v>3570</v>
      </c>
      <c r="M1390" s="44">
        <v>8.708999E7</v>
      </c>
      <c r="N1390" s="44" t="s">
        <v>28</v>
      </c>
      <c r="O1390" s="45">
        <v>1.0</v>
      </c>
      <c r="P1390" s="44">
        <v>7.898233434432E12</v>
      </c>
      <c r="Q1390" s="44">
        <v>1.0</v>
      </c>
    </row>
    <row r="1391" ht="15.75" customHeight="1">
      <c r="A1391" s="35" t="s">
        <v>3571</v>
      </c>
      <c r="B1391" s="36">
        <v>250.43419525015503</v>
      </c>
      <c r="C1391" s="36">
        <f>'Lista de Preço 02_2022'!$B1391*0.9*0.9*0.9*0.9*0.9*0.97</f>
        <v>143.4425213</v>
      </c>
      <c r="D1391" s="36">
        <f>'Lista de Preço 02_2022'!$C1391*1.1712</f>
        <v>167.999881</v>
      </c>
      <c r="E1391" s="37">
        <v>3.25</v>
      </c>
      <c r="F1391" s="38">
        <v>0.18</v>
      </c>
      <c r="G1391" s="38" t="s">
        <v>22</v>
      </c>
      <c r="H1391" s="39" t="s">
        <v>23</v>
      </c>
      <c r="I1391" s="40" t="s">
        <v>3572</v>
      </c>
      <c r="J1391" s="41" t="s">
        <v>25</v>
      </c>
      <c r="K1391" s="42" t="s">
        <v>157</v>
      </c>
      <c r="L1391" s="43" t="s">
        <v>3573</v>
      </c>
      <c r="M1391" s="44">
        <v>8.708999E7</v>
      </c>
      <c r="N1391" s="44" t="s">
        <v>28</v>
      </c>
      <c r="O1391" s="45">
        <v>1.774</v>
      </c>
      <c r="P1391" s="44">
        <v>7.898233434654E12</v>
      </c>
      <c r="Q1391" s="44">
        <v>1.0</v>
      </c>
    </row>
    <row r="1392" ht="15.75" customHeight="1">
      <c r="A1392" s="35" t="s">
        <v>3574</v>
      </c>
      <c r="B1392" s="36">
        <v>253.71209760477007</v>
      </c>
      <c r="C1392" s="36">
        <f>'Lista de Preço 02_2022'!$B1392*0.9*0.9*0.9*0.9*0.9*0.97</f>
        <v>145.3200228</v>
      </c>
      <c r="D1392" s="36">
        <f>'Lista de Preço 02_2022'!$C1392*1.1712</f>
        <v>170.1988107</v>
      </c>
      <c r="E1392" s="37">
        <v>3.25</v>
      </c>
      <c r="F1392" s="38">
        <v>0.18</v>
      </c>
      <c r="G1392" s="38" t="s">
        <v>22</v>
      </c>
      <c r="H1392" s="39" t="s">
        <v>23</v>
      </c>
      <c r="I1392" s="40" t="s">
        <v>3575</v>
      </c>
      <c r="J1392" s="41" t="s">
        <v>25</v>
      </c>
      <c r="K1392" s="42" t="s">
        <v>157</v>
      </c>
      <c r="L1392" s="43" t="s">
        <v>3576</v>
      </c>
      <c r="M1392" s="44">
        <v>8.708999E7</v>
      </c>
      <c r="N1392" s="44" t="s">
        <v>28</v>
      </c>
      <c r="O1392" s="45">
        <v>1.788</v>
      </c>
      <c r="P1392" s="44">
        <v>7.898233434661E12</v>
      </c>
      <c r="Q1392" s="44">
        <v>1.0</v>
      </c>
    </row>
    <row r="1393" ht="15.75" customHeight="1">
      <c r="A1393" s="35" t="s">
        <v>3577</v>
      </c>
      <c r="B1393" s="36">
        <v>259.11388425657003</v>
      </c>
      <c r="C1393" s="36">
        <f>'Lista de Preço 02_2022'!$B1393*0.9*0.9*0.9*0.9*0.9*0.97</f>
        <v>148.4140328</v>
      </c>
      <c r="D1393" s="36">
        <f>'Lista de Preço 02_2022'!$C1393*1.1712</f>
        <v>173.8225152</v>
      </c>
      <c r="E1393" s="37">
        <v>3.25</v>
      </c>
      <c r="F1393" s="38">
        <v>0.18</v>
      </c>
      <c r="G1393" s="38" t="s">
        <v>22</v>
      </c>
      <c r="H1393" s="39" t="s">
        <v>23</v>
      </c>
      <c r="I1393" s="40" t="s">
        <v>3578</v>
      </c>
      <c r="J1393" s="41" t="s">
        <v>25</v>
      </c>
      <c r="K1393" s="42" t="s">
        <v>157</v>
      </c>
      <c r="L1393" s="43" t="s">
        <v>3579</v>
      </c>
      <c r="M1393" s="44">
        <v>8.708999E7</v>
      </c>
      <c r="N1393" s="44" t="s">
        <v>28</v>
      </c>
      <c r="O1393" s="45">
        <v>1.676</v>
      </c>
      <c r="P1393" s="44">
        <v>7.898233434715E12</v>
      </c>
      <c r="Q1393" s="44">
        <v>1.0</v>
      </c>
    </row>
    <row r="1394" ht="15.75" customHeight="1">
      <c r="A1394" s="35" t="s">
        <v>3580</v>
      </c>
      <c r="B1394" s="36">
        <v>294.3435071044906</v>
      </c>
      <c r="C1394" s="36">
        <f>'Lista de Preço 02_2022'!$B1394*0.9*0.9*0.9*0.9*0.9*0.97</f>
        <v>168.5926906</v>
      </c>
      <c r="D1394" s="36">
        <f>'Lista de Preço 02_2022'!$C1394*1.1712</f>
        <v>197.4557592</v>
      </c>
      <c r="E1394" s="37">
        <v>3.25</v>
      </c>
      <c r="F1394" s="38">
        <v>0.18</v>
      </c>
      <c r="G1394" s="38" t="s">
        <v>22</v>
      </c>
      <c r="H1394" s="39" t="s">
        <v>23</v>
      </c>
      <c r="I1394" s="40" t="s">
        <v>3581</v>
      </c>
      <c r="J1394" s="41" t="s">
        <v>25</v>
      </c>
      <c r="K1394" s="42" t="s">
        <v>157</v>
      </c>
      <c r="L1394" s="43" t="s">
        <v>3582</v>
      </c>
      <c r="M1394" s="44">
        <v>8.708999E7</v>
      </c>
      <c r="N1394" s="44" t="s">
        <v>28</v>
      </c>
      <c r="O1394" s="45">
        <v>1.858</v>
      </c>
      <c r="P1394" s="44">
        <v>7.898233434784E12</v>
      </c>
      <c r="Q1394" s="44">
        <v>1.0</v>
      </c>
    </row>
    <row r="1395" ht="15.75" customHeight="1">
      <c r="A1395" s="35" t="s">
        <v>3583</v>
      </c>
      <c r="B1395" s="36">
        <v>378.01428433573955</v>
      </c>
      <c r="C1395" s="36">
        <f>'Lista de Preço 02_2022'!$B1395*0.9*0.9*0.9*0.9*0.9*0.97</f>
        <v>216.5172451</v>
      </c>
      <c r="D1395" s="36">
        <f>'Lista de Preço 02_2022'!$C1395*1.1712</f>
        <v>253.5849975</v>
      </c>
      <c r="E1395" s="37">
        <v>3.25</v>
      </c>
      <c r="F1395" s="38">
        <v>0.18</v>
      </c>
      <c r="G1395" s="38" t="s">
        <v>22</v>
      </c>
      <c r="H1395" s="39" t="s">
        <v>23</v>
      </c>
      <c r="I1395" s="40" t="s">
        <v>3584</v>
      </c>
      <c r="J1395" s="41" t="s">
        <v>25</v>
      </c>
      <c r="K1395" s="42" t="s">
        <v>86</v>
      </c>
      <c r="L1395" s="43">
        <v>4.24101209E9</v>
      </c>
      <c r="M1395" s="44">
        <v>8.708999E7</v>
      </c>
      <c r="N1395" s="44" t="s">
        <v>28</v>
      </c>
      <c r="O1395" s="45">
        <v>2.862</v>
      </c>
      <c r="P1395" s="44">
        <v>7.898233434593E12</v>
      </c>
      <c r="Q1395" s="44">
        <v>1.0</v>
      </c>
    </row>
    <row r="1396" ht="15.75" customHeight="1">
      <c r="A1396" s="35" t="s">
        <v>3585</v>
      </c>
      <c r="B1396" s="36">
        <v>476.04545425546945</v>
      </c>
      <c r="C1396" s="36">
        <f>'Lista de Preço 02_2022'!$B1396*0.9*0.9*0.9*0.9*0.9*0.97</f>
        <v>272.6670779</v>
      </c>
      <c r="D1396" s="36">
        <f>'Lista de Preço 02_2022'!$C1396*1.1712</f>
        <v>319.3476816</v>
      </c>
      <c r="E1396" s="37">
        <v>3.25</v>
      </c>
      <c r="F1396" s="38">
        <v>0.18</v>
      </c>
      <c r="G1396" s="38" t="s">
        <v>22</v>
      </c>
      <c r="H1396" s="39" t="s">
        <v>23</v>
      </c>
      <c r="I1396" s="40" t="s">
        <v>3586</v>
      </c>
      <c r="J1396" s="41" t="s">
        <v>25</v>
      </c>
      <c r="K1396" s="42" t="s">
        <v>86</v>
      </c>
      <c r="L1396" s="43">
        <v>4.245002081E9</v>
      </c>
      <c r="M1396" s="44">
        <v>8.708999E7</v>
      </c>
      <c r="N1396" s="44" t="s">
        <v>28</v>
      </c>
      <c r="O1396" s="45">
        <v>3.13</v>
      </c>
      <c r="P1396" s="44">
        <v>7.898233434869E12</v>
      </c>
      <c r="Q1396" s="44">
        <v>1.0</v>
      </c>
    </row>
    <row r="1397" ht="15.75" customHeight="1">
      <c r="A1397" s="35" t="s">
        <v>3587</v>
      </c>
      <c r="B1397" s="36">
        <v>345.62723271196717</v>
      </c>
      <c r="C1397" s="36">
        <f>'Lista de Preço 02_2022'!$B1397*0.9*0.9*0.9*0.9*0.9*0.97</f>
        <v>197.9667419</v>
      </c>
      <c r="D1397" s="36">
        <f>'Lista de Preço 02_2022'!$C1397*1.1712</f>
        <v>231.8586481</v>
      </c>
      <c r="E1397" s="37">
        <v>3.25</v>
      </c>
      <c r="F1397" s="38">
        <v>0.18</v>
      </c>
      <c r="G1397" s="38" t="s">
        <v>22</v>
      </c>
      <c r="H1397" s="39" t="s">
        <v>23</v>
      </c>
      <c r="I1397" s="40" t="s">
        <v>3588</v>
      </c>
      <c r="J1397" s="41" t="s">
        <v>25</v>
      </c>
      <c r="K1397" s="42" t="s">
        <v>86</v>
      </c>
      <c r="L1397" s="43">
        <v>4.241002101E9</v>
      </c>
      <c r="M1397" s="44">
        <v>8.708999E7</v>
      </c>
      <c r="N1397" s="44" t="s">
        <v>28</v>
      </c>
      <c r="O1397" s="45">
        <v>3.046</v>
      </c>
      <c r="P1397" s="44">
        <v>7.898233434609E12</v>
      </c>
      <c r="Q1397" s="44">
        <v>1.0</v>
      </c>
    </row>
    <row r="1398" ht="15.75" customHeight="1">
      <c r="A1398" s="35" t="s">
        <v>3589</v>
      </c>
      <c r="B1398" s="36">
        <v>229.70879859397937</v>
      </c>
      <c r="C1398" s="36">
        <f>'Lista de Preço 02_2022'!$B1398*0.9*0.9*0.9*0.9*0.9*0.97</f>
        <v>131.571526</v>
      </c>
      <c r="D1398" s="36">
        <f>'Lista de Preço 02_2022'!$C1398*1.1712</f>
        <v>154.0965713</v>
      </c>
      <c r="E1398" s="37">
        <v>3.25</v>
      </c>
      <c r="F1398" s="38">
        <v>0.18</v>
      </c>
      <c r="G1398" s="38" t="s">
        <v>22</v>
      </c>
      <c r="H1398" s="39" t="s">
        <v>23</v>
      </c>
      <c r="I1398" s="40" t="s">
        <v>3590</v>
      </c>
      <c r="J1398" s="41" t="s">
        <v>25</v>
      </c>
      <c r="K1398" s="42" t="s">
        <v>625</v>
      </c>
      <c r="L1398" s="43">
        <v>374832.0</v>
      </c>
      <c r="M1398" s="44">
        <v>8.708999E7</v>
      </c>
      <c r="N1398" s="44" t="s">
        <v>28</v>
      </c>
      <c r="O1398" s="45">
        <v>2.008</v>
      </c>
      <c r="P1398" s="44">
        <v>7.898233434623E12</v>
      </c>
      <c r="Q1398" s="44">
        <v>1.0</v>
      </c>
    </row>
    <row r="1399" ht="15.75" customHeight="1">
      <c r="A1399" s="35" t="s">
        <v>3591</v>
      </c>
      <c r="B1399" s="36">
        <v>192.39372526614957</v>
      </c>
      <c r="C1399" s="36">
        <f>'Lista de Preço 02_2022'!$B1399*0.9*0.9*0.9*0.9*0.9*0.97</f>
        <v>110.1983737</v>
      </c>
      <c r="D1399" s="36">
        <f>'Lista de Preço 02_2022'!$C1399*1.1712</f>
        <v>129.0643353</v>
      </c>
      <c r="E1399" s="37">
        <v>3.25</v>
      </c>
      <c r="F1399" s="38">
        <v>0.18</v>
      </c>
      <c r="G1399" s="38" t="s">
        <v>22</v>
      </c>
      <c r="H1399" s="39" t="s">
        <v>23</v>
      </c>
      <c r="I1399" s="40" t="s">
        <v>3592</v>
      </c>
      <c r="J1399" s="41" t="s">
        <v>25</v>
      </c>
      <c r="K1399" s="42" t="s">
        <v>625</v>
      </c>
      <c r="L1399" s="43">
        <v>374872.0</v>
      </c>
      <c r="M1399" s="44">
        <v>8.708999E7</v>
      </c>
      <c r="N1399" s="44" t="s">
        <v>28</v>
      </c>
      <c r="O1399" s="45">
        <v>2.012</v>
      </c>
      <c r="P1399" s="44">
        <v>7.89823343463E12</v>
      </c>
      <c r="Q1399" s="44">
        <v>1.0</v>
      </c>
    </row>
    <row r="1400" ht="15.75" customHeight="1">
      <c r="A1400" s="35" t="s">
        <v>3593</v>
      </c>
      <c r="B1400" s="36">
        <v>90.69755089738443</v>
      </c>
      <c r="C1400" s="36">
        <f>'Lista de Preço 02_2022'!$B1400*0.9*0.9*0.9*0.9*0.9*0.97</f>
        <v>51.94931692</v>
      </c>
      <c r="D1400" s="36">
        <f>'Lista de Preço 02_2022'!$C1400*1.1627</f>
        <v>60.40147079</v>
      </c>
      <c r="E1400" s="37">
        <v>2.6</v>
      </c>
      <c r="F1400" s="38">
        <v>0.18</v>
      </c>
      <c r="G1400" s="38" t="s">
        <v>22</v>
      </c>
      <c r="H1400" s="39" t="s">
        <v>38</v>
      </c>
      <c r="I1400" s="40" t="s">
        <v>3594</v>
      </c>
      <c r="J1400" s="41" t="s">
        <v>556</v>
      </c>
      <c r="K1400" s="42" t="s">
        <v>68</v>
      </c>
      <c r="L1400" s="43">
        <v>7322178.0</v>
      </c>
      <c r="M1400" s="44">
        <v>8.70893E7</v>
      </c>
      <c r="N1400" s="44" t="s">
        <v>28</v>
      </c>
      <c r="O1400" s="45">
        <v>0.78</v>
      </c>
      <c r="P1400" s="44">
        <v>7.898233430526E12</v>
      </c>
      <c r="Q1400" s="44">
        <v>1.0</v>
      </c>
    </row>
    <row r="1401" ht="15.75" customHeight="1">
      <c r="A1401" s="35" t="s">
        <v>3595</v>
      </c>
      <c r="B1401" s="36">
        <v>245.46956844279836</v>
      </c>
      <c r="C1401" s="36">
        <f>'Lista de Preço 02_2022'!$B1401*0.9*0.9*0.9*0.9*0.9*0.97</f>
        <v>140.5989057</v>
      </c>
      <c r="D1401" s="36">
        <f>'Lista de Preço 02_2022'!$C1401*1.1712</f>
        <v>164.6694384</v>
      </c>
      <c r="E1401" s="37">
        <v>3.25</v>
      </c>
      <c r="F1401" s="38">
        <v>0.18</v>
      </c>
      <c r="G1401" s="38" t="s">
        <v>22</v>
      </c>
      <c r="H1401" s="39" t="s">
        <v>23</v>
      </c>
      <c r="I1401" s="40" t="s">
        <v>3596</v>
      </c>
      <c r="J1401" s="41" t="s">
        <v>25</v>
      </c>
      <c r="K1401" s="42" t="s">
        <v>456</v>
      </c>
      <c r="L1401" s="43">
        <v>374841.0</v>
      </c>
      <c r="M1401" s="44">
        <v>8.708999E7</v>
      </c>
      <c r="N1401" s="44" t="s">
        <v>28</v>
      </c>
      <c r="O1401" s="45">
        <v>1.93</v>
      </c>
      <c r="P1401" s="44">
        <v>7.898233434647E12</v>
      </c>
      <c r="Q1401" s="44">
        <v>1.0</v>
      </c>
    </row>
    <row r="1402" ht="15.75" customHeight="1">
      <c r="A1402" s="35" t="s">
        <v>3597</v>
      </c>
      <c r="B1402" s="36">
        <v>211.00115269201504</v>
      </c>
      <c r="C1402" s="36">
        <f>'Lista de Preço 02_2022'!$B1402*0.9*0.9*0.9*0.9*0.9*0.97</f>
        <v>120.8562485</v>
      </c>
      <c r="D1402" s="36">
        <f>'Lista de Preço 02_2022'!$C1402*1.1712</f>
        <v>141.5468383</v>
      </c>
      <c r="E1402" s="37">
        <v>3.25</v>
      </c>
      <c r="F1402" s="38">
        <v>0.18</v>
      </c>
      <c r="G1402" s="38" t="s">
        <v>22</v>
      </c>
      <c r="H1402" s="39" t="s">
        <v>23</v>
      </c>
      <c r="I1402" s="40" t="s">
        <v>3598</v>
      </c>
      <c r="J1402" s="41" t="s">
        <v>25</v>
      </c>
      <c r="K1402" s="42" t="s">
        <v>456</v>
      </c>
      <c r="L1402" s="43">
        <v>370142.0</v>
      </c>
      <c r="M1402" s="44">
        <v>8.708999E7</v>
      </c>
      <c r="N1402" s="44" t="s">
        <v>28</v>
      </c>
      <c r="O1402" s="45">
        <v>1.852</v>
      </c>
      <c r="P1402" s="44">
        <v>7.898233434685E12</v>
      </c>
      <c r="Q1402" s="44">
        <v>1.0</v>
      </c>
    </row>
    <row r="1403" ht="15.75" customHeight="1">
      <c r="A1403" s="35" t="s">
        <v>3599</v>
      </c>
      <c r="B1403" s="36">
        <v>271.2219562035383</v>
      </c>
      <c r="C1403" s="36">
        <f>'Lista de Preço 02_2022'!$B1403*0.9*0.9*0.9*0.9*0.9*0.97</f>
        <v>155.3492373</v>
      </c>
      <c r="D1403" s="36">
        <f>'Lista de Preço 02_2022'!$C1403*1.1712</f>
        <v>181.9450268</v>
      </c>
      <c r="E1403" s="37">
        <v>3.25</v>
      </c>
      <c r="F1403" s="38">
        <v>0.18</v>
      </c>
      <c r="G1403" s="38" t="s">
        <v>22</v>
      </c>
      <c r="H1403" s="39" t="s">
        <v>23</v>
      </c>
      <c r="I1403" s="40" t="s">
        <v>3600</v>
      </c>
      <c r="J1403" s="41" t="s">
        <v>25</v>
      </c>
      <c r="K1403" s="42" t="s">
        <v>625</v>
      </c>
      <c r="L1403" s="43">
        <v>374874.0</v>
      </c>
      <c r="M1403" s="44">
        <v>8.708999E7</v>
      </c>
      <c r="N1403" s="44" t="s">
        <v>28</v>
      </c>
      <c r="O1403" s="45">
        <v>1.734</v>
      </c>
      <c r="P1403" s="44">
        <v>7.898233434753E12</v>
      </c>
      <c r="Q1403" s="44">
        <v>1.0</v>
      </c>
    </row>
    <row r="1404" ht="15.75" customHeight="1">
      <c r="A1404" s="35" t="s">
        <v>3601</v>
      </c>
      <c r="B1404" s="36">
        <v>248.37874775629857</v>
      </c>
      <c r="C1404" s="36">
        <f>'Lista de Preço 02_2022'!$B1404*0.9*0.9*0.9*0.9*0.9*0.97</f>
        <v>142.2652118</v>
      </c>
      <c r="D1404" s="36">
        <f>'Lista de Preço 02_2022'!$C1404*1.1712</f>
        <v>166.621016</v>
      </c>
      <c r="E1404" s="37">
        <v>3.25</v>
      </c>
      <c r="F1404" s="38">
        <v>0.18</v>
      </c>
      <c r="G1404" s="38" t="s">
        <v>22</v>
      </c>
      <c r="H1404" s="39" t="s">
        <v>23</v>
      </c>
      <c r="I1404" s="40" t="s">
        <v>3602</v>
      </c>
      <c r="J1404" s="41" t="s">
        <v>25</v>
      </c>
      <c r="K1404" s="42" t="s">
        <v>456</v>
      </c>
      <c r="L1404" s="43" t="s">
        <v>3603</v>
      </c>
      <c r="M1404" s="44">
        <v>8.708999E7</v>
      </c>
      <c r="N1404" s="44" t="s">
        <v>28</v>
      </c>
      <c r="O1404" s="45">
        <v>1.776</v>
      </c>
      <c r="P1404" s="44">
        <v>7.898233434746E12</v>
      </c>
      <c r="Q1404" s="44">
        <v>1.0</v>
      </c>
    </row>
    <row r="1405" ht="15.75" customHeight="1">
      <c r="A1405" s="35" t="s">
        <v>3604</v>
      </c>
      <c r="B1405" s="36">
        <v>224.9354450317446</v>
      </c>
      <c r="C1405" s="36">
        <f>'Lista de Preço 02_2022'!$B1405*0.9*0.9*0.9*0.9*0.9*0.97</f>
        <v>128.837467</v>
      </c>
      <c r="D1405" s="36">
        <f>'Lista de Preço 02_2022'!$C1405*1.1712</f>
        <v>150.8944414</v>
      </c>
      <c r="E1405" s="37">
        <v>3.25</v>
      </c>
      <c r="F1405" s="38">
        <v>0.18</v>
      </c>
      <c r="G1405" s="38" t="s">
        <v>22</v>
      </c>
      <c r="H1405" s="39" t="s">
        <v>23</v>
      </c>
      <c r="I1405" s="40" t="s">
        <v>3605</v>
      </c>
      <c r="J1405" s="41" t="s">
        <v>25</v>
      </c>
      <c r="K1405" s="42" t="s">
        <v>73</v>
      </c>
      <c r="L1405" s="43" t="s">
        <v>3606</v>
      </c>
      <c r="M1405" s="44">
        <v>8.708999E7</v>
      </c>
      <c r="N1405" s="44" t="s">
        <v>28</v>
      </c>
      <c r="O1405" s="45">
        <v>1.494</v>
      </c>
      <c r="P1405" s="44">
        <v>7.898233434692E12</v>
      </c>
      <c r="Q1405" s="44">
        <v>1.0</v>
      </c>
    </row>
    <row r="1406" ht="15.75" customHeight="1">
      <c r="A1406" s="35" t="s">
        <v>3607</v>
      </c>
      <c r="B1406" s="36">
        <v>194.54091372572177</v>
      </c>
      <c r="C1406" s="36">
        <f>'Lista de Preço 02_2022'!$B1406*0.9*0.9*0.9*0.9*0.9*0.97</f>
        <v>111.4282302</v>
      </c>
      <c r="D1406" s="36">
        <f>'Lista de Preço 02_2022'!$C1406*1.1712</f>
        <v>130.5047432</v>
      </c>
      <c r="E1406" s="37">
        <v>3.25</v>
      </c>
      <c r="F1406" s="38">
        <v>0.18</v>
      </c>
      <c r="G1406" s="38" t="s">
        <v>22</v>
      </c>
      <c r="H1406" s="39" t="s">
        <v>23</v>
      </c>
      <c r="I1406" s="40" t="s">
        <v>3608</v>
      </c>
      <c r="J1406" s="41" t="s">
        <v>25</v>
      </c>
      <c r="K1406" s="42" t="s">
        <v>73</v>
      </c>
      <c r="L1406" s="43" t="s">
        <v>3609</v>
      </c>
      <c r="M1406" s="44">
        <v>8.708999E7</v>
      </c>
      <c r="N1406" s="44" t="s">
        <v>28</v>
      </c>
      <c r="O1406" s="45">
        <v>1.436</v>
      </c>
      <c r="P1406" s="44">
        <v>7.898233434739E12</v>
      </c>
      <c r="Q1406" s="44">
        <v>1.0</v>
      </c>
    </row>
    <row r="1407" ht="15.75" customHeight="1">
      <c r="A1407" s="35" t="s">
        <v>3610</v>
      </c>
      <c r="B1407" s="36">
        <v>229.073623074</v>
      </c>
      <c r="C1407" s="36">
        <f>'Lista de Preço 02_2022'!$B1407*0.9*0.9*0.9*0.9*0.9*0.97</f>
        <v>131.2077132</v>
      </c>
      <c r="D1407" s="36">
        <f>'Lista de Preço 02_2022'!$C1407*1.1712</f>
        <v>153.6704737</v>
      </c>
      <c r="E1407" s="37">
        <v>3.25</v>
      </c>
      <c r="F1407" s="38">
        <v>0.18</v>
      </c>
      <c r="G1407" s="38" t="s">
        <v>22</v>
      </c>
      <c r="H1407" s="39" t="s">
        <v>23</v>
      </c>
      <c r="I1407" s="40" t="s">
        <v>3611</v>
      </c>
      <c r="J1407" s="41" t="s">
        <v>25</v>
      </c>
      <c r="K1407" s="42" t="s">
        <v>625</v>
      </c>
      <c r="L1407" s="43">
        <v>374876.0</v>
      </c>
      <c r="M1407" s="44">
        <v>8.708999E7</v>
      </c>
      <c r="N1407" s="44" t="s">
        <v>28</v>
      </c>
      <c r="O1407" s="45">
        <v>1.806</v>
      </c>
      <c r="P1407" s="44">
        <v>7.898233434678E12</v>
      </c>
      <c r="Q1407" s="44">
        <v>1.0</v>
      </c>
    </row>
    <row r="1408" ht="15.75" customHeight="1">
      <c r="A1408" s="35" t="s">
        <v>3612</v>
      </c>
      <c r="B1408" s="36">
        <v>271.53341087634334</v>
      </c>
      <c r="C1408" s="36">
        <f>'Lista de Preço 02_2022'!$B1408*0.9*0.9*0.9*0.9*0.9*0.97</f>
        <v>155.5276309</v>
      </c>
      <c r="D1408" s="36">
        <f>'Lista de Preço 02_2022'!$C1408*1.1712</f>
        <v>182.1539613</v>
      </c>
      <c r="E1408" s="37">
        <v>3.25</v>
      </c>
      <c r="F1408" s="38">
        <v>0.18</v>
      </c>
      <c r="G1408" s="38" t="s">
        <v>22</v>
      </c>
      <c r="H1408" s="39" t="s">
        <v>23</v>
      </c>
      <c r="I1408" s="40" t="s">
        <v>3613</v>
      </c>
      <c r="J1408" s="41" t="s">
        <v>25</v>
      </c>
      <c r="K1408" s="42" t="s">
        <v>625</v>
      </c>
      <c r="L1408" s="43" t="s">
        <v>3614</v>
      </c>
      <c r="M1408" s="44">
        <v>8.708999E7</v>
      </c>
      <c r="N1408" s="44" t="s">
        <v>28</v>
      </c>
      <c r="O1408" s="45">
        <v>1.682</v>
      </c>
      <c r="P1408" s="44">
        <v>7.89823343476E12</v>
      </c>
      <c r="Q1408" s="44">
        <v>1.0</v>
      </c>
    </row>
    <row r="1409" ht="15.75" customHeight="1">
      <c r="A1409" s="66" t="s">
        <v>3615</v>
      </c>
      <c r="B1409" s="36">
        <v>297.00858916076874</v>
      </c>
      <c r="C1409" s="36">
        <f>'Lista de Preço 02_2022'!$B1409*0.9*0.9*0.9*0.9*0.9*0.97</f>
        <v>170.1191838</v>
      </c>
      <c r="D1409" s="36">
        <f>'Lista de Preço 02_2022'!$C1409*1.1712</f>
        <v>199.243588</v>
      </c>
      <c r="E1409" s="37">
        <v>3.25</v>
      </c>
      <c r="F1409" s="38">
        <v>0.18</v>
      </c>
      <c r="G1409" s="38" t="s">
        <v>22</v>
      </c>
      <c r="H1409" s="39" t="s">
        <v>23</v>
      </c>
      <c r="I1409" s="40" t="s">
        <v>3616</v>
      </c>
      <c r="J1409" s="41" t="s">
        <v>25</v>
      </c>
      <c r="K1409" s="42" t="s">
        <v>625</v>
      </c>
      <c r="L1409" s="43" t="s">
        <v>3617</v>
      </c>
      <c r="M1409" s="44">
        <v>8.708999E7</v>
      </c>
      <c r="N1409" s="44" t="s">
        <v>28</v>
      </c>
      <c r="O1409" s="45">
        <v>2.09</v>
      </c>
      <c r="P1409" s="44">
        <v>7.898233434777E12</v>
      </c>
      <c r="Q1409" s="44">
        <v>1.0</v>
      </c>
    </row>
    <row r="1410" ht="15.75" customHeight="1">
      <c r="A1410" s="35" t="s">
        <v>3618</v>
      </c>
      <c r="B1410" s="36">
        <v>98.816843146254</v>
      </c>
      <c r="C1410" s="36">
        <f>'Lista de Preço 02_2022'!$B1410*0.9*0.9*0.9*0.9*0.9*0.97</f>
        <v>56.59984698</v>
      </c>
      <c r="D1410" s="36">
        <f>'Lista de Preço 02_2022'!$C1410*1.1712</f>
        <v>66.28974078</v>
      </c>
      <c r="E1410" s="37">
        <v>3.25</v>
      </c>
      <c r="F1410" s="38">
        <v>0.18</v>
      </c>
      <c r="G1410" s="38" t="s">
        <v>22</v>
      </c>
      <c r="H1410" s="39" t="s">
        <v>23</v>
      </c>
      <c r="I1410" s="40" t="s">
        <v>3619</v>
      </c>
      <c r="J1410" s="41" t="s">
        <v>25</v>
      </c>
      <c r="K1410" s="42" t="s">
        <v>68</v>
      </c>
      <c r="L1410" s="43">
        <v>9.0251876E7</v>
      </c>
      <c r="M1410" s="44">
        <v>8.708999E7</v>
      </c>
      <c r="N1410" s="44" t="s">
        <v>28</v>
      </c>
      <c r="O1410" s="45">
        <v>1.55</v>
      </c>
      <c r="P1410" s="44">
        <v>7.898233430533E12</v>
      </c>
      <c r="Q1410" s="44">
        <v>1.0</v>
      </c>
    </row>
    <row r="1411" ht="15.75" customHeight="1">
      <c r="A1411" s="35" t="s">
        <v>3620</v>
      </c>
      <c r="B1411" s="36">
        <v>132.6080791610875</v>
      </c>
      <c r="C1411" s="36">
        <f>'Lista de Preço 02_2022'!$B1411*0.9*0.9*0.9*0.9*0.9*0.97</f>
        <v>75.95463232</v>
      </c>
      <c r="D1411" s="36">
        <f>'Lista de Preço 02_2022'!$C1411*1.1712</f>
        <v>88.95806538</v>
      </c>
      <c r="E1411" s="37">
        <v>3.25</v>
      </c>
      <c r="F1411" s="38">
        <v>0.18</v>
      </c>
      <c r="G1411" s="38" t="s">
        <v>22</v>
      </c>
      <c r="H1411" s="39" t="s">
        <v>23</v>
      </c>
      <c r="I1411" s="40" t="s">
        <v>3621</v>
      </c>
      <c r="J1411" s="41" t="s">
        <v>25</v>
      </c>
      <c r="K1411" s="42" t="s">
        <v>86</v>
      </c>
      <c r="L1411" s="43">
        <v>4.35020203E9</v>
      </c>
      <c r="M1411" s="44">
        <v>8.708999E7</v>
      </c>
      <c r="N1411" s="44" t="s">
        <v>28</v>
      </c>
      <c r="O1411" s="45">
        <v>1.64</v>
      </c>
      <c r="P1411" s="44">
        <v>7.898233434586E12</v>
      </c>
      <c r="Q1411" s="44">
        <v>1.0</v>
      </c>
    </row>
    <row r="1412" ht="15.75" customHeight="1">
      <c r="A1412" s="66" t="s">
        <v>3622</v>
      </c>
      <c r="B1412" s="36">
        <v>411.8263327984083</v>
      </c>
      <c r="C1412" s="36">
        <f>'Lista de Preço 02_2022'!$B1412*0.9*0.9*0.9*0.9*0.9*0.97</f>
        <v>235.8839513</v>
      </c>
      <c r="D1412" s="36">
        <f>'Lista de Preço 02_2022'!$C1412*1.1712</f>
        <v>276.2672838</v>
      </c>
      <c r="E1412" s="37">
        <v>3.25</v>
      </c>
      <c r="F1412" s="38">
        <v>0.18</v>
      </c>
      <c r="G1412" s="38" t="s">
        <v>22</v>
      </c>
      <c r="H1412" s="39" t="s">
        <v>23</v>
      </c>
      <c r="I1412" s="40" t="s">
        <v>2503</v>
      </c>
      <c r="J1412" s="41" t="s">
        <v>500</v>
      </c>
      <c r="K1412" s="42" t="s">
        <v>86</v>
      </c>
      <c r="L1412" s="43" t="s">
        <v>3623</v>
      </c>
      <c r="M1412" s="44">
        <v>8.708999E7</v>
      </c>
      <c r="N1412" s="44" t="s">
        <v>28</v>
      </c>
      <c r="O1412" s="45">
        <v>3.478</v>
      </c>
      <c r="P1412" s="44">
        <v>7.898233435422E12</v>
      </c>
      <c r="Q1412" s="44">
        <v>1.0</v>
      </c>
    </row>
    <row r="1413" ht="15.75" customHeight="1">
      <c r="A1413" s="66" t="s">
        <v>3624</v>
      </c>
      <c r="B1413" s="36">
        <v>314.418176444266</v>
      </c>
      <c r="C1413" s="36">
        <f>'Lista de Preço 02_2022'!$B1413*0.9*0.9*0.9*0.9*0.9*0.97</f>
        <v>180.0909653</v>
      </c>
      <c r="D1413" s="36">
        <f>'Lista de Preço 02_2022'!$C1413*1.1712</f>
        <v>210.9225386</v>
      </c>
      <c r="E1413" s="37">
        <v>3.25</v>
      </c>
      <c r="F1413" s="38">
        <v>0.18</v>
      </c>
      <c r="G1413" s="38" t="s">
        <v>22</v>
      </c>
      <c r="H1413" s="39" t="s">
        <v>2740</v>
      </c>
      <c r="I1413" s="40" t="s">
        <v>3625</v>
      </c>
      <c r="J1413" s="41" t="s">
        <v>500</v>
      </c>
      <c r="K1413" s="42" t="s">
        <v>86</v>
      </c>
      <c r="L1413" s="43" t="s">
        <v>3626</v>
      </c>
      <c r="M1413" s="44">
        <v>8.708999E7</v>
      </c>
      <c r="N1413" s="44" t="s">
        <v>28</v>
      </c>
      <c r="O1413" s="45">
        <v>2.108</v>
      </c>
      <c r="P1413" s="44">
        <v>7.898233435156E12</v>
      </c>
      <c r="Q1413" s="44">
        <v>1.0</v>
      </c>
    </row>
    <row r="1414" ht="15.75" customHeight="1">
      <c r="A1414" s="67" t="s">
        <v>3627</v>
      </c>
      <c r="B1414" s="36">
        <v>508.12338896928253</v>
      </c>
      <c r="C1414" s="36">
        <f>'Lista de Preço 02_2022'!$B1414*0.9*0.9*0.9*0.9*0.9*0.97</f>
        <v>291.0405266</v>
      </c>
      <c r="D1414" s="36">
        <f>'Lista de Preço 02_2022'!$C1414*1.1712</f>
        <v>340.8666647</v>
      </c>
      <c r="E1414" s="37">
        <v>3.25</v>
      </c>
      <c r="F1414" s="38">
        <v>0.18</v>
      </c>
      <c r="G1414" s="38" t="s">
        <v>22</v>
      </c>
      <c r="H1414" s="39" t="s">
        <v>23</v>
      </c>
      <c r="I1414" s="40" t="s">
        <v>2503</v>
      </c>
      <c r="J1414" s="41" t="s">
        <v>500</v>
      </c>
      <c r="K1414" s="42" t="s">
        <v>86</v>
      </c>
      <c r="L1414" s="43" t="s">
        <v>3628</v>
      </c>
      <c r="M1414" s="44">
        <v>8.708999E7</v>
      </c>
      <c r="N1414" s="44" t="s">
        <v>28</v>
      </c>
      <c r="O1414" s="45">
        <v>5.536</v>
      </c>
      <c r="P1414" s="44">
        <v>7.898233435439E12</v>
      </c>
      <c r="Q1414" s="44">
        <v>1.0</v>
      </c>
    </row>
    <row r="1415" ht="15.75" customHeight="1">
      <c r="A1415" s="35" t="s">
        <v>3629</v>
      </c>
      <c r="B1415" s="36">
        <v>90.64797934643097</v>
      </c>
      <c r="C1415" s="36">
        <f>'Lista de Preço 02_2022'!$B1415*0.9*0.9*0.9*0.9*0.9*0.97</f>
        <v>51.92092356</v>
      </c>
      <c r="D1415" s="36">
        <f>'Lista de Preço 02_2022'!$C1415*1.1712</f>
        <v>60.80978568</v>
      </c>
      <c r="E1415" s="37">
        <v>3.25</v>
      </c>
      <c r="F1415" s="38">
        <v>0.18</v>
      </c>
      <c r="G1415" s="38" t="s">
        <v>22</v>
      </c>
      <c r="H1415" s="39" t="s">
        <v>23</v>
      </c>
      <c r="I1415" s="40" t="s">
        <v>3630</v>
      </c>
      <c r="J1415" s="41" t="s">
        <v>25</v>
      </c>
      <c r="K1415" s="42" t="s">
        <v>68</v>
      </c>
      <c r="L1415" s="43">
        <v>9.0157724E7</v>
      </c>
      <c r="M1415" s="44">
        <v>8.708999E7</v>
      </c>
      <c r="N1415" s="44" t="s">
        <v>28</v>
      </c>
      <c r="O1415" s="45">
        <v>1.27</v>
      </c>
      <c r="P1415" s="44">
        <v>7.89823343054E12</v>
      </c>
      <c r="Q1415" s="44">
        <v>1.0</v>
      </c>
    </row>
    <row r="1416" ht="15.75" customHeight="1">
      <c r="A1416" s="67" t="s">
        <v>3631</v>
      </c>
      <c r="B1416" s="36">
        <v>429.5717447748972</v>
      </c>
      <c r="C1416" s="36">
        <f>'Lista de Preço 02_2022'!$B1416*0.9*0.9*0.9*0.9*0.9*0.97</f>
        <v>246.048085</v>
      </c>
      <c r="D1416" s="36">
        <f>'Lista de Preço 02_2022'!$C1416*1.1712</f>
        <v>288.1715171</v>
      </c>
      <c r="E1416" s="37">
        <v>3.25</v>
      </c>
      <c r="F1416" s="38">
        <v>0.18</v>
      </c>
      <c r="G1416" s="38" t="s">
        <v>22</v>
      </c>
      <c r="H1416" s="39" t="s">
        <v>23</v>
      </c>
      <c r="I1416" s="40" t="s">
        <v>3632</v>
      </c>
      <c r="J1416" s="41" t="s">
        <v>1391</v>
      </c>
      <c r="K1416" s="42" t="s">
        <v>277</v>
      </c>
      <c r="L1416" s="43">
        <v>5.3007449E7</v>
      </c>
      <c r="M1416" s="44">
        <v>8.708999E7</v>
      </c>
      <c r="N1416" s="44" t="s">
        <v>28</v>
      </c>
      <c r="O1416" s="45">
        <v>4.666</v>
      </c>
      <c r="P1416" s="44">
        <v>7.898233434722E12</v>
      </c>
      <c r="Q1416" s="44">
        <v>1.0</v>
      </c>
    </row>
    <row r="1417" ht="15.75" customHeight="1">
      <c r="A1417" s="67" t="s">
        <v>3633</v>
      </c>
      <c r="B1417" s="36">
        <v>283.6933753188135</v>
      </c>
      <c r="C1417" s="36">
        <f>'Lista de Preço 02_2022'!$B1417*0.9*0.9*0.9*0.9*0.9*0.97</f>
        <v>162.4925582</v>
      </c>
      <c r="D1417" s="36">
        <f>'Lista de Preço 02_2022'!$C1417*1.1712</f>
        <v>190.3112841</v>
      </c>
      <c r="E1417" s="37">
        <v>3.25</v>
      </c>
      <c r="F1417" s="38">
        <v>0.18</v>
      </c>
      <c r="G1417" s="38" t="s">
        <v>22</v>
      </c>
      <c r="H1417" s="39" t="s">
        <v>23</v>
      </c>
      <c r="I1417" s="40" t="s">
        <v>3634</v>
      </c>
      <c r="J1417" s="41" t="s">
        <v>372</v>
      </c>
      <c r="K1417" s="42" t="s">
        <v>153</v>
      </c>
      <c r="L1417" s="43">
        <v>7.700313184E9</v>
      </c>
      <c r="M1417" s="44">
        <v>8.708999E7</v>
      </c>
      <c r="N1417" s="44" t="s">
        <v>28</v>
      </c>
      <c r="O1417" s="45">
        <v>3.19</v>
      </c>
      <c r="P1417" s="44">
        <v>7.898233435149E12</v>
      </c>
      <c r="Q1417" s="44">
        <v>1.0</v>
      </c>
    </row>
    <row r="1418" ht="15.75" customHeight="1">
      <c r="A1418" s="67" t="s">
        <v>3635</v>
      </c>
      <c r="B1418" s="36">
        <v>665.4815890063572</v>
      </c>
      <c r="C1418" s="36">
        <f>'Lista de Preço 02_2022'!$B1418*0.9*0.9*0.9*0.9*0.9*0.97</f>
        <v>381.1714168</v>
      </c>
      <c r="D1418" s="36">
        <f>'Lista de Preço 02_2022'!$C1418*1.1712</f>
        <v>446.4279633</v>
      </c>
      <c r="E1418" s="37">
        <v>3.25</v>
      </c>
      <c r="F1418" s="38">
        <v>0.18</v>
      </c>
      <c r="G1418" s="38" t="s">
        <v>22</v>
      </c>
      <c r="H1418" s="39" t="s">
        <v>23</v>
      </c>
      <c r="I1418" s="40" t="s">
        <v>3636</v>
      </c>
      <c r="J1418" s="41" t="s">
        <v>372</v>
      </c>
      <c r="K1418" s="42" t="s">
        <v>153</v>
      </c>
      <c r="L1418" s="43">
        <v>7.700314961E9</v>
      </c>
      <c r="M1418" s="44">
        <v>8.708999E7</v>
      </c>
      <c r="N1418" s="44" t="s">
        <v>28</v>
      </c>
      <c r="O1418" s="45">
        <v>5.43</v>
      </c>
      <c r="P1418" s="44">
        <v>7.898233435415E12</v>
      </c>
      <c r="Q1418" s="44">
        <v>1.0</v>
      </c>
    </row>
    <row r="1419" ht="15.75" customHeight="1">
      <c r="A1419" s="67" t="s">
        <v>3637</v>
      </c>
      <c r="B1419" s="36">
        <v>164.08479410295527</v>
      </c>
      <c r="C1419" s="36">
        <f>'Lista de Preço 02_2022'!$B1419*0.9*0.9*0.9*0.9*0.9*0.97</f>
        <v>93.98371717</v>
      </c>
      <c r="D1419" s="36">
        <f>'Lista de Preço 02_2022'!$C1419*1.1712</f>
        <v>110.0737295</v>
      </c>
      <c r="E1419" s="37">
        <v>3.25</v>
      </c>
      <c r="F1419" s="38">
        <v>0.18</v>
      </c>
      <c r="G1419" s="38" t="s">
        <v>22</v>
      </c>
      <c r="H1419" s="39" t="s">
        <v>23</v>
      </c>
      <c r="I1419" s="40" t="s">
        <v>3638</v>
      </c>
      <c r="J1419" s="41" t="s">
        <v>25</v>
      </c>
      <c r="K1419" s="42" t="s">
        <v>157</v>
      </c>
      <c r="L1419" s="43" t="s">
        <v>3639</v>
      </c>
      <c r="M1419" s="44">
        <v>8.708999E7</v>
      </c>
      <c r="N1419" s="44" t="s">
        <v>28</v>
      </c>
      <c r="O1419" s="45">
        <v>1.892</v>
      </c>
      <c r="P1419" s="44">
        <v>7.898233438928E12</v>
      </c>
      <c r="Q1419" s="44">
        <v>1.0</v>
      </c>
    </row>
    <row r="1420" ht="15.75" customHeight="1">
      <c r="A1420" s="35" t="s">
        <v>3640</v>
      </c>
      <c r="B1420" s="36">
        <v>63.714073557981</v>
      </c>
      <c r="C1420" s="36">
        <f>'Lista de Preço 02_2022'!$B1420*0.9*0.9*0.9*0.9*0.9*0.97</f>
        <v>36.4938476</v>
      </c>
      <c r="D1420" s="36">
        <f>'Lista de Preço 02_2022'!$C1420*1.1712</f>
        <v>42.7415943</v>
      </c>
      <c r="E1420" s="37">
        <v>3.25</v>
      </c>
      <c r="F1420" s="38">
        <v>0.18</v>
      </c>
      <c r="G1420" s="38" t="s">
        <v>22</v>
      </c>
      <c r="H1420" s="39" t="s">
        <v>43</v>
      </c>
      <c r="I1420" s="40" t="s">
        <v>3641</v>
      </c>
      <c r="J1420" s="41" t="s">
        <v>45</v>
      </c>
      <c r="K1420" s="42" t="s">
        <v>625</v>
      </c>
      <c r="L1420" s="43" t="s">
        <v>873</v>
      </c>
      <c r="M1420" s="44">
        <v>8.708999E7</v>
      </c>
      <c r="N1420" s="44" t="s">
        <v>28</v>
      </c>
      <c r="O1420" s="45">
        <v>0.23</v>
      </c>
      <c r="P1420" s="44">
        <v>7.898233435477E12</v>
      </c>
      <c r="Q1420" s="44">
        <v>1.0</v>
      </c>
    </row>
    <row r="1421" ht="15.75" customHeight="1">
      <c r="A1421" s="35" t="s">
        <v>3642</v>
      </c>
      <c r="B1421" s="36">
        <v>64.69805810375776</v>
      </c>
      <c r="C1421" s="36">
        <f>'Lista de Preço 02_2022'!$B1421*0.9*0.9*0.9*0.9*0.9*0.97</f>
        <v>37.05744964</v>
      </c>
      <c r="D1421" s="36">
        <f>'Lista de Preço 02_2022'!$C1421*1.1712</f>
        <v>43.40168502</v>
      </c>
      <c r="E1421" s="37">
        <v>3.25</v>
      </c>
      <c r="F1421" s="38">
        <v>0.18</v>
      </c>
      <c r="G1421" s="38" t="s">
        <v>22</v>
      </c>
      <c r="H1421" s="39" t="s">
        <v>43</v>
      </c>
      <c r="I1421" s="40" t="s">
        <v>3643</v>
      </c>
      <c r="J1421" s="41" t="s">
        <v>45</v>
      </c>
      <c r="K1421" s="42" t="s">
        <v>86</v>
      </c>
      <c r="L1421" s="43" t="s">
        <v>658</v>
      </c>
      <c r="M1421" s="44">
        <v>8.708999E7</v>
      </c>
      <c r="N1421" s="44" t="s">
        <v>28</v>
      </c>
      <c r="O1421" s="45">
        <v>0.46</v>
      </c>
      <c r="P1421" s="44">
        <v>7.898233435408E12</v>
      </c>
      <c r="Q1421" s="44">
        <v>1.0</v>
      </c>
    </row>
    <row r="1422" ht="15.75" customHeight="1">
      <c r="A1422" s="67" t="s">
        <v>3644</v>
      </c>
      <c r="B1422" s="36">
        <v>180.37532427403</v>
      </c>
      <c r="C1422" s="36">
        <f>'Lista de Preço 02_2022'!$B1422*0.9*0.9*0.9*0.9*0.9*0.97</f>
        <v>103.3145305</v>
      </c>
      <c r="D1422" s="36">
        <f>'Lista de Preço 02_2022'!$C1422*1.1712</f>
        <v>121.0019781</v>
      </c>
      <c r="E1422" s="37">
        <v>3.25</v>
      </c>
      <c r="F1422" s="38">
        <v>0.18</v>
      </c>
      <c r="G1422" s="38" t="s">
        <v>22</v>
      </c>
      <c r="H1422" s="39" t="s">
        <v>23</v>
      </c>
      <c r="I1422" s="40" t="s">
        <v>3645</v>
      </c>
      <c r="J1422" s="41" t="s">
        <v>25</v>
      </c>
      <c r="K1422" s="42" t="s">
        <v>282</v>
      </c>
      <c r="L1422" s="43" t="s">
        <v>3646</v>
      </c>
      <c r="M1422" s="44">
        <v>8.708999E7</v>
      </c>
      <c r="N1422" s="44" t="s">
        <v>28</v>
      </c>
      <c r="O1422" s="45">
        <v>3.358</v>
      </c>
      <c r="P1422" s="44">
        <v>7.898233435484E12</v>
      </c>
      <c r="Q1422" s="44">
        <v>1.0</v>
      </c>
    </row>
    <row r="1423" ht="15.75" customHeight="1">
      <c r="A1423" s="67" t="s">
        <v>3647</v>
      </c>
      <c r="B1423" s="36">
        <v>165.23528258387987</v>
      </c>
      <c r="C1423" s="36">
        <f>'Lista de Preço 02_2022'!$B1423*0.9*0.9*0.9*0.9*0.9*0.97</f>
        <v>94.64268855</v>
      </c>
      <c r="D1423" s="36">
        <f>'Lista de Preço 02_2022'!$C1423*1.1712</f>
        <v>110.8455168</v>
      </c>
      <c r="E1423" s="37">
        <v>3.25</v>
      </c>
      <c r="F1423" s="38">
        <v>0.18</v>
      </c>
      <c r="G1423" s="38" t="s">
        <v>22</v>
      </c>
      <c r="H1423" s="39" t="s">
        <v>23</v>
      </c>
      <c r="I1423" s="40" t="s">
        <v>3648</v>
      </c>
      <c r="J1423" s="41" t="s">
        <v>25</v>
      </c>
      <c r="K1423" s="42" t="s">
        <v>157</v>
      </c>
      <c r="L1423" s="43" t="s">
        <v>3649</v>
      </c>
      <c r="M1423" s="44">
        <v>8.708999E7</v>
      </c>
      <c r="N1423" s="44" t="s">
        <v>28</v>
      </c>
      <c r="O1423" s="45">
        <v>1.874</v>
      </c>
      <c r="P1423" s="44">
        <v>7.898233435491E12</v>
      </c>
      <c r="Q1423" s="44">
        <v>1.0</v>
      </c>
    </row>
    <row r="1424" ht="15.75" customHeight="1">
      <c r="A1424" s="35" t="s">
        <v>3650</v>
      </c>
      <c r="B1424" s="36">
        <v>431.6543159877691</v>
      </c>
      <c r="C1424" s="36">
        <f>'Lista de Preço 02_2022'!$B1424*0.9*0.9*0.9*0.9*0.9*0.97</f>
        <v>247.2409303</v>
      </c>
      <c r="D1424" s="36">
        <f>'Lista de Preço 02_2022'!$C1424*1.1712</f>
        <v>289.5685776</v>
      </c>
      <c r="E1424" s="37">
        <v>3.25</v>
      </c>
      <c r="F1424" s="38">
        <v>0.18</v>
      </c>
      <c r="G1424" s="38" t="s">
        <v>22</v>
      </c>
      <c r="H1424" s="39" t="s">
        <v>23</v>
      </c>
      <c r="I1424" s="40" t="s">
        <v>3651</v>
      </c>
      <c r="J1424" s="41" t="s">
        <v>500</v>
      </c>
      <c r="K1424" s="42" t="s">
        <v>86</v>
      </c>
      <c r="L1424" s="43">
        <v>4.3502602E9</v>
      </c>
      <c r="M1424" s="44">
        <v>8.708999E7</v>
      </c>
      <c r="N1424" s="44" t="s">
        <v>28</v>
      </c>
      <c r="O1424" s="45">
        <v>3.336</v>
      </c>
      <c r="P1424" s="44">
        <v>7.899823502265E12</v>
      </c>
      <c r="Q1424" s="44">
        <v>1.0</v>
      </c>
    </row>
    <row r="1425" ht="15.75" customHeight="1">
      <c r="A1425" s="35" t="s">
        <v>3652</v>
      </c>
      <c r="B1425" s="36">
        <v>72.4399</v>
      </c>
      <c r="C1425" s="36">
        <f>'Lista de Preço 02_2022'!$B1425*0.9*0.9*0.9*0.9*0.9*0.97</f>
        <v>41.49178545</v>
      </c>
      <c r="D1425" s="36">
        <f>'Lista de Preço 02_2022'!$C1425*1.1712</f>
        <v>48.59517912</v>
      </c>
      <c r="E1425" s="37">
        <v>3.25</v>
      </c>
      <c r="F1425" s="38">
        <v>0.18</v>
      </c>
      <c r="G1425" s="38" t="s">
        <v>22</v>
      </c>
      <c r="H1425" s="68" t="s">
        <v>3653</v>
      </c>
      <c r="I1425" s="40" t="s">
        <v>3654</v>
      </c>
      <c r="J1425" s="41" t="s">
        <v>3655</v>
      </c>
      <c r="K1425" s="42" t="s">
        <v>68</v>
      </c>
      <c r="L1425" s="43" t="s">
        <v>3656</v>
      </c>
      <c r="M1425" s="42">
        <v>8.708709E7</v>
      </c>
      <c r="N1425" s="44" t="s">
        <v>3657</v>
      </c>
      <c r="O1425" s="45">
        <v>1.276</v>
      </c>
      <c r="P1425" s="44">
        <v>7.899823511441E12</v>
      </c>
      <c r="Q1425" s="44">
        <v>1.0</v>
      </c>
    </row>
    <row r="1426" ht="15.75" customHeight="1">
      <c r="A1426" s="35" t="s">
        <v>3658</v>
      </c>
      <c r="B1426" s="36">
        <v>70.55895000000001</v>
      </c>
      <c r="C1426" s="36">
        <f>'Lista de Preço 02_2022'!$B1426*0.9*0.9*0.9*0.9*0.9*0.97</f>
        <v>40.41442375</v>
      </c>
      <c r="D1426" s="36">
        <f>'Lista de Preço 02_2022'!$C1426*1.1712</f>
        <v>47.3333731</v>
      </c>
      <c r="E1426" s="37">
        <v>3.25</v>
      </c>
      <c r="F1426" s="38">
        <v>0.18</v>
      </c>
      <c r="G1426" s="38" t="s">
        <v>22</v>
      </c>
      <c r="H1426" s="68" t="s">
        <v>3653</v>
      </c>
      <c r="I1426" s="40" t="s">
        <v>3659</v>
      </c>
      <c r="J1426" s="41" t="s">
        <v>3655</v>
      </c>
      <c r="K1426" s="42" t="s">
        <v>68</v>
      </c>
      <c r="L1426" s="43"/>
      <c r="M1426" s="42">
        <v>8.708709E7</v>
      </c>
      <c r="N1426" s="44" t="s">
        <v>3657</v>
      </c>
      <c r="O1426" s="45">
        <v>0.775</v>
      </c>
      <c r="P1426" s="44">
        <v>7.899823509677E12</v>
      </c>
      <c r="Q1426" s="44">
        <v>1.0</v>
      </c>
    </row>
    <row r="1427" ht="15.75" customHeight="1">
      <c r="A1427" s="35" t="s">
        <v>3660</v>
      </c>
      <c r="B1427" s="36">
        <v>53.82094403617905</v>
      </c>
      <c r="C1427" s="36">
        <f>'Lista de Preço 02_2022'!$B1427*0.9*0.9*0.9*0.9*0.9*0.97</f>
        <v>30.82730737</v>
      </c>
      <c r="D1427" s="36">
        <f>'Lista de Preço 02_2022'!$C1427*1.1712</f>
        <v>36.10494239</v>
      </c>
      <c r="E1427" s="37">
        <v>3.25</v>
      </c>
      <c r="F1427" s="38">
        <v>0.18</v>
      </c>
      <c r="G1427" s="38" t="s">
        <v>22</v>
      </c>
      <c r="H1427" s="68" t="s">
        <v>3661</v>
      </c>
      <c r="I1427" s="40" t="s">
        <v>3662</v>
      </c>
      <c r="J1427" s="41" t="s">
        <v>3655</v>
      </c>
      <c r="K1427" s="42" t="s">
        <v>68</v>
      </c>
      <c r="L1427" s="43"/>
      <c r="M1427" s="42">
        <v>8.708709E7</v>
      </c>
      <c r="N1427" s="44" t="s">
        <v>3657</v>
      </c>
      <c r="O1427" s="45">
        <v>0.288</v>
      </c>
      <c r="P1427" s="44">
        <v>7.899823507895E12</v>
      </c>
      <c r="Q1427" s="44">
        <v>1.0</v>
      </c>
    </row>
    <row r="1428" ht="15.75" customHeight="1">
      <c r="A1428" s="35" t="s">
        <v>3663</v>
      </c>
      <c r="B1428" s="36">
        <v>79.78108457578696</v>
      </c>
      <c r="C1428" s="36">
        <f>'Lista de Preço 02_2022'!$B1428*0.9*0.9*0.9*0.9*0.9*0.97</f>
        <v>45.69663465</v>
      </c>
      <c r="D1428" s="36">
        <f>'Lista de Preço 02_2022'!$C1428*1.1712</f>
        <v>53.5198985</v>
      </c>
      <c r="E1428" s="37">
        <v>3.25</v>
      </c>
      <c r="F1428" s="38">
        <v>0.18</v>
      </c>
      <c r="G1428" s="38" t="s">
        <v>22</v>
      </c>
      <c r="H1428" s="68" t="s">
        <v>3661</v>
      </c>
      <c r="I1428" s="40" t="s">
        <v>3664</v>
      </c>
      <c r="J1428" s="41" t="s">
        <v>3655</v>
      </c>
      <c r="K1428" s="42" t="s">
        <v>26</v>
      </c>
      <c r="L1428" s="43"/>
      <c r="M1428" s="42">
        <v>8.708709E7</v>
      </c>
      <c r="N1428" s="44" t="s">
        <v>3657</v>
      </c>
      <c r="O1428" s="45">
        <v>0.524</v>
      </c>
      <c r="P1428" s="44">
        <v>7.899823507734E12</v>
      </c>
      <c r="Q1428" s="44">
        <v>1.0</v>
      </c>
    </row>
    <row r="1429" ht="15.75" customHeight="1">
      <c r="A1429" s="35" t="s">
        <v>3665</v>
      </c>
      <c r="B1429" s="36">
        <v>46.814003438465775</v>
      </c>
      <c r="C1429" s="36">
        <f>'Lista de Preço 02_2022'!$B1429*0.9*0.9*0.9*0.9*0.9*0.97</f>
        <v>26.81390486</v>
      </c>
      <c r="D1429" s="36">
        <f>'Lista de Preço 02_2022'!$C1429*1.1712</f>
        <v>31.40444538</v>
      </c>
      <c r="E1429" s="37">
        <v>3.25</v>
      </c>
      <c r="F1429" s="38">
        <v>0.18</v>
      </c>
      <c r="G1429" s="38" t="s">
        <v>22</v>
      </c>
      <c r="H1429" s="68" t="s">
        <v>3653</v>
      </c>
      <c r="I1429" s="40" t="s">
        <v>3666</v>
      </c>
      <c r="J1429" s="41" t="s">
        <v>3655</v>
      </c>
      <c r="K1429" s="42" t="s">
        <v>26</v>
      </c>
      <c r="L1429" s="43">
        <v>5007028.0</v>
      </c>
      <c r="M1429" s="42">
        <v>8.708709E7</v>
      </c>
      <c r="N1429" s="44" t="s">
        <v>3657</v>
      </c>
      <c r="O1429" s="45">
        <v>0.279</v>
      </c>
      <c r="P1429" s="44">
        <v>7.89982350771E12</v>
      </c>
      <c r="Q1429" s="44">
        <v>1.0</v>
      </c>
    </row>
    <row r="1430" ht="15.75" customHeight="1">
      <c r="A1430" s="35" t="s">
        <v>3667</v>
      </c>
      <c r="B1430" s="36">
        <v>36.23</v>
      </c>
      <c r="C1430" s="36">
        <f>'Lista de Preço 02_2022'!$B1430*0.9*0.9*0.9*0.9*0.9*0.97</f>
        <v>20.75164912</v>
      </c>
      <c r="D1430" s="36">
        <f>'Lista de Preço 02_2022'!$C1430*1.1712</f>
        <v>24.30433145</v>
      </c>
      <c r="E1430" s="37">
        <v>3.25</v>
      </c>
      <c r="F1430" s="38">
        <v>0.18</v>
      </c>
      <c r="G1430" s="38" t="s">
        <v>22</v>
      </c>
      <c r="H1430" s="68" t="s">
        <v>3653</v>
      </c>
      <c r="I1430" s="40" t="s">
        <v>3668</v>
      </c>
      <c r="J1430" s="41" t="s">
        <v>3655</v>
      </c>
      <c r="K1430" s="42" t="s">
        <v>73</v>
      </c>
      <c r="L1430" s="43" t="s">
        <v>3669</v>
      </c>
      <c r="M1430" s="42">
        <v>8.708709E7</v>
      </c>
      <c r="N1430" s="44" t="s">
        <v>3657</v>
      </c>
      <c r="O1430" s="45">
        <v>0.285</v>
      </c>
      <c r="P1430" s="44">
        <v>7.899823507567E12</v>
      </c>
      <c r="Q1430" s="44">
        <v>1.0</v>
      </c>
    </row>
    <row r="1431" ht="15.75" customHeight="1">
      <c r="A1431" s="35" t="s">
        <v>3670</v>
      </c>
      <c r="B1431" s="36">
        <v>44.534526432152866</v>
      </c>
      <c r="C1431" s="36">
        <f>'Lista de Preço 02_2022'!$B1431*0.9*0.9*0.9*0.9*0.9*0.97</f>
        <v>25.50827674</v>
      </c>
      <c r="D1431" s="36">
        <f>'Lista de Preço 02_2022'!$C1431*1.1712</f>
        <v>29.87529372</v>
      </c>
      <c r="E1431" s="37">
        <v>3.25</v>
      </c>
      <c r="F1431" s="38">
        <v>0.18</v>
      </c>
      <c r="G1431" s="38" t="s">
        <v>22</v>
      </c>
      <c r="H1431" s="68" t="s">
        <v>3653</v>
      </c>
      <c r="I1431" s="40" t="s">
        <v>3671</v>
      </c>
      <c r="J1431" s="41" t="s">
        <v>3655</v>
      </c>
      <c r="K1431" s="42" t="s">
        <v>68</v>
      </c>
      <c r="L1431" s="43">
        <v>1603193.0</v>
      </c>
      <c r="M1431" s="42">
        <v>8.708709E7</v>
      </c>
      <c r="N1431" s="44" t="s">
        <v>3657</v>
      </c>
      <c r="O1431" s="45">
        <v>0.28</v>
      </c>
      <c r="P1431" s="44">
        <v>7.899823507574E12</v>
      </c>
      <c r="Q1431" s="44">
        <v>1.0</v>
      </c>
    </row>
    <row r="1432" ht="15.75" customHeight="1">
      <c r="A1432" s="35" t="s">
        <v>3672</v>
      </c>
      <c r="B1432" s="36">
        <v>46.82432009560999</v>
      </c>
      <c r="C1432" s="36">
        <f>'Lista de Preço 02_2022'!$B1432*0.9*0.9*0.9*0.9*0.9*0.97</f>
        <v>26.81981399</v>
      </c>
      <c r="D1432" s="36">
        <f>'Lista de Preço 02_2022'!$C1432*1.1712</f>
        <v>31.41136615</v>
      </c>
      <c r="E1432" s="37">
        <v>3.25</v>
      </c>
      <c r="F1432" s="38">
        <v>0.18</v>
      </c>
      <c r="G1432" s="38" t="s">
        <v>22</v>
      </c>
      <c r="H1432" s="68" t="s">
        <v>3653</v>
      </c>
      <c r="I1432" s="40" t="s">
        <v>3673</v>
      </c>
      <c r="J1432" s="41" t="s">
        <v>3655</v>
      </c>
      <c r="K1432" s="42" t="s">
        <v>26</v>
      </c>
      <c r="L1432" s="43"/>
      <c r="M1432" s="42">
        <v>8.708709E7</v>
      </c>
      <c r="N1432" s="44" t="s">
        <v>3657</v>
      </c>
      <c r="O1432" s="45">
        <v>0.321</v>
      </c>
      <c r="P1432" s="44">
        <v>7.899823507826E12</v>
      </c>
      <c r="Q1432" s="44">
        <v>1.0</v>
      </c>
    </row>
    <row r="1433" ht="15.75" customHeight="1">
      <c r="A1433" s="35" t="s">
        <v>3674</v>
      </c>
      <c r="B1433" s="36">
        <v>52.82758414253251</v>
      </c>
      <c r="C1433" s="36">
        <f>'Lista de Preço 02_2022'!$B1433*0.9*0.9*0.9*0.9*0.9*0.97</f>
        <v>30.25833536</v>
      </c>
      <c r="D1433" s="36">
        <f>'Lista de Preço 02_2022'!$C1433*1.1712</f>
        <v>35.43856237</v>
      </c>
      <c r="E1433" s="37">
        <v>3.25</v>
      </c>
      <c r="F1433" s="38">
        <v>0.18</v>
      </c>
      <c r="G1433" s="38" t="s">
        <v>22</v>
      </c>
      <c r="H1433" s="68" t="s">
        <v>3661</v>
      </c>
      <c r="I1433" s="40" t="s">
        <v>3675</v>
      </c>
      <c r="J1433" s="41" t="s">
        <v>3655</v>
      </c>
      <c r="K1433" s="42" t="s">
        <v>73</v>
      </c>
      <c r="L1433" s="43"/>
      <c r="M1433" s="42">
        <v>8.708709E7</v>
      </c>
      <c r="N1433" s="44" t="s">
        <v>3657</v>
      </c>
      <c r="O1433" s="45">
        <v>0.395</v>
      </c>
      <c r="P1433" s="44">
        <v>7.899823507802E12</v>
      </c>
      <c r="Q1433" s="44">
        <v>1.0</v>
      </c>
    </row>
    <row r="1434" ht="15.75" customHeight="1">
      <c r="A1434" s="35" t="s">
        <v>3676</v>
      </c>
      <c r="B1434" s="36">
        <v>46.82432009560999</v>
      </c>
      <c r="C1434" s="36">
        <f>'Lista de Preço 02_2022'!$B1434*0.9*0.9*0.9*0.9*0.9*0.97</f>
        <v>26.81981399</v>
      </c>
      <c r="D1434" s="36">
        <f>'Lista de Preço 02_2022'!$C1434*1.1712</f>
        <v>31.41136615</v>
      </c>
      <c r="E1434" s="37">
        <v>3.25</v>
      </c>
      <c r="F1434" s="38">
        <v>0.18</v>
      </c>
      <c r="G1434" s="38" t="s">
        <v>22</v>
      </c>
      <c r="H1434" s="68" t="s">
        <v>3661</v>
      </c>
      <c r="I1434" s="40" t="s">
        <v>3677</v>
      </c>
      <c r="J1434" s="41" t="s">
        <v>3655</v>
      </c>
      <c r="K1434" s="42" t="s">
        <v>73</v>
      </c>
      <c r="L1434" s="43"/>
      <c r="M1434" s="42">
        <v>8.708709E7</v>
      </c>
      <c r="N1434" s="44" t="s">
        <v>3657</v>
      </c>
      <c r="O1434" s="45">
        <v>0.274</v>
      </c>
      <c r="P1434" s="44">
        <v>7.899823507888E12</v>
      </c>
      <c r="Q1434" s="44">
        <v>1.0</v>
      </c>
    </row>
    <row r="1435" ht="15.75" customHeight="1">
      <c r="A1435" s="35" t="s">
        <v>3678</v>
      </c>
      <c r="B1435" s="36">
        <v>59.20342607839792</v>
      </c>
      <c r="C1435" s="36">
        <f>'Lista de Preço 02_2022'!$B1435*0.9*0.9*0.9*0.9*0.9*0.97</f>
        <v>33.91026013</v>
      </c>
      <c r="D1435" s="36">
        <f>'Lista de Preço 02_2022'!$C1435*1.1712</f>
        <v>39.71569667</v>
      </c>
      <c r="E1435" s="37">
        <v>3.25</v>
      </c>
      <c r="F1435" s="38">
        <v>0.18</v>
      </c>
      <c r="G1435" s="38" t="s">
        <v>22</v>
      </c>
      <c r="H1435" s="68" t="s">
        <v>3661</v>
      </c>
      <c r="I1435" s="40" t="s">
        <v>3679</v>
      </c>
      <c r="J1435" s="41" t="s">
        <v>3655</v>
      </c>
      <c r="K1435" s="42" t="s">
        <v>73</v>
      </c>
      <c r="L1435" s="43"/>
      <c r="M1435" s="42">
        <v>8.708709E7</v>
      </c>
      <c r="N1435" s="44" t="s">
        <v>3657</v>
      </c>
      <c r="O1435" s="45">
        <v>0.53</v>
      </c>
      <c r="P1435" s="44">
        <v>7.899823507987E12</v>
      </c>
      <c r="Q1435" s="44">
        <v>1.0</v>
      </c>
    </row>
    <row r="1436" ht="15.75" customHeight="1">
      <c r="A1436" s="35" t="s">
        <v>3680</v>
      </c>
      <c r="B1436" s="36">
        <v>60.18211184922396</v>
      </c>
      <c r="C1436" s="36">
        <f>'Lista de Preço 02_2022'!$B1436*0.9*0.9*0.9*0.9*0.9*0.97</f>
        <v>34.47082717</v>
      </c>
      <c r="D1436" s="36">
        <f>'Lista de Preço 02_2022'!$C1436*1.1712</f>
        <v>40.37223278</v>
      </c>
      <c r="E1436" s="37">
        <v>3.25</v>
      </c>
      <c r="F1436" s="38">
        <v>0.18</v>
      </c>
      <c r="G1436" s="38" t="s">
        <v>22</v>
      </c>
      <c r="H1436" s="68" t="s">
        <v>3653</v>
      </c>
      <c r="I1436" s="40" t="s">
        <v>3681</v>
      </c>
      <c r="J1436" s="41" t="s">
        <v>3655</v>
      </c>
      <c r="K1436" s="42" t="s">
        <v>73</v>
      </c>
      <c r="L1436" s="43"/>
      <c r="M1436" s="42">
        <v>8.708709E7</v>
      </c>
      <c r="N1436" s="44" t="s">
        <v>3657</v>
      </c>
      <c r="O1436" s="45">
        <v>0.391</v>
      </c>
      <c r="P1436" s="44">
        <v>7.899823507901E12</v>
      </c>
      <c r="Q1436" s="44">
        <v>1.0</v>
      </c>
    </row>
    <row r="1437" ht="15.75" customHeight="1">
      <c r="A1437" s="35" t="s">
        <v>3682</v>
      </c>
      <c r="B1437" s="36">
        <v>98.98055452858361</v>
      </c>
      <c r="C1437" s="36">
        <f>'Lista de Preço 02_2022'!$B1437*0.9*0.9*0.9*0.9*0.9*0.97</f>
        <v>56.69361681</v>
      </c>
      <c r="D1437" s="36">
        <f>'Lista de Preço 02_2022'!$C1437*1.1712</f>
        <v>66.39956401</v>
      </c>
      <c r="E1437" s="37">
        <v>3.25</v>
      </c>
      <c r="F1437" s="38">
        <v>0.18</v>
      </c>
      <c r="G1437" s="38" t="s">
        <v>22</v>
      </c>
      <c r="H1437" s="68" t="s">
        <v>3653</v>
      </c>
      <c r="I1437" s="40" t="s">
        <v>3683</v>
      </c>
      <c r="J1437" s="41" t="s">
        <v>3655</v>
      </c>
      <c r="K1437" s="42" t="s">
        <v>73</v>
      </c>
      <c r="L1437" s="43"/>
      <c r="M1437" s="42">
        <v>8.708709E7</v>
      </c>
      <c r="N1437" s="44" t="s">
        <v>3657</v>
      </c>
      <c r="O1437" s="45">
        <v>0.58</v>
      </c>
      <c r="P1437" s="44">
        <v>7.899823507833E12</v>
      </c>
      <c r="Q1437" s="44">
        <v>1.0</v>
      </c>
    </row>
    <row r="1438" ht="15.75" customHeight="1">
      <c r="A1438" s="35" t="s">
        <v>3684</v>
      </c>
      <c r="B1438" s="36">
        <v>72.60124133900085</v>
      </c>
      <c r="C1438" s="36">
        <f>'Lista de Preço 02_2022'!$B1438*0.9*0.9*0.9*0.9*0.9*0.97</f>
        <v>41.58419779</v>
      </c>
      <c r="D1438" s="36">
        <f>'Lista de Preço 02_2022'!$C1438*1.1712</f>
        <v>48.70341245</v>
      </c>
      <c r="E1438" s="37">
        <v>3.25</v>
      </c>
      <c r="F1438" s="38">
        <v>0.18</v>
      </c>
      <c r="G1438" s="38" t="s">
        <v>22</v>
      </c>
      <c r="H1438" s="68" t="s">
        <v>3661</v>
      </c>
      <c r="I1438" s="40" t="s">
        <v>3685</v>
      </c>
      <c r="J1438" s="41" t="s">
        <v>3655</v>
      </c>
      <c r="K1438" s="42" t="s">
        <v>26</v>
      </c>
      <c r="L1438" s="43" t="s">
        <v>3686</v>
      </c>
      <c r="M1438" s="42">
        <v>8.708709E7</v>
      </c>
      <c r="N1438" s="44" t="s">
        <v>3657</v>
      </c>
      <c r="O1438" s="45">
        <v>0.467</v>
      </c>
      <c r="P1438" s="44">
        <v>7.899823507703E12</v>
      </c>
      <c r="Q1438" s="44">
        <v>1.0</v>
      </c>
    </row>
    <row r="1439" ht="15.75" customHeight="1">
      <c r="A1439" s="35" t="s">
        <v>3687</v>
      </c>
      <c r="B1439" s="36">
        <v>89.39049380323614</v>
      </c>
      <c r="C1439" s="36">
        <f>'Lista de Preço 02_2022'!$B1439*0.9*0.9*0.9*0.9*0.9*0.97</f>
        <v>51.20066691</v>
      </c>
      <c r="D1439" s="36">
        <f>'Lista de Preço 02_2022'!$C1439*1.1712</f>
        <v>59.96622108</v>
      </c>
      <c r="E1439" s="37">
        <v>3.25</v>
      </c>
      <c r="F1439" s="38">
        <v>0.18</v>
      </c>
      <c r="G1439" s="38" t="s">
        <v>22</v>
      </c>
      <c r="H1439" s="68" t="s">
        <v>3653</v>
      </c>
      <c r="I1439" s="40" t="s">
        <v>3688</v>
      </c>
      <c r="J1439" s="41" t="s">
        <v>3655</v>
      </c>
      <c r="K1439" s="42" t="s">
        <v>2153</v>
      </c>
      <c r="L1439" s="43"/>
      <c r="M1439" s="42">
        <v>8.708709E7</v>
      </c>
      <c r="N1439" s="44" t="s">
        <v>3657</v>
      </c>
      <c r="O1439" s="45">
        <v>0.52</v>
      </c>
      <c r="P1439" s="44">
        <v>7.899823508625E12</v>
      </c>
      <c r="Q1439" s="44">
        <v>1.0</v>
      </c>
    </row>
    <row r="1440" ht="15.75" customHeight="1">
      <c r="A1440" s="35" t="s">
        <v>3689</v>
      </c>
      <c r="B1440" s="36">
        <v>146.24367450000003</v>
      </c>
      <c r="C1440" s="36">
        <f>'Lista de Preço 02_2022'!$B1440*0.9*0.9*0.9*0.9*0.9*0.97</f>
        <v>83.76476453</v>
      </c>
      <c r="D1440" s="36">
        <f>'Lista de Preço 02_2022'!$C1440*1.1712</f>
        <v>98.10529222</v>
      </c>
      <c r="E1440" s="37">
        <v>3.25</v>
      </c>
      <c r="F1440" s="38">
        <v>0.18</v>
      </c>
      <c r="G1440" s="38" t="s">
        <v>22</v>
      </c>
      <c r="H1440" s="68" t="s">
        <v>3661</v>
      </c>
      <c r="I1440" s="40" t="s">
        <v>3690</v>
      </c>
      <c r="J1440" s="41" t="s">
        <v>3655</v>
      </c>
      <c r="K1440" s="42" t="s">
        <v>68</v>
      </c>
      <c r="L1440" s="43"/>
      <c r="M1440" s="42">
        <v>8.708709E7</v>
      </c>
      <c r="N1440" s="44" t="s">
        <v>3657</v>
      </c>
      <c r="O1440" s="45">
        <v>0.776</v>
      </c>
      <c r="P1440" s="44">
        <v>7.899823509721E12</v>
      </c>
      <c r="Q1440" s="44">
        <v>1.0</v>
      </c>
    </row>
    <row r="1441" ht="15.75" customHeight="1">
      <c r="A1441" s="35" t="s">
        <v>3691</v>
      </c>
      <c r="B1441" s="36">
        <v>84.75390083836882</v>
      </c>
      <c r="C1441" s="36">
        <f>'Lista de Preço 02_2022'!$B1441*0.9*0.9*0.9*0.9*0.9*0.97</f>
        <v>48.54494098</v>
      </c>
      <c r="D1441" s="36">
        <f>'Lista de Preço 02_2022'!$C1441*1.1712</f>
        <v>56.85583487</v>
      </c>
      <c r="E1441" s="37">
        <v>3.25</v>
      </c>
      <c r="F1441" s="38">
        <v>0.18</v>
      </c>
      <c r="G1441" s="38" t="s">
        <v>22</v>
      </c>
      <c r="H1441" s="68" t="s">
        <v>3692</v>
      </c>
      <c r="I1441" s="40" t="s">
        <v>3693</v>
      </c>
      <c r="J1441" s="41" t="s">
        <v>3655</v>
      </c>
      <c r="K1441" s="42" t="s">
        <v>95</v>
      </c>
      <c r="L1441" s="43">
        <v>4.6459719E7</v>
      </c>
      <c r="M1441" s="42">
        <v>8.708709E7</v>
      </c>
      <c r="N1441" s="44" t="s">
        <v>28</v>
      </c>
      <c r="O1441" s="45">
        <v>0.608</v>
      </c>
      <c r="P1441" s="44">
        <v>7.899823507611E12</v>
      </c>
      <c r="Q1441" s="44">
        <v>1.0</v>
      </c>
    </row>
    <row r="1442" ht="15.75" customHeight="1">
      <c r="A1442" s="35" t="s">
        <v>3694</v>
      </c>
      <c r="B1442" s="36">
        <v>105.33274149472193</v>
      </c>
      <c r="C1442" s="36">
        <f>'Lista de Preço 02_2022'!$B1442*0.9*0.9*0.9*0.9*0.9*0.97</f>
        <v>60.33199261</v>
      </c>
      <c r="D1442" s="36">
        <f>'Lista de Preço 02_2022'!$C1442*1.2307</f>
        <v>74.2505833</v>
      </c>
      <c r="E1442" s="37">
        <v>7.8</v>
      </c>
      <c r="F1442" s="38">
        <v>0.18</v>
      </c>
      <c r="G1442" s="38" t="s">
        <v>22</v>
      </c>
      <c r="H1442" s="68" t="s">
        <v>3695</v>
      </c>
      <c r="I1442" s="40" t="s">
        <v>3696</v>
      </c>
      <c r="J1442" s="41" t="s">
        <v>3655</v>
      </c>
      <c r="K1442" s="42" t="s">
        <v>95</v>
      </c>
      <c r="L1442" s="43">
        <v>4.6783976E7</v>
      </c>
      <c r="M1442" s="42">
        <v>8.482101E7</v>
      </c>
      <c r="N1442" s="44" t="s">
        <v>3657</v>
      </c>
      <c r="O1442" s="45">
        <v>0.742</v>
      </c>
      <c r="P1442" s="44">
        <v>7.899823508991E12</v>
      </c>
      <c r="Q1442" s="44">
        <v>1.0</v>
      </c>
    </row>
    <row r="1443" ht="15.75" customHeight="1">
      <c r="A1443" s="35" t="s">
        <v>3697</v>
      </c>
      <c r="B1443" s="36">
        <v>102.26</v>
      </c>
      <c r="C1443" s="36">
        <f>'Lista de Preço 02_2022'!$B1443*0.9*0.9*0.9*0.9*0.9*0.97</f>
        <v>58.57200218</v>
      </c>
      <c r="D1443" s="36">
        <f>'Lista de Preço 02_2022'!$C1443*1.2307</f>
        <v>72.08456308</v>
      </c>
      <c r="E1443" s="37">
        <v>7.8</v>
      </c>
      <c r="F1443" s="38">
        <v>0.18</v>
      </c>
      <c r="G1443" s="38" t="s">
        <v>22</v>
      </c>
      <c r="H1443" s="68" t="s">
        <v>3695</v>
      </c>
      <c r="I1443" s="40" t="s">
        <v>3698</v>
      </c>
      <c r="J1443" s="41" t="s">
        <v>3655</v>
      </c>
      <c r="K1443" s="42" t="s">
        <v>73</v>
      </c>
      <c r="L1443" s="43" t="s">
        <v>3699</v>
      </c>
      <c r="M1443" s="42">
        <v>8.482101E7</v>
      </c>
      <c r="N1443" s="44" t="s">
        <v>3657</v>
      </c>
      <c r="O1443" s="45">
        <v>0.79</v>
      </c>
      <c r="P1443" s="44">
        <v>7.899823509387E12</v>
      </c>
      <c r="Q1443" s="44">
        <v>1.0</v>
      </c>
    </row>
    <row r="1444" ht="15.75" customHeight="1">
      <c r="A1444" s="35" t="s">
        <v>3700</v>
      </c>
      <c r="B1444" s="36">
        <v>84.476858678767</v>
      </c>
      <c r="C1444" s="36">
        <f>'Lista de Preço 02_2022'!$B1444*0.9*0.9*0.9*0.9*0.9*0.97</f>
        <v>48.38625807</v>
      </c>
      <c r="D1444" s="36">
        <f>'Lista de Preço 02_2022'!$C1444*1.2307</f>
        <v>59.54896781</v>
      </c>
      <c r="E1444" s="37">
        <v>7.8</v>
      </c>
      <c r="F1444" s="38">
        <v>0.18</v>
      </c>
      <c r="G1444" s="38" t="s">
        <v>22</v>
      </c>
      <c r="H1444" s="68" t="s">
        <v>3695</v>
      </c>
      <c r="I1444" s="40" t="s">
        <v>3701</v>
      </c>
      <c r="J1444" s="41" t="s">
        <v>3655</v>
      </c>
      <c r="K1444" s="42" t="s">
        <v>95</v>
      </c>
      <c r="L1444" s="43" t="s">
        <v>3702</v>
      </c>
      <c r="M1444" s="42">
        <v>8.482101E7</v>
      </c>
      <c r="N1444" s="44" t="s">
        <v>3657</v>
      </c>
      <c r="O1444" s="45">
        <v>0.558</v>
      </c>
      <c r="P1444" s="44">
        <v>7.899823508052E12</v>
      </c>
      <c r="Q1444" s="44">
        <v>1.0</v>
      </c>
    </row>
    <row r="1445" ht="15.75" customHeight="1">
      <c r="A1445" s="35" t="s">
        <v>3703</v>
      </c>
      <c r="B1445" s="36">
        <v>79.04871140040564</v>
      </c>
      <c r="C1445" s="36">
        <f>'Lista de Preço 02_2022'!$B1445*0.9*0.9*0.9*0.9*0.9*0.97</f>
        <v>45.27714939</v>
      </c>
      <c r="D1445" s="36">
        <f>'Lista de Preço 02_2022'!$C1445*1.2307</f>
        <v>55.72258775</v>
      </c>
      <c r="E1445" s="37">
        <v>7.8</v>
      </c>
      <c r="F1445" s="38">
        <v>0.18</v>
      </c>
      <c r="G1445" s="38" t="s">
        <v>22</v>
      </c>
      <c r="H1445" s="68" t="s">
        <v>3704</v>
      </c>
      <c r="I1445" s="40" t="s">
        <v>3705</v>
      </c>
      <c r="J1445" s="41" t="s">
        <v>3655</v>
      </c>
      <c r="K1445" s="42" t="s">
        <v>95</v>
      </c>
      <c r="L1445" s="43">
        <v>5.1753789E7</v>
      </c>
      <c r="M1445" s="42">
        <v>8.482101E7</v>
      </c>
      <c r="N1445" s="44" t="s">
        <v>3657</v>
      </c>
      <c r="O1445" s="45">
        <v>0.441</v>
      </c>
      <c r="P1445" s="44">
        <v>7.89982350809E12</v>
      </c>
      <c r="Q1445" s="44">
        <v>1.0</v>
      </c>
    </row>
    <row r="1446" ht="15.75" customHeight="1">
      <c r="A1446" s="35" t="s">
        <v>3706</v>
      </c>
      <c r="B1446" s="36">
        <v>63.058005538404</v>
      </c>
      <c r="C1446" s="36">
        <f>'Lista de Preço 02_2022'!$B1446*0.9*0.9*0.9*0.9*0.9*0.97</f>
        <v>36.11806804</v>
      </c>
      <c r="D1446" s="36">
        <f>'Lista de Preço 02_2022'!$C1446*1.2307</f>
        <v>44.45050634</v>
      </c>
      <c r="E1446" s="37">
        <v>7.8</v>
      </c>
      <c r="F1446" s="38">
        <v>0.18</v>
      </c>
      <c r="G1446" s="38" t="s">
        <v>22</v>
      </c>
      <c r="H1446" s="68" t="s">
        <v>3695</v>
      </c>
      <c r="I1446" s="40" t="s">
        <v>3707</v>
      </c>
      <c r="J1446" s="41" t="s">
        <v>3655</v>
      </c>
      <c r="K1446" s="42" t="s">
        <v>73</v>
      </c>
      <c r="L1446" s="43" t="s">
        <v>3708</v>
      </c>
      <c r="M1446" s="42">
        <v>8.482101E7</v>
      </c>
      <c r="N1446" s="44" t="s">
        <v>3657</v>
      </c>
      <c r="O1446" s="45">
        <v>0.559</v>
      </c>
      <c r="P1446" s="44">
        <v>7.899823507628E12</v>
      </c>
      <c r="Q1446" s="44">
        <v>1.0</v>
      </c>
    </row>
    <row r="1447" ht="15.75" customHeight="1">
      <c r="A1447" s="35" t="s">
        <v>3709</v>
      </c>
      <c r="B1447" s="36">
        <v>86.8517060737193</v>
      </c>
      <c r="C1447" s="36">
        <f>'Lista de Preço 02_2022'!$B1447*0.9*0.9*0.9*0.9*0.9*0.97</f>
        <v>49.746512</v>
      </c>
      <c r="D1447" s="36">
        <f>'Lista de Preço 02_2022'!$C1447*1.2307</f>
        <v>61.22303232</v>
      </c>
      <c r="E1447" s="37">
        <v>7.8</v>
      </c>
      <c r="F1447" s="38">
        <v>0.18</v>
      </c>
      <c r="G1447" s="38" t="s">
        <v>22</v>
      </c>
      <c r="H1447" s="68" t="s">
        <v>3704</v>
      </c>
      <c r="I1447" s="40" t="s">
        <v>3710</v>
      </c>
      <c r="J1447" s="41" t="s">
        <v>3655</v>
      </c>
      <c r="K1447" s="42" t="s">
        <v>456</v>
      </c>
      <c r="L1447" s="43" t="s">
        <v>3711</v>
      </c>
      <c r="M1447" s="42">
        <v>8.482101E7</v>
      </c>
      <c r="N1447" s="44" t="s">
        <v>3657</v>
      </c>
      <c r="O1447" s="45">
        <v>0.531</v>
      </c>
      <c r="P1447" s="44">
        <v>7.899823507956E12</v>
      </c>
      <c r="Q1447" s="44">
        <v>1.0</v>
      </c>
    </row>
    <row r="1448" ht="15.75" customHeight="1">
      <c r="A1448" s="35" t="s">
        <v>3712</v>
      </c>
      <c r="B1448" s="36">
        <v>85.83</v>
      </c>
      <c r="C1448" s="36">
        <f>'Lista de Preço 02_2022'!$B1448*0.9*0.9*0.9*0.9*0.9*0.97</f>
        <v>49.161304</v>
      </c>
      <c r="D1448" s="36">
        <f>'Lista de Preço 02_2022'!$C1448*1.2307</f>
        <v>60.50281683</v>
      </c>
      <c r="E1448" s="37">
        <v>7.8</v>
      </c>
      <c r="F1448" s="38">
        <v>0.18</v>
      </c>
      <c r="G1448" s="38" t="s">
        <v>22</v>
      </c>
      <c r="H1448" s="68" t="s">
        <v>3713</v>
      </c>
      <c r="I1448" s="40" t="s">
        <v>3714</v>
      </c>
      <c r="J1448" s="41" t="s">
        <v>3655</v>
      </c>
      <c r="K1448" s="42" t="s">
        <v>95</v>
      </c>
      <c r="L1448" s="43" t="s">
        <v>3715</v>
      </c>
      <c r="M1448" s="42">
        <v>8.482101E7</v>
      </c>
      <c r="N1448" s="44" t="s">
        <v>3657</v>
      </c>
      <c r="O1448" s="45">
        <v>0.589</v>
      </c>
      <c r="P1448" s="44">
        <v>7.899823508304E12</v>
      </c>
      <c r="Q1448" s="44">
        <v>1.0</v>
      </c>
    </row>
    <row r="1449" ht="15.75" customHeight="1">
      <c r="A1449" s="35" t="s">
        <v>3716</v>
      </c>
      <c r="B1449" s="36">
        <v>109.72897901557336</v>
      </c>
      <c r="C1449" s="36">
        <f>'Lista de Preço 02_2022'!$B1449*0.9*0.9*0.9*0.9*0.9*0.97</f>
        <v>62.85004887</v>
      </c>
      <c r="D1449" s="36">
        <f>'Lista de Preço 02_2022'!$C1449*1.2307</f>
        <v>77.34955515</v>
      </c>
      <c r="E1449" s="37">
        <v>7.8</v>
      </c>
      <c r="F1449" s="38">
        <v>0.18</v>
      </c>
      <c r="G1449" s="38" t="s">
        <v>22</v>
      </c>
      <c r="H1449" s="68" t="s">
        <v>3713</v>
      </c>
      <c r="I1449" s="40" t="s">
        <v>3717</v>
      </c>
      <c r="J1449" s="41" t="s">
        <v>3655</v>
      </c>
      <c r="K1449" s="42" t="s">
        <v>95</v>
      </c>
      <c r="L1449" s="43" t="s">
        <v>3718</v>
      </c>
      <c r="M1449" s="42">
        <v>8.482101E7</v>
      </c>
      <c r="N1449" s="44" t="s">
        <v>3657</v>
      </c>
      <c r="O1449" s="45">
        <v>0.614</v>
      </c>
      <c r="P1449" s="44">
        <v>7.899823508021E12</v>
      </c>
      <c r="Q1449" s="44">
        <v>1.0</v>
      </c>
    </row>
    <row r="1450" ht="15.75" customHeight="1">
      <c r="A1450" s="35" t="s">
        <v>3719</v>
      </c>
      <c r="B1450" s="36">
        <v>74.99418488297356</v>
      </c>
      <c r="C1450" s="36">
        <f>'Lista de Preço 02_2022'!$B1450*0.9*0.9*0.9*0.9*0.9*0.97</f>
        <v>42.95481674</v>
      </c>
      <c r="D1450" s="36">
        <f>'Lista de Preço 02_2022'!$C1450*1.2307</f>
        <v>52.86449297</v>
      </c>
      <c r="E1450" s="37">
        <v>7.8</v>
      </c>
      <c r="F1450" s="38">
        <v>0.18</v>
      </c>
      <c r="G1450" s="38" t="s">
        <v>22</v>
      </c>
      <c r="H1450" s="68" t="s">
        <v>3695</v>
      </c>
      <c r="I1450" s="40" t="s">
        <v>3720</v>
      </c>
      <c r="J1450" s="41" t="s">
        <v>3655</v>
      </c>
      <c r="K1450" s="42" t="s">
        <v>1876</v>
      </c>
      <c r="L1450" s="43"/>
      <c r="M1450" s="42">
        <v>8.482101E7</v>
      </c>
      <c r="N1450" s="44" t="s">
        <v>3657</v>
      </c>
      <c r="O1450" s="45">
        <v>0.537</v>
      </c>
      <c r="P1450" s="44">
        <v>7.899823509264E12</v>
      </c>
      <c r="Q1450" s="44">
        <v>1.0</v>
      </c>
    </row>
    <row r="1451" ht="15.75" customHeight="1">
      <c r="A1451" s="35" t="s">
        <v>3721</v>
      </c>
      <c r="B1451" s="36">
        <v>110.07271486198444</v>
      </c>
      <c r="C1451" s="36">
        <f>'Lista de Preço 02_2022'!$B1451*0.9*0.9*0.9*0.9*0.9*0.97</f>
        <v>63.04693228</v>
      </c>
      <c r="D1451" s="36">
        <f>'Lista de Preço 02_2022'!$C1451*1.2307</f>
        <v>77.59185955</v>
      </c>
      <c r="E1451" s="37">
        <v>7.8</v>
      </c>
      <c r="F1451" s="38">
        <v>0.18</v>
      </c>
      <c r="G1451" s="38" t="s">
        <v>22</v>
      </c>
      <c r="H1451" s="68" t="s">
        <v>3695</v>
      </c>
      <c r="I1451" s="40" t="s">
        <v>3722</v>
      </c>
      <c r="J1451" s="41" t="s">
        <v>3655</v>
      </c>
      <c r="K1451" s="42" t="s">
        <v>3723</v>
      </c>
      <c r="L1451" s="43" t="s">
        <v>3724</v>
      </c>
      <c r="M1451" s="42">
        <v>8.482101E7</v>
      </c>
      <c r="N1451" s="44" t="s">
        <v>3657</v>
      </c>
      <c r="O1451" s="45">
        <v>0.599</v>
      </c>
      <c r="P1451" s="44">
        <v>7.899823509073E12</v>
      </c>
      <c r="Q1451" s="44">
        <v>1.0</v>
      </c>
    </row>
    <row r="1452" ht="15.75" customHeight="1">
      <c r="A1452" s="50" t="s">
        <v>3725</v>
      </c>
      <c r="B1452" s="36">
        <v>98.05</v>
      </c>
      <c r="C1452" s="51">
        <f>'Lista de Preço 02_2022'!$B1452*0.9*0.9*0.9*0.9*0.9*0.97</f>
        <v>56.16061817</v>
      </c>
      <c r="D1452" s="36">
        <f>'Lista de Preço 02_2022'!$C1452*1.2307</f>
        <v>69.11687278</v>
      </c>
      <c r="E1452" s="52">
        <v>7.8</v>
      </c>
      <c r="F1452" s="53">
        <v>0.18</v>
      </c>
      <c r="G1452" s="53" t="s">
        <v>22</v>
      </c>
      <c r="H1452" s="69" t="s">
        <v>3726</v>
      </c>
      <c r="I1452" s="55" t="s">
        <v>3727</v>
      </c>
      <c r="J1452" s="56" t="s">
        <v>3655</v>
      </c>
      <c r="K1452" s="57" t="s">
        <v>1580</v>
      </c>
      <c r="L1452" s="58" t="s">
        <v>3728</v>
      </c>
      <c r="M1452" s="57">
        <v>8.482101E7</v>
      </c>
      <c r="N1452" s="59" t="s">
        <v>3657</v>
      </c>
      <c r="O1452" s="60">
        <v>0.63</v>
      </c>
      <c r="P1452" s="59">
        <v>7.899823511748E12</v>
      </c>
      <c r="Q1452" s="59">
        <v>1.0</v>
      </c>
    </row>
    <row r="1453" ht="15.75" customHeight="1">
      <c r="A1453" s="35" t="s">
        <v>3729</v>
      </c>
      <c r="B1453" s="36">
        <v>84.6168020485775</v>
      </c>
      <c r="C1453" s="36">
        <f>'Lista de Preço 02_2022'!$B1453*0.9*0.9*0.9*0.9*0.9*0.97</f>
        <v>48.46641418</v>
      </c>
      <c r="D1453" s="36">
        <f>'Lista de Preço 02_2022'!$C1453*1.2307</f>
        <v>59.64761593</v>
      </c>
      <c r="E1453" s="37">
        <v>7.8</v>
      </c>
      <c r="F1453" s="38">
        <v>0.18</v>
      </c>
      <c r="G1453" s="38" t="s">
        <v>22</v>
      </c>
      <c r="H1453" s="68" t="s">
        <v>3695</v>
      </c>
      <c r="I1453" s="40" t="s">
        <v>3730</v>
      </c>
      <c r="J1453" s="41" t="s">
        <v>3655</v>
      </c>
      <c r="K1453" s="42" t="s">
        <v>282</v>
      </c>
      <c r="L1453" s="43" t="s">
        <v>3731</v>
      </c>
      <c r="M1453" s="42">
        <v>8.482101E7</v>
      </c>
      <c r="N1453" s="44" t="s">
        <v>3657</v>
      </c>
      <c r="O1453" s="45">
        <v>0.609</v>
      </c>
      <c r="P1453" s="44">
        <v>7.899823509233E12</v>
      </c>
      <c r="Q1453" s="44">
        <v>1.0</v>
      </c>
    </row>
    <row r="1454" ht="15.75" customHeight="1">
      <c r="A1454" s="35" t="s">
        <v>3732</v>
      </c>
      <c r="B1454" s="36">
        <v>101.6355622682572</v>
      </c>
      <c r="C1454" s="36">
        <f>'Lista de Preço 02_2022'!$B1454*0.9*0.9*0.9*0.9*0.9*0.97</f>
        <v>58.21433967</v>
      </c>
      <c r="D1454" s="36">
        <f>'Lista de Preço 02_2022'!$C1454*1.2307</f>
        <v>71.64438783</v>
      </c>
      <c r="E1454" s="37">
        <v>7.8</v>
      </c>
      <c r="F1454" s="38">
        <v>0.18</v>
      </c>
      <c r="G1454" s="38" t="s">
        <v>22</v>
      </c>
      <c r="H1454" s="68" t="s">
        <v>3713</v>
      </c>
      <c r="I1454" s="40" t="s">
        <v>3733</v>
      </c>
      <c r="J1454" s="41" t="s">
        <v>3655</v>
      </c>
      <c r="K1454" s="42" t="s">
        <v>95</v>
      </c>
      <c r="L1454" s="43">
        <v>5.1753792E7</v>
      </c>
      <c r="M1454" s="42">
        <v>8.482101E7</v>
      </c>
      <c r="N1454" s="44" t="s">
        <v>3657</v>
      </c>
      <c r="O1454" s="45">
        <v>0.45</v>
      </c>
      <c r="P1454" s="44">
        <v>7.899823508144E12</v>
      </c>
      <c r="Q1454" s="44">
        <v>1.0</v>
      </c>
    </row>
    <row r="1455" ht="15.75" customHeight="1">
      <c r="A1455" s="35" t="s">
        <v>3734</v>
      </c>
      <c r="B1455" s="36">
        <v>99.22425203132521</v>
      </c>
      <c r="C1455" s="36">
        <f>'Lista de Preço 02_2022'!$B1455*0.9*0.9*0.9*0.9*0.9*0.97</f>
        <v>56.83320072</v>
      </c>
      <c r="D1455" s="36">
        <f>'Lista de Preço 02_2022'!$C1455*1.2307</f>
        <v>69.94462013</v>
      </c>
      <c r="E1455" s="37">
        <v>7.8</v>
      </c>
      <c r="F1455" s="38">
        <v>0.18</v>
      </c>
      <c r="G1455" s="38" t="s">
        <v>22</v>
      </c>
      <c r="H1455" s="68" t="s">
        <v>3713</v>
      </c>
      <c r="I1455" s="40" t="s">
        <v>3735</v>
      </c>
      <c r="J1455" s="41" t="s">
        <v>3655</v>
      </c>
      <c r="K1455" s="42" t="s">
        <v>625</v>
      </c>
      <c r="L1455" s="43" t="s">
        <v>3736</v>
      </c>
      <c r="M1455" s="42">
        <v>8.482101E7</v>
      </c>
      <c r="N1455" s="44" t="s">
        <v>3657</v>
      </c>
      <c r="O1455" s="45">
        <v>0.553</v>
      </c>
      <c r="P1455" s="44">
        <v>7.899823508373E12</v>
      </c>
      <c r="Q1455" s="44">
        <v>1.0</v>
      </c>
    </row>
    <row r="1456" ht="15.75" customHeight="1">
      <c r="A1456" s="35" t="s">
        <v>3737</v>
      </c>
      <c r="B1456" s="36">
        <v>84.476858678767</v>
      </c>
      <c r="C1456" s="36">
        <f>'Lista de Preço 02_2022'!$B1456*0.9*0.9*0.9*0.9*0.9*0.97</f>
        <v>48.38625807</v>
      </c>
      <c r="D1456" s="36">
        <f>'Lista de Preço 02_2022'!$C1456*1.2307</f>
        <v>59.54896781</v>
      </c>
      <c r="E1456" s="37">
        <v>7.8</v>
      </c>
      <c r="F1456" s="38">
        <v>0.18</v>
      </c>
      <c r="G1456" s="38" t="s">
        <v>22</v>
      </c>
      <c r="H1456" s="68" t="s">
        <v>3704</v>
      </c>
      <c r="I1456" s="40" t="s">
        <v>3738</v>
      </c>
      <c r="J1456" s="41" t="s">
        <v>3655</v>
      </c>
      <c r="K1456" s="42" t="s">
        <v>95</v>
      </c>
      <c r="L1456" s="43"/>
      <c r="M1456" s="42">
        <v>8.482101E7</v>
      </c>
      <c r="N1456" s="44" t="s">
        <v>3657</v>
      </c>
      <c r="O1456" s="45">
        <v>0.694</v>
      </c>
      <c r="P1456" s="44">
        <v>7.899823508151E12</v>
      </c>
      <c r="Q1456" s="44">
        <v>1.0</v>
      </c>
    </row>
    <row r="1457" ht="15.75" customHeight="1">
      <c r="A1457" s="35" t="s">
        <v>3739</v>
      </c>
      <c r="B1457" s="36">
        <v>97.79300068441013</v>
      </c>
      <c r="C1457" s="36">
        <f>'Lista de Preço 02_2022'!$B1457*0.9*0.9*0.9*0.9*0.9*0.97</f>
        <v>56.0134153</v>
      </c>
      <c r="D1457" s="36">
        <f>'Lista de Preço 02_2022'!$C1457*1.2307</f>
        <v>68.93571022</v>
      </c>
      <c r="E1457" s="37">
        <v>7.8</v>
      </c>
      <c r="F1457" s="38">
        <v>0.18</v>
      </c>
      <c r="G1457" s="38" t="s">
        <v>22</v>
      </c>
      <c r="H1457" s="68" t="s">
        <v>3713</v>
      </c>
      <c r="I1457" s="40" t="s">
        <v>3740</v>
      </c>
      <c r="J1457" s="41" t="s">
        <v>3655</v>
      </c>
      <c r="K1457" s="42" t="s">
        <v>95</v>
      </c>
      <c r="L1457" s="43" t="s">
        <v>3741</v>
      </c>
      <c r="M1457" s="42">
        <v>8.482101E7</v>
      </c>
      <c r="N1457" s="44" t="s">
        <v>3657</v>
      </c>
      <c r="O1457" s="45">
        <v>0.696</v>
      </c>
      <c r="P1457" s="44">
        <v>7.899823508649E12</v>
      </c>
      <c r="Q1457" s="44">
        <v>1.0</v>
      </c>
    </row>
    <row r="1458" ht="15.75" customHeight="1">
      <c r="A1458" s="35" t="s">
        <v>3742</v>
      </c>
      <c r="B1458" s="36">
        <v>64.76770512620442</v>
      </c>
      <c r="C1458" s="36">
        <f>'Lista de Preço 02_2022'!$B1458*0.9*0.9*0.9*0.9*0.9*0.97</f>
        <v>37.09734173</v>
      </c>
      <c r="D1458" s="36">
        <f>'Lista de Preço 02_2022'!$C1458*1.2307</f>
        <v>45.65569847</v>
      </c>
      <c r="E1458" s="37">
        <v>7.8</v>
      </c>
      <c r="F1458" s="38">
        <v>0.18</v>
      </c>
      <c r="G1458" s="38" t="s">
        <v>22</v>
      </c>
      <c r="H1458" s="68" t="s">
        <v>3695</v>
      </c>
      <c r="I1458" s="40" t="s">
        <v>3743</v>
      </c>
      <c r="J1458" s="41" t="s">
        <v>3655</v>
      </c>
      <c r="K1458" s="42" t="s">
        <v>1876</v>
      </c>
      <c r="L1458" s="43">
        <v>9.26736001E8</v>
      </c>
      <c r="M1458" s="42">
        <v>8.482101E7</v>
      </c>
      <c r="N1458" s="44" t="s">
        <v>3657</v>
      </c>
      <c r="O1458" s="45">
        <v>0.489</v>
      </c>
      <c r="P1458" s="44">
        <v>7.899823509615E12</v>
      </c>
      <c r="Q1458" s="44">
        <v>1.0</v>
      </c>
    </row>
    <row r="1459" ht="15.75" customHeight="1">
      <c r="A1459" s="35" t="s">
        <v>3744</v>
      </c>
      <c r="B1459" s="36">
        <v>93.639850096623</v>
      </c>
      <c r="C1459" s="36">
        <f>'Lista de Preço 02_2022'!$B1459*0.9*0.9*0.9*0.9*0.9*0.97</f>
        <v>53.63459323</v>
      </c>
      <c r="D1459" s="36">
        <f>'Lista de Preço 02_2022'!$C1459*1.2307</f>
        <v>66.00809389</v>
      </c>
      <c r="E1459" s="37">
        <v>7.8</v>
      </c>
      <c r="F1459" s="38">
        <v>0.18</v>
      </c>
      <c r="G1459" s="38" t="s">
        <v>22</v>
      </c>
      <c r="H1459" s="68" t="s">
        <v>3713</v>
      </c>
      <c r="I1459" s="40" t="s">
        <v>3745</v>
      </c>
      <c r="J1459" s="41" t="s">
        <v>3655</v>
      </c>
      <c r="K1459" s="42" t="s">
        <v>73</v>
      </c>
      <c r="L1459" s="43" t="s">
        <v>3746</v>
      </c>
      <c r="M1459" s="42">
        <v>8.482101E7</v>
      </c>
      <c r="N1459" s="44" t="s">
        <v>3657</v>
      </c>
      <c r="O1459" s="45">
        <v>0.582</v>
      </c>
      <c r="P1459" s="44">
        <v>7.899823507963E12</v>
      </c>
      <c r="Q1459" s="44">
        <v>1.0</v>
      </c>
    </row>
    <row r="1460" ht="15.75" customHeight="1">
      <c r="A1460" s="35" t="s">
        <v>3747</v>
      </c>
      <c r="B1460" s="36">
        <v>122.88819841050893</v>
      </c>
      <c r="C1460" s="36">
        <f>'Lista de Preço 02_2022'!$B1460*0.9*0.9*0.9*0.9*0.9*0.97</f>
        <v>70.38732471</v>
      </c>
      <c r="D1460" s="36">
        <f>'Lista de Preço 02_2022'!$C1460*1.2307</f>
        <v>86.62568052</v>
      </c>
      <c r="E1460" s="37">
        <v>7.8</v>
      </c>
      <c r="F1460" s="38">
        <v>0.18</v>
      </c>
      <c r="G1460" s="38" t="s">
        <v>22</v>
      </c>
      <c r="H1460" s="68" t="s">
        <v>3695</v>
      </c>
      <c r="I1460" s="40" t="s">
        <v>3748</v>
      </c>
      <c r="J1460" s="41" t="s">
        <v>3655</v>
      </c>
      <c r="K1460" s="42" t="s">
        <v>26</v>
      </c>
      <c r="L1460" s="43"/>
      <c r="M1460" s="42">
        <v>8.482101E7</v>
      </c>
      <c r="N1460" s="44" t="s">
        <v>3657</v>
      </c>
      <c r="O1460" s="45">
        <v>0.879</v>
      </c>
      <c r="P1460" s="44">
        <v>7.899823508458E12</v>
      </c>
      <c r="Q1460" s="44">
        <v>1.0</v>
      </c>
    </row>
    <row r="1461" ht="15.75" customHeight="1">
      <c r="A1461" s="35" t="s">
        <v>3749</v>
      </c>
      <c r="B1461" s="36">
        <v>137.28367308145422</v>
      </c>
      <c r="C1461" s="36">
        <f>'Lista de Preço 02_2022'!$B1461*0.9*0.9*0.9*0.9*0.9*0.97</f>
        <v>78.63269703</v>
      </c>
      <c r="D1461" s="36">
        <f>'Lista de Preço 02_2022'!$C1461*1.2307</f>
        <v>96.77326024</v>
      </c>
      <c r="E1461" s="37">
        <v>7.8</v>
      </c>
      <c r="F1461" s="38">
        <v>0.18</v>
      </c>
      <c r="G1461" s="38" t="s">
        <v>22</v>
      </c>
      <c r="H1461" s="68" t="s">
        <v>3750</v>
      </c>
      <c r="I1461" s="40" t="s">
        <v>3751</v>
      </c>
      <c r="J1461" s="41" t="s">
        <v>3655</v>
      </c>
      <c r="K1461" s="42" t="s">
        <v>625</v>
      </c>
      <c r="L1461" s="43" t="s">
        <v>3752</v>
      </c>
      <c r="M1461" s="42">
        <v>8.482101E7</v>
      </c>
      <c r="N1461" s="44" t="s">
        <v>3657</v>
      </c>
      <c r="O1461" s="45">
        <v>0.789</v>
      </c>
      <c r="P1461" s="44">
        <v>7.89982350838E12</v>
      </c>
      <c r="Q1461" s="44">
        <v>1.0</v>
      </c>
    </row>
    <row r="1462" ht="15.75" customHeight="1">
      <c r="A1462" s="35" t="s">
        <v>3753</v>
      </c>
      <c r="B1462" s="36">
        <v>136.61724748397145</v>
      </c>
      <c r="C1462" s="36">
        <f>'Lista de Preço 02_2022'!$B1462*0.9*0.9*0.9*0.9*0.9*0.97</f>
        <v>78.25098491</v>
      </c>
      <c r="D1462" s="36">
        <f>'Lista de Preço 02_2022'!$C1462*1.2307</f>
        <v>96.30348713</v>
      </c>
      <c r="E1462" s="37">
        <v>7.8</v>
      </c>
      <c r="F1462" s="38">
        <v>0.18</v>
      </c>
      <c r="G1462" s="38" t="s">
        <v>22</v>
      </c>
      <c r="H1462" s="68" t="s">
        <v>3750</v>
      </c>
      <c r="I1462" s="40" t="s">
        <v>3754</v>
      </c>
      <c r="J1462" s="41" t="s">
        <v>3655</v>
      </c>
      <c r="K1462" s="42" t="s">
        <v>625</v>
      </c>
      <c r="L1462" s="43" t="s">
        <v>3755</v>
      </c>
      <c r="M1462" s="42">
        <v>8.482101E7</v>
      </c>
      <c r="N1462" s="44" t="s">
        <v>3657</v>
      </c>
      <c r="O1462" s="45">
        <v>0.804</v>
      </c>
      <c r="P1462" s="44">
        <v>7.899823508762E12</v>
      </c>
      <c r="Q1462" s="44">
        <v>1.0</v>
      </c>
    </row>
    <row r="1463" ht="15.75" customHeight="1">
      <c r="A1463" s="35" t="s">
        <v>3756</v>
      </c>
      <c r="B1463" s="36">
        <v>46.11635266671781</v>
      </c>
      <c r="C1463" s="36">
        <f>'Lista de Preço 02_2022'!$B1463*0.9*0.9*0.9*0.9*0.9*0.97</f>
        <v>26.41430773</v>
      </c>
      <c r="D1463" s="36">
        <f>'Lista de Preço 02_2022'!$C1463*1.2307</f>
        <v>32.50808853</v>
      </c>
      <c r="E1463" s="37">
        <v>7.8</v>
      </c>
      <c r="F1463" s="38">
        <v>0.18</v>
      </c>
      <c r="G1463" s="38" t="s">
        <v>22</v>
      </c>
      <c r="H1463" s="68" t="s">
        <v>3695</v>
      </c>
      <c r="I1463" s="40" t="s">
        <v>3757</v>
      </c>
      <c r="J1463" s="41" t="s">
        <v>3655</v>
      </c>
      <c r="K1463" s="42" t="s">
        <v>26</v>
      </c>
      <c r="L1463" s="43"/>
      <c r="M1463" s="42">
        <v>8.482209E7</v>
      </c>
      <c r="N1463" s="44" t="s">
        <v>3657</v>
      </c>
      <c r="O1463" s="45">
        <v>0.2</v>
      </c>
      <c r="P1463" s="44">
        <v>7.899823509448E12</v>
      </c>
      <c r="Q1463" s="44">
        <v>1.0</v>
      </c>
    </row>
    <row r="1464" ht="15.75" customHeight="1">
      <c r="A1464" s="35" t="s">
        <v>3758</v>
      </c>
      <c r="B1464" s="36">
        <v>196.184509419129</v>
      </c>
      <c r="C1464" s="36">
        <f>'Lista de Preço 02_2022'!$B1464*0.9*0.9*0.9*0.9*0.9*0.97</f>
        <v>112.3696412</v>
      </c>
      <c r="D1464" s="36">
        <f>'Lista de Preço 02_2022'!$C1464*1.2307</f>
        <v>138.2933175</v>
      </c>
      <c r="E1464" s="37">
        <v>7.8</v>
      </c>
      <c r="F1464" s="38">
        <v>0.18</v>
      </c>
      <c r="G1464" s="38" t="s">
        <v>22</v>
      </c>
      <c r="H1464" s="68" t="s">
        <v>3759</v>
      </c>
      <c r="I1464" s="40" t="s">
        <v>3760</v>
      </c>
      <c r="J1464" s="41" t="s">
        <v>3655</v>
      </c>
      <c r="K1464" s="42" t="s">
        <v>95</v>
      </c>
      <c r="L1464" s="43" t="s">
        <v>3761</v>
      </c>
      <c r="M1464" s="42">
        <v>8.482209E7</v>
      </c>
      <c r="N1464" s="44" t="s">
        <v>3657</v>
      </c>
      <c r="O1464" s="45">
        <v>1.42</v>
      </c>
      <c r="P1464" s="44">
        <v>7.899823508007E12</v>
      </c>
      <c r="Q1464" s="44">
        <v>1.0</v>
      </c>
    </row>
    <row r="1465" ht="15.75" customHeight="1">
      <c r="A1465" s="35" t="s">
        <v>3762</v>
      </c>
      <c r="B1465" s="36">
        <v>132.77379550871908</v>
      </c>
      <c r="C1465" s="36">
        <f>'Lista de Preço 02_2022'!$B1465*0.9*0.9*0.9*0.9*0.9*0.97</f>
        <v>76.04955055</v>
      </c>
      <c r="D1465" s="36">
        <f>'Lista de Preço 02_2022'!$C1465*1.2307</f>
        <v>93.59418187</v>
      </c>
      <c r="E1465" s="37">
        <v>7.8</v>
      </c>
      <c r="F1465" s="38">
        <v>0.18</v>
      </c>
      <c r="G1465" s="38" t="s">
        <v>22</v>
      </c>
      <c r="H1465" s="68" t="s">
        <v>3763</v>
      </c>
      <c r="I1465" s="40" t="s">
        <v>3764</v>
      </c>
      <c r="J1465" s="41" t="s">
        <v>3655</v>
      </c>
      <c r="K1465" s="42" t="s">
        <v>1901</v>
      </c>
      <c r="L1465" s="43">
        <v>9.3824579E7</v>
      </c>
      <c r="M1465" s="42">
        <v>8.482209E7</v>
      </c>
      <c r="N1465" s="44" t="s">
        <v>3657</v>
      </c>
      <c r="O1465" s="45">
        <v>1.017</v>
      </c>
      <c r="P1465" s="44">
        <v>7.899823508199E12</v>
      </c>
      <c r="Q1465" s="44">
        <v>1.0</v>
      </c>
    </row>
    <row r="1466" ht="15.75" customHeight="1">
      <c r="A1466" s="35" t="s">
        <v>3765</v>
      </c>
      <c r="B1466" s="36">
        <v>39.53197078793277</v>
      </c>
      <c r="C1466" s="36">
        <f>'Lista de Preço 02_2022'!$B1466*0.9*0.9*0.9*0.9*0.9*0.97</f>
        <v>22.64293643</v>
      </c>
      <c r="D1466" s="36">
        <f>'Lista de Preço 02_2022'!$C1466*1.2307</f>
        <v>27.86666186</v>
      </c>
      <c r="E1466" s="37">
        <v>7.8</v>
      </c>
      <c r="F1466" s="38">
        <v>0.18</v>
      </c>
      <c r="G1466" s="38" t="s">
        <v>22</v>
      </c>
      <c r="H1466" s="68" t="s">
        <v>3766</v>
      </c>
      <c r="I1466" s="40" t="s">
        <v>3767</v>
      </c>
      <c r="J1466" s="41" t="s">
        <v>3655</v>
      </c>
      <c r="K1466" s="42" t="s">
        <v>86</v>
      </c>
      <c r="L1466" s="43" t="s">
        <v>3768</v>
      </c>
      <c r="M1466" s="42">
        <v>8.482209E7</v>
      </c>
      <c r="N1466" s="44" t="s">
        <v>3657</v>
      </c>
      <c r="O1466" s="45">
        <v>0.306</v>
      </c>
      <c r="P1466" s="44">
        <v>7.899823507796E12</v>
      </c>
      <c r="Q1466" s="44">
        <v>1.0</v>
      </c>
    </row>
    <row r="1467" ht="15.75" customHeight="1">
      <c r="A1467" s="35" t="s">
        <v>3769</v>
      </c>
      <c r="B1467" s="36">
        <v>55.25534420055973</v>
      </c>
      <c r="C1467" s="36">
        <f>'Lista de Preço 02_2022'!$B1467*0.9*0.9*0.9*0.9*0.9*0.97</f>
        <v>31.64889635</v>
      </c>
      <c r="D1467" s="36">
        <f>'Lista de Preço 02_2022'!$C1467*1.2307</f>
        <v>38.95029674</v>
      </c>
      <c r="E1467" s="37">
        <v>7.8</v>
      </c>
      <c r="F1467" s="38">
        <v>0.18</v>
      </c>
      <c r="G1467" s="38" t="s">
        <v>22</v>
      </c>
      <c r="H1467" s="68" t="s">
        <v>3766</v>
      </c>
      <c r="I1467" s="40" t="s">
        <v>3770</v>
      </c>
      <c r="J1467" s="41" t="s">
        <v>3655</v>
      </c>
      <c r="K1467" s="42" t="s">
        <v>86</v>
      </c>
      <c r="L1467" s="43">
        <v>9.002368014E9</v>
      </c>
      <c r="M1467" s="42">
        <v>8.482209E7</v>
      </c>
      <c r="N1467" s="44" t="s">
        <v>3657</v>
      </c>
      <c r="O1467" s="45">
        <v>0.427</v>
      </c>
      <c r="P1467" s="44">
        <v>7.89982350797E12</v>
      </c>
      <c r="Q1467" s="44">
        <v>1.0</v>
      </c>
    </row>
    <row r="1468" ht="15.75" customHeight="1">
      <c r="A1468" s="35" t="s">
        <v>3771</v>
      </c>
      <c r="B1468" s="36">
        <v>138.7392420335011</v>
      </c>
      <c r="C1468" s="36">
        <f>'Lista de Preço 02_2022'!$B1468*0.9*0.9*0.9*0.9*0.9*0.97</f>
        <v>79.46641098</v>
      </c>
      <c r="D1468" s="36">
        <f>'Lista de Preço 02_2022'!$C1468*1.2307</f>
        <v>97.79931199</v>
      </c>
      <c r="E1468" s="37">
        <v>7.8</v>
      </c>
      <c r="F1468" s="38">
        <v>0.18</v>
      </c>
      <c r="G1468" s="38" t="s">
        <v>22</v>
      </c>
      <c r="H1468" s="68" t="s">
        <v>3695</v>
      </c>
      <c r="I1468" s="40" t="s">
        <v>3772</v>
      </c>
      <c r="J1468" s="41" t="s">
        <v>3655</v>
      </c>
      <c r="K1468" s="42" t="s">
        <v>153</v>
      </c>
      <c r="L1468" s="43">
        <v>7.703090199E9</v>
      </c>
      <c r="M1468" s="42">
        <v>8.482101E7</v>
      </c>
      <c r="N1468" s="44" t="s">
        <v>3657</v>
      </c>
      <c r="O1468" s="45">
        <v>0.91</v>
      </c>
      <c r="P1468" s="44">
        <v>7.899823509301E12</v>
      </c>
      <c r="Q1468" s="44">
        <v>1.0</v>
      </c>
    </row>
    <row r="1469" ht="15.75" customHeight="1">
      <c r="A1469" s="35" t="s">
        <v>3773</v>
      </c>
      <c r="B1469" s="36">
        <v>27.764915121293225</v>
      </c>
      <c r="C1469" s="36">
        <f>'Lista de Preço 02_2022'!$B1469*0.9*0.9*0.9*0.9*0.9*0.97</f>
        <v>15.90305759</v>
      </c>
      <c r="D1469" s="36">
        <f>'Lista de Preço 02_2022'!$C1469*1.2307</f>
        <v>19.57189297</v>
      </c>
      <c r="E1469" s="37">
        <v>7.8</v>
      </c>
      <c r="F1469" s="38">
        <v>0.18</v>
      </c>
      <c r="G1469" s="38" t="s">
        <v>22</v>
      </c>
      <c r="H1469" s="68" t="s">
        <v>3774</v>
      </c>
      <c r="I1469" s="40" t="s">
        <v>3775</v>
      </c>
      <c r="J1469" s="41" t="s">
        <v>3655</v>
      </c>
      <c r="K1469" s="42" t="s">
        <v>26</v>
      </c>
      <c r="L1469" s="43">
        <v>16176.0</v>
      </c>
      <c r="M1469" s="42">
        <v>8.482209E7</v>
      </c>
      <c r="N1469" s="44" t="s">
        <v>3657</v>
      </c>
      <c r="O1469" s="45">
        <v>0.103</v>
      </c>
      <c r="P1469" s="44">
        <v>7.899823508847E12</v>
      </c>
      <c r="Q1469" s="44">
        <v>1.0</v>
      </c>
    </row>
    <row r="1470" ht="15.75" customHeight="1">
      <c r="A1470" s="35" t="s">
        <v>3776</v>
      </c>
      <c r="B1470" s="36">
        <v>12.632378275352144</v>
      </c>
      <c r="C1470" s="36">
        <f>'Lista de Preço 02_2022'!$B1470*0.9*0.9*0.9*0.9*0.9*0.97</f>
        <v>7.235514256</v>
      </c>
      <c r="D1470" s="36">
        <f>'Lista de Preço 02_2022'!$C1470*1.2307</f>
        <v>8.904747395</v>
      </c>
      <c r="E1470" s="37">
        <v>7.8</v>
      </c>
      <c r="F1470" s="38">
        <v>0.18</v>
      </c>
      <c r="G1470" s="38" t="s">
        <v>22</v>
      </c>
      <c r="H1470" s="68" t="s">
        <v>3766</v>
      </c>
      <c r="I1470" s="40" t="s">
        <v>3777</v>
      </c>
      <c r="J1470" s="41" t="s">
        <v>3655</v>
      </c>
      <c r="K1470" s="42" t="s">
        <v>73</v>
      </c>
      <c r="L1470" s="43" t="s">
        <v>3778</v>
      </c>
      <c r="M1470" s="42">
        <v>8.482209E7</v>
      </c>
      <c r="N1470" s="44" t="s">
        <v>3657</v>
      </c>
      <c r="O1470" s="45">
        <v>0.083</v>
      </c>
      <c r="P1470" s="44">
        <v>7.899823507598E12</v>
      </c>
      <c r="Q1470" s="44">
        <v>1.0</v>
      </c>
    </row>
    <row r="1471" ht="15.75" customHeight="1">
      <c r="A1471" s="35" t="s">
        <v>3779</v>
      </c>
      <c r="B1471" s="36">
        <v>16.2825879788337</v>
      </c>
      <c r="C1471" s="36">
        <f>'Lista de Preço 02_2022'!$B1471*0.9*0.9*0.9*0.9*0.9*0.97</f>
        <v>9.326264214</v>
      </c>
      <c r="D1471" s="36">
        <f>'Lista de Preço 02_2022'!$C1471*1.2307</f>
        <v>11.47783337</v>
      </c>
      <c r="E1471" s="37">
        <v>7.8</v>
      </c>
      <c r="F1471" s="38">
        <v>0.18</v>
      </c>
      <c r="G1471" s="38" t="s">
        <v>22</v>
      </c>
      <c r="H1471" s="68" t="s">
        <v>3766</v>
      </c>
      <c r="I1471" s="40" t="s">
        <v>3780</v>
      </c>
      <c r="J1471" s="41" t="s">
        <v>3655</v>
      </c>
      <c r="K1471" s="42" t="s">
        <v>73</v>
      </c>
      <c r="L1471" s="43" t="s">
        <v>3781</v>
      </c>
      <c r="M1471" s="42">
        <v>8.482209E7</v>
      </c>
      <c r="N1471" s="44" t="s">
        <v>3657</v>
      </c>
      <c r="O1471" s="45">
        <v>0.124</v>
      </c>
      <c r="P1471" s="44">
        <v>7.899823507949E12</v>
      </c>
      <c r="Q1471" s="44">
        <v>1.0</v>
      </c>
    </row>
    <row r="1472" ht="15.75" customHeight="1">
      <c r="A1472" s="35" t="s">
        <v>3782</v>
      </c>
      <c r="B1472" s="36">
        <v>84.23174630746259</v>
      </c>
      <c r="C1472" s="36">
        <f>'Lista de Preço 02_2022'!$B1472*0.9*0.9*0.9*0.9*0.9*0.97</f>
        <v>48.24586376</v>
      </c>
      <c r="D1472" s="36">
        <f>'Lista de Preço 02_2022'!$C1472*1.2307</f>
        <v>59.37618453</v>
      </c>
      <c r="E1472" s="37">
        <v>7.8</v>
      </c>
      <c r="F1472" s="38">
        <v>0.18</v>
      </c>
      <c r="G1472" s="38" t="s">
        <v>22</v>
      </c>
      <c r="H1472" s="68" t="s">
        <v>3695</v>
      </c>
      <c r="I1472" s="40" t="s">
        <v>3783</v>
      </c>
      <c r="J1472" s="41" t="s">
        <v>3655</v>
      </c>
      <c r="K1472" s="42" t="s">
        <v>153</v>
      </c>
      <c r="L1472" s="43">
        <v>7.701205778E9</v>
      </c>
      <c r="M1472" s="42">
        <v>8.482101E7</v>
      </c>
      <c r="N1472" s="44" t="s">
        <v>3657</v>
      </c>
      <c r="O1472" s="45">
        <v>0.451</v>
      </c>
      <c r="P1472" s="44">
        <v>7.899823508014E12</v>
      </c>
      <c r="Q1472" s="44">
        <v>1.0</v>
      </c>
    </row>
    <row r="1473" ht="15.75" customHeight="1">
      <c r="A1473" s="35" t="s">
        <v>3784</v>
      </c>
      <c r="B1473" s="36">
        <v>59.987744851530785</v>
      </c>
      <c r="C1473" s="36">
        <f>'Lista de Preço 02_2022'!$B1473*0.9*0.9*0.9*0.9*0.9*0.97</f>
        <v>34.35949855</v>
      </c>
      <c r="D1473" s="36">
        <f>'Lista de Preço 02_2022'!$C1473*1.2307</f>
        <v>42.28623487</v>
      </c>
      <c r="E1473" s="37">
        <v>7.8</v>
      </c>
      <c r="F1473" s="38">
        <v>0.18</v>
      </c>
      <c r="G1473" s="38" t="s">
        <v>22</v>
      </c>
      <c r="H1473" s="68" t="s">
        <v>3785</v>
      </c>
      <c r="I1473" s="40" t="s">
        <v>3786</v>
      </c>
      <c r="J1473" s="41" t="s">
        <v>3655</v>
      </c>
      <c r="K1473" s="42" t="s">
        <v>26</v>
      </c>
      <c r="L1473" s="43" t="s">
        <v>3787</v>
      </c>
      <c r="M1473" s="42">
        <v>8.482101E7</v>
      </c>
      <c r="N1473" s="44" t="s">
        <v>3657</v>
      </c>
      <c r="O1473" s="45">
        <v>0.307</v>
      </c>
      <c r="P1473" s="44">
        <v>7.899823507789E12</v>
      </c>
      <c r="Q1473" s="44">
        <v>1.0</v>
      </c>
    </row>
    <row r="1474" ht="15.75" customHeight="1">
      <c r="A1474" s="35" t="s">
        <v>3788</v>
      </c>
      <c r="B1474" s="36">
        <v>111.65270598440526</v>
      </c>
      <c r="C1474" s="36">
        <f>'Lista de Preço 02_2022'!$B1474*0.9*0.9*0.9*0.9*0.9*0.97</f>
        <v>63.95191217</v>
      </c>
      <c r="D1474" s="36">
        <f>'Lista de Preço 02_2022'!$C1474*1.2307</f>
        <v>78.7056183</v>
      </c>
      <c r="E1474" s="37">
        <v>7.8</v>
      </c>
      <c r="F1474" s="38">
        <v>0.18</v>
      </c>
      <c r="G1474" s="38" t="s">
        <v>22</v>
      </c>
      <c r="H1474" s="68" t="s">
        <v>3713</v>
      </c>
      <c r="I1474" s="40" t="s">
        <v>3789</v>
      </c>
      <c r="J1474" s="41" t="s">
        <v>3655</v>
      </c>
      <c r="K1474" s="42" t="s">
        <v>95</v>
      </c>
      <c r="L1474" s="43">
        <v>4.6532573E7</v>
      </c>
      <c r="M1474" s="42">
        <v>8.482101E7</v>
      </c>
      <c r="N1474" s="44" t="s">
        <v>3657</v>
      </c>
      <c r="O1474" s="45">
        <v>0.546</v>
      </c>
      <c r="P1474" s="44">
        <v>7.899823508427E12</v>
      </c>
      <c r="Q1474" s="44">
        <v>1.0</v>
      </c>
    </row>
    <row r="1475" ht="15.75" customHeight="1">
      <c r="A1475" s="35" t="s">
        <v>3790</v>
      </c>
      <c r="B1475" s="36">
        <v>213.36902335447513</v>
      </c>
      <c r="C1475" s="36">
        <f>'Lista de Preço 02_2022'!$B1475*0.9*0.9*0.9*0.9*0.9*0.97</f>
        <v>122.2125064</v>
      </c>
      <c r="D1475" s="36">
        <f>'Lista de Preço 02_2022'!$C1475*1.2307</f>
        <v>150.4069316</v>
      </c>
      <c r="E1475" s="37">
        <v>7.8</v>
      </c>
      <c r="F1475" s="38">
        <v>0.18</v>
      </c>
      <c r="G1475" s="38" t="s">
        <v>22</v>
      </c>
      <c r="H1475" s="68" t="s">
        <v>3791</v>
      </c>
      <c r="I1475" s="40" t="s">
        <v>3792</v>
      </c>
      <c r="J1475" s="41" t="s">
        <v>3655</v>
      </c>
      <c r="K1475" s="42" t="s">
        <v>153</v>
      </c>
      <c r="L1475" s="43">
        <v>5.1745702E7</v>
      </c>
      <c r="M1475" s="42">
        <v>8.482101E7</v>
      </c>
      <c r="N1475" s="44" t="s">
        <v>3657</v>
      </c>
      <c r="O1475" s="45">
        <v>1.27</v>
      </c>
      <c r="P1475" s="44">
        <v>7.899823508984E12</v>
      </c>
      <c r="Q1475" s="44">
        <v>1.0</v>
      </c>
    </row>
    <row r="1476" ht="15.75" customHeight="1">
      <c r="A1476" s="35" t="s">
        <v>3793</v>
      </c>
      <c r="B1476" s="36">
        <v>115.51490650587839</v>
      </c>
      <c r="C1476" s="36">
        <f>'Lista de Preço 02_2022'!$B1476*0.9*0.9*0.9*0.9*0.9*0.97</f>
        <v>66.16408523</v>
      </c>
      <c r="D1476" s="36">
        <f>'Lista de Preço 02_2022'!$C1476*1.2307</f>
        <v>81.42813969</v>
      </c>
      <c r="E1476" s="37">
        <v>7.8</v>
      </c>
      <c r="F1476" s="38">
        <v>0.18</v>
      </c>
      <c r="G1476" s="38" t="s">
        <v>22</v>
      </c>
      <c r="H1476" s="68" t="s">
        <v>3794</v>
      </c>
      <c r="I1476" s="40" t="s">
        <v>3795</v>
      </c>
      <c r="J1476" s="41" t="s">
        <v>3655</v>
      </c>
      <c r="K1476" s="42" t="s">
        <v>625</v>
      </c>
      <c r="L1476" s="43" t="s">
        <v>3796</v>
      </c>
      <c r="M1476" s="42">
        <v>8.482209E7</v>
      </c>
      <c r="N1476" s="44" t="s">
        <v>3657</v>
      </c>
      <c r="O1476" s="45">
        <v>0.702</v>
      </c>
      <c r="P1476" s="44">
        <v>7.899823509042E12</v>
      </c>
      <c r="Q1476" s="44">
        <v>1.0</v>
      </c>
    </row>
    <row r="1477" ht="15.75" customHeight="1">
      <c r="A1477" s="35" t="s">
        <v>3797</v>
      </c>
      <c r="B1477" s="36">
        <v>20.1002261163315</v>
      </c>
      <c r="C1477" s="36">
        <f>'Lista de Preço 02_2022'!$B1477*0.9*0.9*0.9*0.9*0.9*0.97</f>
        <v>11.51291304</v>
      </c>
      <c r="D1477" s="36">
        <f>'Lista de Preço 02_2022'!$C1477*1.2307</f>
        <v>14.16894208</v>
      </c>
      <c r="E1477" s="37">
        <v>7.8</v>
      </c>
      <c r="F1477" s="38">
        <v>0.18</v>
      </c>
      <c r="G1477" s="38" t="s">
        <v>22</v>
      </c>
      <c r="H1477" s="68" t="s">
        <v>3695</v>
      </c>
      <c r="I1477" s="40" t="s">
        <v>3798</v>
      </c>
      <c r="J1477" s="41" t="s">
        <v>3655</v>
      </c>
      <c r="K1477" s="42" t="s">
        <v>68</v>
      </c>
      <c r="L1477" s="43" t="s">
        <v>3799</v>
      </c>
      <c r="M1477" s="42">
        <v>8.482209E7</v>
      </c>
      <c r="N1477" s="44" t="s">
        <v>3657</v>
      </c>
      <c r="O1477" s="45">
        <v>0.17</v>
      </c>
      <c r="P1477" s="44">
        <v>7.89982350784E12</v>
      </c>
      <c r="Q1477" s="44">
        <v>1.0</v>
      </c>
    </row>
    <row r="1478" ht="15.75" customHeight="1">
      <c r="A1478" s="35" t="s">
        <v>3800</v>
      </c>
      <c r="B1478" s="36">
        <v>18.169897907839534</v>
      </c>
      <c r="C1478" s="36">
        <f>'Lista de Preço 02_2022'!$B1478*0.9*0.9*0.9*0.9*0.9*0.97</f>
        <v>10.40726873</v>
      </c>
      <c r="D1478" s="36">
        <f>'Lista de Preço 02_2022'!$C1478*1.2307</f>
        <v>12.80822562</v>
      </c>
      <c r="E1478" s="37">
        <v>7.8</v>
      </c>
      <c r="F1478" s="38">
        <v>0.18</v>
      </c>
      <c r="G1478" s="38" t="s">
        <v>22</v>
      </c>
      <c r="H1478" s="68" t="s">
        <v>3695</v>
      </c>
      <c r="I1478" s="40" t="s">
        <v>3801</v>
      </c>
      <c r="J1478" s="41" t="s">
        <v>3655</v>
      </c>
      <c r="K1478" s="42" t="s">
        <v>26</v>
      </c>
      <c r="L1478" s="43"/>
      <c r="M1478" s="42">
        <v>8.482209E7</v>
      </c>
      <c r="N1478" s="44" t="s">
        <v>3657</v>
      </c>
      <c r="O1478" s="45">
        <v>0.117</v>
      </c>
      <c r="P1478" s="44">
        <v>7.899823509493E12</v>
      </c>
      <c r="Q1478" s="44">
        <v>1.0</v>
      </c>
    </row>
    <row r="1479" ht="15.75" customHeight="1">
      <c r="A1479" s="35" t="s">
        <v>3802</v>
      </c>
      <c r="B1479" s="36">
        <v>154.37449055183788</v>
      </c>
      <c r="C1479" s="36">
        <f>'Lista de Preço 02_2022'!$B1479*0.9*0.9*0.9*0.9*0.9*0.97</f>
        <v>88.42189514</v>
      </c>
      <c r="D1479" s="36">
        <f>'Lista de Preço 02_2022'!$C1479*1.2307</f>
        <v>108.8208263</v>
      </c>
      <c r="E1479" s="37">
        <v>7.8</v>
      </c>
      <c r="F1479" s="38">
        <v>0.18</v>
      </c>
      <c r="G1479" s="38" t="s">
        <v>22</v>
      </c>
      <c r="H1479" s="68" t="s">
        <v>3713</v>
      </c>
      <c r="I1479" s="40" t="s">
        <v>3803</v>
      </c>
      <c r="J1479" s="41" t="s">
        <v>3655</v>
      </c>
      <c r="K1479" s="42" t="s">
        <v>95</v>
      </c>
      <c r="L1479" s="43"/>
      <c r="M1479" s="42">
        <v>8.482101E7</v>
      </c>
      <c r="N1479" s="44" t="s">
        <v>3657</v>
      </c>
      <c r="O1479" s="45">
        <v>0.774</v>
      </c>
      <c r="P1479" s="44">
        <v>7.899823509196E12</v>
      </c>
      <c r="Q1479" s="44">
        <v>1.0</v>
      </c>
    </row>
    <row r="1480" ht="15.75" customHeight="1">
      <c r="A1480" s="35" t="s">
        <v>3804</v>
      </c>
      <c r="B1480" s="36">
        <v>84.96841147240904</v>
      </c>
      <c r="C1480" s="36">
        <f>'Lista de Preço 02_2022'!$B1480*0.9*0.9*0.9*0.9*0.9*0.97</f>
        <v>48.66780737</v>
      </c>
      <c r="D1480" s="36">
        <f>'Lista de Preço 02_2022'!$C1480*1.2307</f>
        <v>59.89547053</v>
      </c>
      <c r="E1480" s="37">
        <v>7.8</v>
      </c>
      <c r="F1480" s="38">
        <v>0.18</v>
      </c>
      <c r="G1480" s="38" t="s">
        <v>22</v>
      </c>
      <c r="H1480" s="68" t="s">
        <v>3695</v>
      </c>
      <c r="I1480" s="40" t="s">
        <v>3805</v>
      </c>
      <c r="J1480" s="41" t="s">
        <v>3655</v>
      </c>
      <c r="K1480" s="42" t="s">
        <v>73</v>
      </c>
      <c r="L1480" s="43" t="s">
        <v>3806</v>
      </c>
      <c r="M1480" s="42">
        <v>8.482101E7</v>
      </c>
      <c r="N1480" s="44" t="s">
        <v>3657</v>
      </c>
      <c r="O1480" s="45">
        <v>0.649</v>
      </c>
      <c r="P1480" s="44">
        <v>7.899823508311E12</v>
      </c>
      <c r="Q1480" s="44">
        <v>1.0</v>
      </c>
    </row>
    <row r="1481" ht="15.75" customHeight="1">
      <c r="A1481" s="35" t="s">
        <v>3807</v>
      </c>
      <c r="B1481" s="36">
        <v>115.90010391005002</v>
      </c>
      <c r="C1481" s="36">
        <f>'Lista de Preço 02_2022'!$B1481*0.9*0.9*0.9*0.9*0.9*0.97</f>
        <v>66.38471679</v>
      </c>
      <c r="D1481" s="36">
        <f>'Lista de Preço 02_2022'!$C1481*1.2307</f>
        <v>81.69967095</v>
      </c>
      <c r="E1481" s="37">
        <v>7.8</v>
      </c>
      <c r="F1481" s="38">
        <v>0.18</v>
      </c>
      <c r="G1481" s="38" t="s">
        <v>22</v>
      </c>
      <c r="H1481" s="68" t="s">
        <v>3695</v>
      </c>
      <c r="I1481" s="40" t="s">
        <v>3808</v>
      </c>
      <c r="J1481" s="41" t="s">
        <v>3655</v>
      </c>
      <c r="K1481" s="42" t="s">
        <v>73</v>
      </c>
      <c r="L1481" s="43" t="s">
        <v>3809</v>
      </c>
      <c r="M1481" s="42">
        <v>8.482101E7</v>
      </c>
      <c r="N1481" s="44" t="s">
        <v>3657</v>
      </c>
      <c r="O1481" s="45">
        <v>0.804</v>
      </c>
      <c r="P1481" s="44">
        <v>7.899823509707E12</v>
      </c>
      <c r="Q1481" s="44">
        <v>1.0</v>
      </c>
    </row>
    <row r="1482" ht="15.75" customHeight="1">
      <c r="A1482" s="35" t="s">
        <v>3810</v>
      </c>
      <c r="B1482" s="36">
        <v>46.434183542256584</v>
      </c>
      <c r="C1482" s="36">
        <f>'Lista de Preço 02_2022'!$B1482*0.9*0.9*0.9*0.9*0.9*0.97</f>
        <v>26.59635341</v>
      </c>
      <c r="D1482" s="36">
        <f>'Lista de Preço 02_2022'!$C1482*1.2307</f>
        <v>32.73213214</v>
      </c>
      <c r="E1482" s="37">
        <v>7.8</v>
      </c>
      <c r="F1482" s="38">
        <v>0.18</v>
      </c>
      <c r="G1482" s="38" t="s">
        <v>22</v>
      </c>
      <c r="H1482" s="68" t="s">
        <v>3695</v>
      </c>
      <c r="I1482" s="40" t="s">
        <v>3811</v>
      </c>
      <c r="J1482" s="41" t="s">
        <v>3655</v>
      </c>
      <c r="K1482" s="42" t="s">
        <v>26</v>
      </c>
      <c r="L1482" s="43"/>
      <c r="M1482" s="42">
        <v>8.482209E7</v>
      </c>
      <c r="N1482" s="44" t="s">
        <v>3657</v>
      </c>
      <c r="O1482" s="45">
        <v>0.347</v>
      </c>
      <c r="P1482" s="44">
        <v>7.899823509134E12</v>
      </c>
      <c r="Q1482" s="44">
        <v>1.0</v>
      </c>
    </row>
    <row r="1483" ht="15.75" customHeight="1">
      <c r="A1483" s="35" t="s">
        <v>3812</v>
      </c>
      <c r="B1483" s="36">
        <v>43.03544708336022</v>
      </c>
      <c r="C1483" s="36">
        <f>'Lista de Preço 02_2022'!$B1483*0.9*0.9*0.9*0.9*0.9*0.97</f>
        <v>24.64964111</v>
      </c>
      <c r="D1483" s="36">
        <f>'Lista de Preço 02_2022'!$C1483*1.2307</f>
        <v>30.33631332</v>
      </c>
      <c r="E1483" s="37">
        <v>7.8</v>
      </c>
      <c r="F1483" s="38">
        <v>0.18</v>
      </c>
      <c r="G1483" s="38" t="s">
        <v>22</v>
      </c>
      <c r="H1483" s="68" t="s">
        <v>3695</v>
      </c>
      <c r="I1483" s="40" t="s">
        <v>3813</v>
      </c>
      <c r="J1483" s="41" t="s">
        <v>3655</v>
      </c>
      <c r="K1483" s="42" t="s">
        <v>668</v>
      </c>
      <c r="L1483" s="43" t="s">
        <v>3814</v>
      </c>
      <c r="M1483" s="42">
        <v>8.482209E7</v>
      </c>
      <c r="N1483" s="44" t="s">
        <v>3657</v>
      </c>
      <c r="O1483" s="45">
        <v>0.325</v>
      </c>
      <c r="P1483" s="44">
        <v>7.899823508571E12</v>
      </c>
      <c r="Q1483" s="44">
        <v>1.0</v>
      </c>
    </row>
    <row r="1484" ht="15.75" customHeight="1">
      <c r="A1484" s="35" t="s">
        <v>3815</v>
      </c>
      <c r="B1484" s="36">
        <v>42.133096597888766</v>
      </c>
      <c r="C1484" s="36">
        <f>'Lista de Preço 02_2022'!$B1484*0.9*0.9*0.9*0.9*0.9*0.97</f>
        <v>24.13279704</v>
      </c>
      <c r="D1484" s="36">
        <f>'Lista de Preço 02_2022'!$C1484*1.2307</f>
        <v>29.70023332</v>
      </c>
      <c r="E1484" s="37">
        <v>7.8</v>
      </c>
      <c r="F1484" s="38">
        <v>0.18</v>
      </c>
      <c r="G1484" s="38" t="s">
        <v>22</v>
      </c>
      <c r="H1484" s="68" t="s">
        <v>3695</v>
      </c>
      <c r="I1484" s="40" t="s">
        <v>3816</v>
      </c>
      <c r="J1484" s="41" t="s">
        <v>3655</v>
      </c>
      <c r="K1484" s="42" t="s">
        <v>668</v>
      </c>
      <c r="L1484" s="43" t="s">
        <v>3817</v>
      </c>
      <c r="M1484" s="42">
        <v>8.482209E7</v>
      </c>
      <c r="N1484" s="44" t="s">
        <v>3657</v>
      </c>
      <c r="O1484" s="45">
        <v>0.323</v>
      </c>
      <c r="P1484" s="44">
        <v>7.899823508502E12</v>
      </c>
      <c r="Q1484" s="44">
        <v>1.0</v>
      </c>
    </row>
    <row r="1485" ht="15.75" customHeight="1">
      <c r="A1485" s="35" t="s">
        <v>3818</v>
      </c>
      <c r="B1485" s="36">
        <v>34.759804693258246</v>
      </c>
      <c r="C1485" s="36">
        <f>'Lista de Preço 02_2022'!$B1485*0.9*0.9*0.9*0.9*0.9*0.97</f>
        <v>19.90955756</v>
      </c>
      <c r="D1485" s="36">
        <f>'Lista de Preço 02_2022'!$C1485*1.2307</f>
        <v>24.50269249</v>
      </c>
      <c r="E1485" s="37">
        <v>7.8</v>
      </c>
      <c r="F1485" s="38">
        <v>0.18</v>
      </c>
      <c r="G1485" s="38" t="s">
        <v>22</v>
      </c>
      <c r="H1485" s="68" t="s">
        <v>3766</v>
      </c>
      <c r="I1485" s="40" t="s">
        <v>3819</v>
      </c>
      <c r="J1485" s="41" t="s">
        <v>3655</v>
      </c>
      <c r="K1485" s="42" t="s">
        <v>26</v>
      </c>
      <c r="L1485" s="43" t="s">
        <v>3820</v>
      </c>
      <c r="M1485" s="42">
        <v>8.482209E7</v>
      </c>
      <c r="N1485" s="44" t="s">
        <v>3657</v>
      </c>
      <c r="O1485" s="45">
        <v>0.296</v>
      </c>
      <c r="P1485" s="44">
        <v>7.899823508489E12</v>
      </c>
      <c r="Q1485" s="44">
        <v>1.0</v>
      </c>
    </row>
    <row r="1486" ht="15.75" customHeight="1">
      <c r="A1486" s="35" t="s">
        <v>3821</v>
      </c>
      <c r="B1486" s="36">
        <v>36.86645952315268</v>
      </c>
      <c r="C1486" s="36">
        <f>'Lista de Preço 02_2022'!$B1486*0.9*0.9*0.9*0.9*0.9*0.97</f>
        <v>21.11619741</v>
      </c>
      <c r="D1486" s="36">
        <f>'Lista de Preço 02_2022'!$C1486*1.2307</f>
        <v>25.98770416</v>
      </c>
      <c r="E1486" s="37">
        <v>7.8</v>
      </c>
      <c r="F1486" s="38">
        <v>0.18</v>
      </c>
      <c r="G1486" s="38" t="s">
        <v>22</v>
      </c>
      <c r="H1486" s="68" t="s">
        <v>3695</v>
      </c>
      <c r="I1486" s="40" t="s">
        <v>3822</v>
      </c>
      <c r="J1486" s="41" t="s">
        <v>3655</v>
      </c>
      <c r="K1486" s="42" t="s">
        <v>68</v>
      </c>
      <c r="L1486" s="43">
        <v>7450336.0</v>
      </c>
      <c r="M1486" s="42">
        <v>8.482209E7</v>
      </c>
      <c r="N1486" s="44" t="s">
        <v>3657</v>
      </c>
      <c r="O1486" s="45">
        <v>0.286</v>
      </c>
      <c r="P1486" s="44">
        <v>7.899823508595E12</v>
      </c>
      <c r="Q1486" s="44">
        <v>1.0</v>
      </c>
    </row>
    <row r="1487" ht="15.75" customHeight="1">
      <c r="A1487" s="35" t="s">
        <v>3823</v>
      </c>
      <c r="B1487" s="36">
        <v>36.62546678794755</v>
      </c>
      <c r="C1487" s="36">
        <f>'Lista de Preço 02_2022'!$B1487*0.9*0.9*0.9*0.9*0.9*0.97</f>
        <v>20.97816273</v>
      </c>
      <c r="D1487" s="36">
        <f>'Lista de Preço 02_2022'!$C1487*1.2307</f>
        <v>25.81782487</v>
      </c>
      <c r="E1487" s="37">
        <v>7.8</v>
      </c>
      <c r="F1487" s="38">
        <v>0.18</v>
      </c>
      <c r="G1487" s="38" t="s">
        <v>22</v>
      </c>
      <c r="H1487" s="68" t="s">
        <v>3766</v>
      </c>
      <c r="I1487" s="40" t="s">
        <v>3824</v>
      </c>
      <c r="J1487" s="41" t="s">
        <v>3655</v>
      </c>
      <c r="K1487" s="42" t="s">
        <v>668</v>
      </c>
      <c r="L1487" s="43"/>
      <c r="M1487" s="42">
        <v>8.482209E7</v>
      </c>
      <c r="N1487" s="44" t="s">
        <v>3657</v>
      </c>
      <c r="O1487" s="45">
        <v>0.216</v>
      </c>
      <c r="P1487" s="44">
        <v>7.899823508519E12</v>
      </c>
      <c r="Q1487" s="44">
        <v>1.0</v>
      </c>
    </row>
    <row r="1488" ht="15.75" customHeight="1">
      <c r="A1488" s="35" t="s">
        <v>3825</v>
      </c>
      <c r="B1488" s="36">
        <v>40.368627733502635</v>
      </c>
      <c r="C1488" s="36">
        <f>'Lista de Preço 02_2022'!$B1488*0.9*0.9*0.9*0.9*0.9*0.97</f>
        <v>23.12215286</v>
      </c>
      <c r="D1488" s="36">
        <f>'Lista de Preço 02_2022'!$C1488*1.2307</f>
        <v>28.45643353</v>
      </c>
      <c r="E1488" s="37">
        <v>7.8</v>
      </c>
      <c r="F1488" s="38">
        <v>0.18</v>
      </c>
      <c r="G1488" s="38" t="s">
        <v>22</v>
      </c>
      <c r="H1488" s="68" t="s">
        <v>3826</v>
      </c>
      <c r="I1488" s="40" t="s">
        <v>3827</v>
      </c>
      <c r="J1488" s="41" t="s">
        <v>3655</v>
      </c>
      <c r="K1488" s="42" t="s">
        <v>86</v>
      </c>
      <c r="L1488" s="43">
        <v>9.002368008E9</v>
      </c>
      <c r="M1488" s="42">
        <v>8.482209E7</v>
      </c>
      <c r="N1488" s="44" t="s">
        <v>3657</v>
      </c>
      <c r="O1488" s="45">
        <v>0.397</v>
      </c>
      <c r="P1488" s="44">
        <v>7.899823508212E12</v>
      </c>
      <c r="Q1488" s="44">
        <v>1.0</v>
      </c>
    </row>
    <row r="1489" ht="15.75" customHeight="1">
      <c r="A1489" s="35" t="s">
        <v>3828</v>
      </c>
      <c r="B1489" s="36">
        <v>41.82501305978616</v>
      </c>
      <c r="C1489" s="36">
        <f>'Lista de Preço 02_2022'!$B1489*0.9*0.9*0.9*0.9*0.9*0.97</f>
        <v>23.9563344</v>
      </c>
      <c r="D1489" s="36">
        <f>'Lista de Preço 02_2022'!$C1489*1.2307</f>
        <v>29.48306075</v>
      </c>
      <c r="E1489" s="37">
        <v>7.8</v>
      </c>
      <c r="F1489" s="38">
        <v>0.18</v>
      </c>
      <c r="G1489" s="38" t="s">
        <v>22</v>
      </c>
      <c r="H1489" s="68" t="s">
        <v>3695</v>
      </c>
      <c r="I1489" s="40" t="s">
        <v>3829</v>
      </c>
      <c r="J1489" s="41" t="s">
        <v>3655</v>
      </c>
      <c r="K1489" s="42" t="s">
        <v>26</v>
      </c>
      <c r="L1489" s="43">
        <v>5.2250236E7</v>
      </c>
      <c r="M1489" s="42">
        <v>8.482209E7</v>
      </c>
      <c r="N1489" s="44" t="s">
        <v>3657</v>
      </c>
      <c r="O1489" s="45">
        <v>0.273</v>
      </c>
      <c r="P1489" s="44">
        <v>7.899823508465E12</v>
      </c>
      <c r="Q1489" s="44">
        <v>1.0</v>
      </c>
    </row>
    <row r="1490" ht="15.75" customHeight="1">
      <c r="A1490" s="35" t="s">
        <v>3830</v>
      </c>
      <c r="B1490" s="36">
        <v>69.70835509964363</v>
      </c>
      <c r="C1490" s="36">
        <f>'Lista de Preço 02_2022'!$B1490*0.9*0.9*0.9*0.9*0.9*0.97</f>
        <v>39.927224</v>
      </c>
      <c r="D1490" s="36">
        <f>'Lista de Preço 02_2022'!$C1490*1.2307</f>
        <v>49.13843458</v>
      </c>
      <c r="E1490" s="37">
        <v>7.8</v>
      </c>
      <c r="F1490" s="38">
        <v>0.18</v>
      </c>
      <c r="G1490" s="38" t="s">
        <v>22</v>
      </c>
      <c r="H1490" s="68" t="s">
        <v>3785</v>
      </c>
      <c r="I1490" s="40" t="s">
        <v>3831</v>
      </c>
      <c r="J1490" s="41" t="s">
        <v>3655</v>
      </c>
      <c r="K1490" s="42" t="s">
        <v>625</v>
      </c>
      <c r="L1490" s="43" t="s">
        <v>3832</v>
      </c>
      <c r="M1490" s="42">
        <v>8.482101E7</v>
      </c>
      <c r="N1490" s="44" t="s">
        <v>3657</v>
      </c>
      <c r="O1490" s="45">
        <v>0.366</v>
      </c>
      <c r="P1490" s="44">
        <v>7.899823508397E12</v>
      </c>
      <c r="Q1490" s="44">
        <v>1.0</v>
      </c>
    </row>
    <row r="1491" ht="15.75" customHeight="1">
      <c r="A1491" s="35" t="s">
        <v>3833</v>
      </c>
      <c r="B1491" s="36">
        <v>91.36095922083838</v>
      </c>
      <c r="C1491" s="36">
        <f>'Lista de Preço 02_2022'!$B1491*0.9*0.9*0.9*0.9*0.9*0.97</f>
        <v>52.32930083</v>
      </c>
      <c r="D1491" s="36">
        <f>'Lista de Preço 02_2022'!$C1491*1.2307</f>
        <v>64.40167053</v>
      </c>
      <c r="E1491" s="37">
        <v>7.8</v>
      </c>
      <c r="F1491" s="38">
        <v>0.18</v>
      </c>
      <c r="G1491" s="38" t="s">
        <v>22</v>
      </c>
      <c r="H1491" s="68" t="s">
        <v>3695</v>
      </c>
      <c r="I1491" s="40" t="s">
        <v>3834</v>
      </c>
      <c r="J1491" s="41" t="s">
        <v>3655</v>
      </c>
      <c r="K1491" s="42" t="s">
        <v>86</v>
      </c>
      <c r="L1491" s="43">
        <v>9.002368005E9</v>
      </c>
      <c r="M1491" s="42">
        <v>8.482209E7</v>
      </c>
      <c r="N1491" s="44" t="s">
        <v>3657</v>
      </c>
      <c r="O1491" s="45">
        <v>0.562</v>
      </c>
      <c r="P1491" s="44">
        <v>7.899823509479E12</v>
      </c>
      <c r="Q1491" s="44">
        <v>1.0</v>
      </c>
    </row>
    <row r="1492" ht="15.75" customHeight="1">
      <c r="A1492" s="35" t="s">
        <v>3835</v>
      </c>
      <c r="B1492" s="36">
        <v>94.79946734524975</v>
      </c>
      <c r="C1492" s="36">
        <f>'Lista de Preço 02_2022'!$B1492*0.9*0.9*0.9*0.9*0.9*0.97</f>
        <v>54.29879335</v>
      </c>
      <c r="D1492" s="36">
        <f>'Lista de Preço 02_2022'!$C1492*1.2307</f>
        <v>66.82552497</v>
      </c>
      <c r="E1492" s="37">
        <v>7.8</v>
      </c>
      <c r="F1492" s="38">
        <v>0.18</v>
      </c>
      <c r="G1492" s="38" t="s">
        <v>22</v>
      </c>
      <c r="H1492" s="68" t="s">
        <v>3695</v>
      </c>
      <c r="I1492" s="40" t="s">
        <v>3836</v>
      </c>
      <c r="J1492" s="41" t="s">
        <v>3655</v>
      </c>
      <c r="K1492" s="42" t="s">
        <v>157</v>
      </c>
      <c r="L1492" s="43" t="s">
        <v>3837</v>
      </c>
      <c r="M1492" s="42">
        <v>8.482101E7</v>
      </c>
      <c r="N1492" s="44" t="s">
        <v>3657</v>
      </c>
      <c r="O1492" s="45">
        <v>0.343</v>
      </c>
      <c r="P1492" s="44">
        <v>7.899823508618E12</v>
      </c>
      <c r="Q1492" s="44">
        <v>1.0</v>
      </c>
    </row>
    <row r="1493" ht="15.75" customHeight="1">
      <c r="A1493" s="35" t="s">
        <v>3838</v>
      </c>
      <c r="B1493" s="36">
        <v>52.9220327412802</v>
      </c>
      <c r="C1493" s="36">
        <f>'Lista de Preço 02_2022'!$B1493*0.9*0.9*0.9*0.9*0.9*0.97</f>
        <v>30.31243318</v>
      </c>
      <c r="D1493" s="36">
        <f>'Lista de Preço 02_2022'!$C1493*1.2307</f>
        <v>37.30551151</v>
      </c>
      <c r="E1493" s="37">
        <v>7.8</v>
      </c>
      <c r="F1493" s="38">
        <v>0.18</v>
      </c>
      <c r="G1493" s="38" t="s">
        <v>22</v>
      </c>
      <c r="H1493" s="68" t="s">
        <v>3695</v>
      </c>
      <c r="I1493" s="40" t="s">
        <v>3839</v>
      </c>
      <c r="J1493" s="41" t="s">
        <v>3655</v>
      </c>
      <c r="K1493" s="42" t="s">
        <v>86</v>
      </c>
      <c r="L1493" s="43">
        <v>9.002368002E9</v>
      </c>
      <c r="M1493" s="42">
        <v>8.482209E7</v>
      </c>
      <c r="N1493" s="44" t="s">
        <v>3657</v>
      </c>
      <c r="O1493" s="45">
        <v>0.489</v>
      </c>
      <c r="P1493" s="44">
        <v>7.899823509486E12</v>
      </c>
      <c r="Q1493" s="44">
        <v>1.0</v>
      </c>
    </row>
    <row r="1494" ht="15.75" customHeight="1">
      <c r="A1494" s="35" t="s">
        <v>3840</v>
      </c>
      <c r="B1494" s="36">
        <v>68.17653171179413</v>
      </c>
      <c r="C1494" s="36">
        <f>'Lista de Preço 02_2022'!$B1494*0.9*0.9*0.9*0.9*0.9*0.97</f>
        <v>39.0498334</v>
      </c>
      <c r="D1494" s="36">
        <f>'Lista de Preço 02_2022'!$C1494*1.2307</f>
        <v>48.05862997</v>
      </c>
      <c r="E1494" s="37">
        <v>7.8</v>
      </c>
      <c r="F1494" s="38">
        <v>0.18</v>
      </c>
      <c r="G1494" s="38" t="s">
        <v>22</v>
      </c>
      <c r="H1494" s="68" t="s">
        <v>3695</v>
      </c>
      <c r="I1494" s="40" t="s">
        <v>3841</v>
      </c>
      <c r="J1494" s="41" t="s">
        <v>3655</v>
      </c>
      <c r="K1494" s="42" t="s">
        <v>2153</v>
      </c>
      <c r="L1494" s="43" t="s">
        <v>3842</v>
      </c>
      <c r="M1494" s="42">
        <v>8.482101E7</v>
      </c>
      <c r="N1494" s="44" t="s">
        <v>3657</v>
      </c>
      <c r="O1494" s="45">
        <v>0.442</v>
      </c>
      <c r="P1494" s="44">
        <v>7.899823508236E12</v>
      </c>
      <c r="Q1494" s="44">
        <v>1.0</v>
      </c>
    </row>
    <row r="1495" ht="15.75" customHeight="1">
      <c r="A1495" s="35" t="s">
        <v>3843</v>
      </c>
      <c r="B1495" s="36">
        <v>33.7473831973381</v>
      </c>
      <c r="C1495" s="36">
        <f>'Lista de Preço 02_2022'!$B1495*0.9*0.9*0.9*0.9*0.9*0.97</f>
        <v>19.32966754</v>
      </c>
      <c r="D1495" s="36">
        <f>'Lista de Preço 02_2022'!$C1495*1.2307</f>
        <v>23.78902184</v>
      </c>
      <c r="E1495" s="37">
        <v>7.8</v>
      </c>
      <c r="F1495" s="38">
        <v>0.18</v>
      </c>
      <c r="G1495" s="38" t="s">
        <v>22</v>
      </c>
      <c r="H1495" s="68" t="s">
        <v>3785</v>
      </c>
      <c r="I1495" s="40" t="s">
        <v>3844</v>
      </c>
      <c r="J1495" s="41" t="s">
        <v>3655</v>
      </c>
      <c r="K1495" s="42" t="s">
        <v>282</v>
      </c>
      <c r="L1495" s="43" t="s">
        <v>3845</v>
      </c>
      <c r="M1495" s="42">
        <v>8.482209E7</v>
      </c>
      <c r="N1495" s="44" t="s">
        <v>3657</v>
      </c>
      <c r="O1495" s="45">
        <v>0.236</v>
      </c>
      <c r="P1495" s="44">
        <v>7.899823509431E12</v>
      </c>
      <c r="Q1495" s="44">
        <v>1.0</v>
      </c>
    </row>
    <row r="1496" ht="15.75" customHeight="1">
      <c r="A1496" s="35" t="s">
        <v>3846</v>
      </c>
      <c r="B1496" s="36">
        <v>35.02313654699504</v>
      </c>
      <c r="C1496" s="36">
        <f>'Lista de Preço 02_2022'!$B1496*0.9*0.9*0.9*0.9*0.9*0.97</f>
        <v>20.06038754</v>
      </c>
      <c r="D1496" s="36">
        <f>'Lista de Preço 02_2022'!$C1496*1.2307</f>
        <v>24.68831895</v>
      </c>
      <c r="E1496" s="37">
        <v>7.8</v>
      </c>
      <c r="F1496" s="38">
        <v>0.18</v>
      </c>
      <c r="G1496" s="38" t="s">
        <v>22</v>
      </c>
      <c r="H1496" s="68" t="s">
        <v>3766</v>
      </c>
      <c r="I1496" s="40" t="s">
        <v>3847</v>
      </c>
      <c r="J1496" s="41" t="s">
        <v>3655</v>
      </c>
      <c r="K1496" s="42" t="s">
        <v>26</v>
      </c>
      <c r="L1496" s="43" t="s">
        <v>3848</v>
      </c>
      <c r="M1496" s="42">
        <v>8.482209E7</v>
      </c>
      <c r="N1496" s="44" t="s">
        <v>3657</v>
      </c>
      <c r="O1496" s="45">
        <v>0.243</v>
      </c>
      <c r="P1496" s="44">
        <v>7.899823508823E12</v>
      </c>
      <c r="Q1496" s="44">
        <v>1.0</v>
      </c>
    </row>
    <row r="1497" ht="15.75" customHeight="1">
      <c r="A1497" s="35" t="s">
        <v>3849</v>
      </c>
      <c r="B1497" s="36">
        <v>15.343469344397825</v>
      </c>
      <c r="C1497" s="36">
        <f>'Lista de Preço 02_2022'!$B1497*0.9*0.9*0.9*0.9*0.9*0.97</f>
        <v>8.788360257</v>
      </c>
      <c r="D1497" s="36">
        <f>'Lista de Preço 02_2022'!$C1497*1.2307</f>
        <v>10.81583497</v>
      </c>
      <c r="E1497" s="37">
        <v>7.8</v>
      </c>
      <c r="F1497" s="38">
        <v>0.18</v>
      </c>
      <c r="G1497" s="38" t="s">
        <v>22</v>
      </c>
      <c r="H1497" s="68" t="s">
        <v>3695</v>
      </c>
      <c r="I1497" s="40" t="s">
        <v>3850</v>
      </c>
      <c r="J1497" s="41" t="s">
        <v>3655</v>
      </c>
      <c r="K1497" s="42" t="s">
        <v>3059</v>
      </c>
      <c r="L1497" s="43" t="s">
        <v>3851</v>
      </c>
      <c r="M1497" s="42">
        <v>8.482209E7</v>
      </c>
      <c r="N1497" s="44" t="s">
        <v>3657</v>
      </c>
      <c r="O1497" s="45">
        <v>0.081</v>
      </c>
      <c r="P1497" s="44">
        <v>7.899823509516E12</v>
      </c>
      <c r="Q1497" s="44">
        <v>1.0</v>
      </c>
    </row>
    <row r="1498" ht="15.75" customHeight="1">
      <c r="A1498" s="35" t="s">
        <v>3852</v>
      </c>
      <c r="B1498" s="36">
        <v>17.46346835751324</v>
      </c>
      <c r="C1498" s="36">
        <f>'Lista de Preço 02_2022'!$B1498*0.9*0.9*0.9*0.9*0.9*0.97</f>
        <v>10.00264333</v>
      </c>
      <c r="D1498" s="36">
        <f>'Lista de Preço 02_2022'!$C1498*1.2307</f>
        <v>12.31025314</v>
      </c>
      <c r="E1498" s="37">
        <v>7.8</v>
      </c>
      <c r="F1498" s="38">
        <v>0.18</v>
      </c>
      <c r="G1498" s="38" t="s">
        <v>22</v>
      </c>
      <c r="H1498" s="68" t="s">
        <v>3766</v>
      </c>
      <c r="I1498" s="40" t="s">
        <v>3853</v>
      </c>
      <c r="J1498" s="41" t="s">
        <v>3655</v>
      </c>
      <c r="K1498" s="42" t="s">
        <v>668</v>
      </c>
      <c r="L1498" s="43" t="s">
        <v>3854</v>
      </c>
      <c r="M1498" s="42">
        <v>8.482209E7</v>
      </c>
      <c r="N1498" s="44" t="s">
        <v>3657</v>
      </c>
      <c r="O1498" s="45">
        <v>0.157</v>
      </c>
      <c r="P1498" s="44">
        <v>7.899823508564E12</v>
      </c>
      <c r="Q1498" s="44">
        <v>1.0</v>
      </c>
    </row>
    <row r="1499" ht="15.75" customHeight="1">
      <c r="A1499" s="35" t="s">
        <v>3855</v>
      </c>
      <c r="B1499" s="36">
        <v>38.358673360994565</v>
      </c>
      <c r="C1499" s="36">
        <f>'Lista de Preço 02_2022'!$B1499*0.9*0.9*0.9*0.9*0.9*0.97</f>
        <v>21.97090064</v>
      </c>
      <c r="D1499" s="36">
        <f>'Lista de Preço 02_2022'!$C1499*1.2307</f>
        <v>27.03958742</v>
      </c>
      <c r="E1499" s="37">
        <v>7.8</v>
      </c>
      <c r="F1499" s="38">
        <v>0.18</v>
      </c>
      <c r="G1499" s="38" t="s">
        <v>22</v>
      </c>
      <c r="H1499" s="68" t="s">
        <v>3785</v>
      </c>
      <c r="I1499" s="40" t="s">
        <v>3856</v>
      </c>
      <c r="J1499" s="41" t="s">
        <v>3655</v>
      </c>
      <c r="K1499" s="42" t="s">
        <v>668</v>
      </c>
      <c r="L1499" s="43" t="s">
        <v>3857</v>
      </c>
      <c r="M1499" s="42">
        <v>8.482209E7</v>
      </c>
      <c r="N1499" s="44" t="s">
        <v>3657</v>
      </c>
      <c r="O1499" s="45">
        <v>0.422</v>
      </c>
      <c r="P1499" s="44">
        <v>7.899823508557E12</v>
      </c>
      <c r="Q1499" s="44">
        <v>1.0</v>
      </c>
    </row>
    <row r="1500" ht="15.75" customHeight="1">
      <c r="A1500" s="35" t="s">
        <v>3858</v>
      </c>
      <c r="B1500" s="36">
        <v>21.543784020926946</v>
      </c>
      <c r="C1500" s="36">
        <f>'Lista de Preço 02_2022'!$B1500*0.9*0.9*0.9*0.9*0.9*0.97</f>
        <v>12.33974736</v>
      </c>
      <c r="D1500" s="36">
        <f>'Lista de Preço 02_2022'!$C1500*1.2307</f>
        <v>15.18652707</v>
      </c>
      <c r="E1500" s="37">
        <v>7.8</v>
      </c>
      <c r="F1500" s="38">
        <v>0.18</v>
      </c>
      <c r="G1500" s="38" t="s">
        <v>22</v>
      </c>
      <c r="H1500" s="68" t="s">
        <v>3774</v>
      </c>
      <c r="I1500" s="40" t="s">
        <v>3859</v>
      </c>
      <c r="J1500" s="41" t="s">
        <v>3655</v>
      </c>
      <c r="K1500" s="42" t="s">
        <v>86</v>
      </c>
      <c r="L1500" s="43">
        <v>9.002366001E9</v>
      </c>
      <c r="M1500" s="42">
        <v>8.482209E7</v>
      </c>
      <c r="N1500" s="44" t="s">
        <v>3657</v>
      </c>
      <c r="O1500" s="45">
        <v>0.135</v>
      </c>
      <c r="P1500" s="44">
        <v>7.899823507994E12</v>
      </c>
      <c r="Q1500" s="44">
        <v>1.0</v>
      </c>
    </row>
    <row r="1501" ht="15.75" customHeight="1">
      <c r="A1501" s="35" t="s">
        <v>3860</v>
      </c>
      <c r="B1501" s="36">
        <v>18.98622665442363</v>
      </c>
      <c r="C1501" s="36">
        <f>'Lista de Preço 02_2022'!$B1501*0.9*0.9*0.9*0.9*0.9*0.97</f>
        <v>10.87484167</v>
      </c>
      <c r="D1501" s="36">
        <f>'Lista de Preço 02_2022'!$C1501*1.2307</f>
        <v>13.38366764</v>
      </c>
      <c r="E1501" s="37">
        <v>7.8</v>
      </c>
      <c r="F1501" s="38">
        <v>0.18</v>
      </c>
      <c r="G1501" s="38" t="s">
        <v>22</v>
      </c>
      <c r="H1501" s="68" t="s">
        <v>3766</v>
      </c>
      <c r="I1501" s="40" t="s">
        <v>3861</v>
      </c>
      <c r="J1501" s="41" t="s">
        <v>3655</v>
      </c>
      <c r="K1501" s="42" t="s">
        <v>73</v>
      </c>
      <c r="L1501" s="43" t="s">
        <v>3862</v>
      </c>
      <c r="M1501" s="42">
        <v>8.482209E7</v>
      </c>
      <c r="N1501" s="44" t="s">
        <v>3657</v>
      </c>
      <c r="O1501" s="45">
        <v>0.169</v>
      </c>
      <c r="P1501" s="44">
        <v>7.89982350854E12</v>
      </c>
      <c r="Q1501" s="44">
        <v>1.0</v>
      </c>
    </row>
    <row r="1502" ht="15.75" customHeight="1">
      <c r="A1502" s="35" t="s">
        <v>3863</v>
      </c>
      <c r="B1502" s="36">
        <v>23.623168238136667</v>
      </c>
      <c r="C1502" s="36">
        <f>'Lista de Preço 02_2022'!$B1502*0.9*0.9*0.9*0.9*0.9*0.97</f>
        <v>13.53076727</v>
      </c>
      <c r="D1502" s="36">
        <f>'Lista de Preço 02_2022'!$C1502*1.2307</f>
        <v>16.65231528</v>
      </c>
      <c r="E1502" s="37">
        <v>7.8</v>
      </c>
      <c r="F1502" s="38">
        <v>0.18</v>
      </c>
      <c r="G1502" s="38" t="s">
        <v>22</v>
      </c>
      <c r="H1502" s="68" t="s">
        <v>3695</v>
      </c>
      <c r="I1502" s="40" t="s">
        <v>3864</v>
      </c>
      <c r="J1502" s="41" t="s">
        <v>3655</v>
      </c>
      <c r="K1502" s="42" t="s">
        <v>73</v>
      </c>
      <c r="L1502" s="43" t="s">
        <v>3865</v>
      </c>
      <c r="M1502" s="42">
        <v>8.482209E7</v>
      </c>
      <c r="N1502" s="44" t="s">
        <v>3657</v>
      </c>
      <c r="O1502" s="45">
        <v>0.263</v>
      </c>
      <c r="P1502" s="44">
        <v>7.899823508533E12</v>
      </c>
      <c r="Q1502" s="44">
        <v>1.0</v>
      </c>
    </row>
    <row r="1503" ht="15.75" customHeight="1">
      <c r="A1503" s="35" t="s">
        <v>3866</v>
      </c>
      <c r="B1503" s="36">
        <v>45.64418798104617</v>
      </c>
      <c r="C1503" s="36">
        <f>'Lista de Preço 02_2022'!$B1503*0.9*0.9*0.9*0.9*0.9*0.97</f>
        <v>26.14386346</v>
      </c>
      <c r="D1503" s="36">
        <f>'Lista de Preço 02_2022'!$C1503*1.2307</f>
        <v>32.17525277</v>
      </c>
      <c r="E1503" s="37">
        <v>7.8</v>
      </c>
      <c r="F1503" s="38">
        <v>0.18</v>
      </c>
      <c r="G1503" s="38" t="s">
        <v>22</v>
      </c>
      <c r="H1503" s="68" t="s">
        <v>3695</v>
      </c>
      <c r="I1503" s="40" t="s">
        <v>3867</v>
      </c>
      <c r="J1503" s="41" t="s">
        <v>3655</v>
      </c>
      <c r="K1503" s="42" t="s">
        <v>157</v>
      </c>
      <c r="L1503" s="43" t="s">
        <v>3868</v>
      </c>
      <c r="M1503" s="42">
        <v>8.482101E7</v>
      </c>
      <c r="N1503" s="44" t="s">
        <v>3657</v>
      </c>
      <c r="O1503" s="45">
        <v>0.14</v>
      </c>
      <c r="P1503" s="44">
        <v>7.89982350896E12</v>
      </c>
      <c r="Q1503" s="44">
        <v>1.0</v>
      </c>
    </row>
    <row r="1504" ht="15.75" customHeight="1">
      <c r="A1504" s="35" t="s">
        <v>3869</v>
      </c>
      <c r="B1504" s="36">
        <v>91.2889</v>
      </c>
      <c r="C1504" s="36">
        <f>'Lista de Preço 02_2022'!$B1504*0.9*0.9*0.9*0.9*0.9*0.97</f>
        <v>52.28802708</v>
      </c>
      <c r="D1504" s="36">
        <f>'Lista de Preço 02_2022'!$C1504*1.2307</f>
        <v>64.35087493</v>
      </c>
      <c r="E1504" s="37">
        <v>7.8</v>
      </c>
      <c r="F1504" s="38">
        <v>0.18</v>
      </c>
      <c r="G1504" s="38" t="s">
        <v>22</v>
      </c>
      <c r="H1504" s="68" t="s">
        <v>3785</v>
      </c>
      <c r="I1504" s="40" t="s">
        <v>3870</v>
      </c>
      <c r="J1504" s="41" t="s">
        <v>3655</v>
      </c>
      <c r="K1504" s="42" t="s">
        <v>68</v>
      </c>
      <c r="L1504" s="43">
        <v>9.0235281E7</v>
      </c>
      <c r="M1504" s="42">
        <v>8.482101E7</v>
      </c>
      <c r="N1504" s="44" t="s">
        <v>3657</v>
      </c>
      <c r="O1504" s="45">
        <v>0.79</v>
      </c>
      <c r="P1504" s="44">
        <v>7.899823509639E12</v>
      </c>
      <c r="Q1504" s="44">
        <v>1.0</v>
      </c>
    </row>
    <row r="1505" ht="15.75" customHeight="1">
      <c r="A1505" s="35" t="s">
        <v>3871</v>
      </c>
      <c r="B1505" s="36">
        <v>65.04381954244215</v>
      </c>
      <c r="C1505" s="36">
        <f>'Lista de Preço 02_2022'!$B1505*0.9*0.9*0.9*0.9*0.9*0.97</f>
        <v>37.25549325</v>
      </c>
      <c r="D1505" s="36">
        <f>'Lista de Preço 02_2022'!$C1505*1.2307</f>
        <v>45.85033554</v>
      </c>
      <c r="E1505" s="37">
        <v>7.8</v>
      </c>
      <c r="F1505" s="38">
        <v>0.18</v>
      </c>
      <c r="G1505" s="38" t="s">
        <v>22</v>
      </c>
      <c r="H1505" s="68" t="s">
        <v>3695</v>
      </c>
      <c r="I1505" s="40" t="s">
        <v>3872</v>
      </c>
      <c r="J1505" s="41" t="s">
        <v>3655</v>
      </c>
      <c r="K1505" s="42" t="s">
        <v>73</v>
      </c>
      <c r="L1505" s="43" t="s">
        <v>3873</v>
      </c>
      <c r="M1505" s="42">
        <v>8.482101E7</v>
      </c>
      <c r="N1505" s="44" t="s">
        <v>3657</v>
      </c>
      <c r="O1505" s="45">
        <v>0.462</v>
      </c>
      <c r="P1505" s="44">
        <v>7.89982350768E12</v>
      </c>
      <c r="Q1505" s="44">
        <v>1.0</v>
      </c>
    </row>
    <row r="1506" ht="15.75" customHeight="1">
      <c r="A1506" s="35" t="s">
        <v>3874</v>
      </c>
      <c r="B1506" s="36">
        <v>77.3118</v>
      </c>
      <c r="C1506" s="36">
        <f>'Lista de Preço 02_2022'!$B1506*0.9*0.9*0.9*0.9*0.9*0.97</f>
        <v>44.28228944</v>
      </c>
      <c r="D1506" s="36">
        <f>'Lista de Preço 02_2022'!$C1506*1.2307</f>
        <v>54.49821361</v>
      </c>
      <c r="E1506" s="37">
        <v>7.8</v>
      </c>
      <c r="F1506" s="38">
        <v>0.18</v>
      </c>
      <c r="G1506" s="38" t="s">
        <v>22</v>
      </c>
      <c r="H1506" s="68" t="s">
        <v>3695</v>
      </c>
      <c r="I1506" s="40" t="s">
        <v>3875</v>
      </c>
      <c r="J1506" s="41" t="s">
        <v>3655</v>
      </c>
      <c r="K1506" s="42" t="s">
        <v>73</v>
      </c>
      <c r="L1506" s="43" t="s">
        <v>3876</v>
      </c>
      <c r="M1506" s="42">
        <v>8.482101E7</v>
      </c>
      <c r="N1506" s="44" t="s">
        <v>3657</v>
      </c>
      <c r="O1506" s="45">
        <v>0.553</v>
      </c>
      <c r="P1506" s="44">
        <v>7.899823508038E12</v>
      </c>
      <c r="Q1506" s="44">
        <v>1.0</v>
      </c>
    </row>
    <row r="1507" ht="15.75" customHeight="1">
      <c r="A1507" s="50" t="s">
        <v>3877</v>
      </c>
      <c r="B1507" s="36">
        <v>146.3321</v>
      </c>
      <c r="C1507" s="51">
        <f>'Lista de Preço 02_2022'!$B1507*0.9*0.9*0.9*0.9*0.9*0.97</f>
        <v>83.81541248</v>
      </c>
      <c r="D1507" s="36">
        <f>'Lista de Preço 02_2022'!$C1507*1.2307</f>
        <v>103.1516281</v>
      </c>
      <c r="E1507" s="52">
        <v>7.8</v>
      </c>
      <c r="F1507" s="53">
        <v>0.18</v>
      </c>
      <c r="G1507" s="53" t="s">
        <v>22</v>
      </c>
      <c r="H1507" s="69" t="s">
        <v>3695</v>
      </c>
      <c r="I1507" s="55" t="s">
        <v>3878</v>
      </c>
      <c r="J1507" s="56" t="s">
        <v>3655</v>
      </c>
      <c r="K1507" s="57" t="s">
        <v>73</v>
      </c>
      <c r="L1507" s="58" t="s">
        <v>3879</v>
      </c>
      <c r="M1507" s="57">
        <v>8.482101E7</v>
      </c>
      <c r="N1507" s="59" t="s">
        <v>3657</v>
      </c>
      <c r="O1507" s="60">
        <v>0.58</v>
      </c>
      <c r="P1507" s="59">
        <v>7.899823511434E12</v>
      </c>
      <c r="Q1507" s="59">
        <v>1.0</v>
      </c>
    </row>
    <row r="1508" ht="15.75" customHeight="1">
      <c r="A1508" s="35" t="s">
        <v>3880</v>
      </c>
      <c r="B1508" s="36">
        <v>20.375547040651284</v>
      </c>
      <c r="C1508" s="36">
        <f>'Lista de Preço 02_2022'!$B1508*0.9*0.9*0.9*0.9*0.9*0.97</f>
        <v>11.67061007</v>
      </c>
      <c r="D1508" s="36">
        <f>'Lista de Preço 02_2022'!$C1508*1.2307</f>
        <v>14.36301981</v>
      </c>
      <c r="E1508" s="37">
        <v>7.8</v>
      </c>
      <c r="F1508" s="38">
        <v>0.18</v>
      </c>
      <c r="G1508" s="38" t="s">
        <v>22</v>
      </c>
      <c r="H1508" s="68" t="s">
        <v>3695</v>
      </c>
      <c r="I1508" s="40" t="s">
        <v>3881</v>
      </c>
      <c r="J1508" s="41" t="s">
        <v>3655</v>
      </c>
      <c r="K1508" s="42" t="s">
        <v>3059</v>
      </c>
      <c r="L1508" s="43" t="s">
        <v>3882</v>
      </c>
      <c r="M1508" s="42">
        <v>8.482209E7</v>
      </c>
      <c r="N1508" s="44" t="s">
        <v>3657</v>
      </c>
      <c r="O1508" s="45">
        <v>0.116</v>
      </c>
      <c r="P1508" s="44">
        <v>7.899823508908E12</v>
      </c>
      <c r="Q1508" s="44">
        <v>1.0</v>
      </c>
    </row>
    <row r="1509" ht="15.75" customHeight="1">
      <c r="A1509" s="35" t="s">
        <v>3883</v>
      </c>
      <c r="B1509" s="36">
        <v>20.452959513538236</v>
      </c>
      <c r="C1509" s="36">
        <f>'Lista de Preço 02_2022'!$B1509*0.9*0.9*0.9*0.9*0.9*0.97</f>
        <v>11.71495002</v>
      </c>
      <c r="D1509" s="36">
        <f>'Lista de Preço 02_2022'!$C1509*1.2307</f>
        <v>14.41758899</v>
      </c>
      <c r="E1509" s="37">
        <v>7.8</v>
      </c>
      <c r="F1509" s="38">
        <v>0.18</v>
      </c>
      <c r="G1509" s="38" t="s">
        <v>22</v>
      </c>
      <c r="H1509" s="68" t="s">
        <v>3785</v>
      </c>
      <c r="I1509" s="40" t="s">
        <v>3884</v>
      </c>
      <c r="J1509" s="41" t="s">
        <v>3655</v>
      </c>
      <c r="K1509" s="42" t="s">
        <v>95</v>
      </c>
      <c r="L1509" s="43">
        <v>4470124.0</v>
      </c>
      <c r="M1509" s="42">
        <v>8.482209E7</v>
      </c>
      <c r="N1509" s="44" t="s">
        <v>3657</v>
      </c>
      <c r="O1509" s="45">
        <v>0.174</v>
      </c>
      <c r="P1509" s="44">
        <v>7.899823508892E12</v>
      </c>
      <c r="Q1509" s="44">
        <v>1.0</v>
      </c>
    </row>
    <row r="1510" ht="15.75" customHeight="1">
      <c r="A1510" s="35" t="s">
        <v>3885</v>
      </c>
      <c r="B1510" s="36">
        <v>26.543850856669923</v>
      </c>
      <c r="C1510" s="36">
        <f>'Lista de Preço 02_2022'!$B1510*0.9*0.9*0.9*0.9*0.9*0.97</f>
        <v>15.20366214</v>
      </c>
      <c r="D1510" s="36">
        <f>'Lista de Preço 02_2022'!$C1510*1.2307</f>
        <v>18.71114699</v>
      </c>
      <c r="E1510" s="37">
        <v>7.8</v>
      </c>
      <c r="F1510" s="38">
        <v>0.18</v>
      </c>
      <c r="G1510" s="38" t="s">
        <v>22</v>
      </c>
      <c r="H1510" s="68" t="s">
        <v>3766</v>
      </c>
      <c r="I1510" s="40" t="s">
        <v>3886</v>
      </c>
      <c r="J1510" s="41" t="s">
        <v>3655</v>
      </c>
      <c r="K1510" s="42" t="s">
        <v>26</v>
      </c>
      <c r="L1510" s="43">
        <v>49996.0</v>
      </c>
      <c r="M1510" s="42">
        <v>8.482209E7</v>
      </c>
      <c r="N1510" s="44" t="s">
        <v>3657</v>
      </c>
      <c r="O1510" s="45">
        <v>0.229</v>
      </c>
      <c r="P1510" s="44">
        <v>7.899823508885E12</v>
      </c>
      <c r="Q1510" s="44">
        <v>1.0</v>
      </c>
    </row>
    <row r="1511" ht="15.75" customHeight="1">
      <c r="A1511" s="35" t="s">
        <v>3887</v>
      </c>
      <c r="B1511" s="36">
        <v>25.432235472106658</v>
      </c>
      <c r="C1511" s="36">
        <f>'Lista de Preço 02_2022'!$B1511*0.9*0.9*0.9*0.9*0.9*0.97</f>
        <v>14.5669563</v>
      </c>
      <c r="D1511" s="36">
        <f>'Lista de Preço 02_2022'!$C1511*1.2307</f>
        <v>17.92755312</v>
      </c>
      <c r="E1511" s="37">
        <v>7.8</v>
      </c>
      <c r="F1511" s="38">
        <v>0.18</v>
      </c>
      <c r="G1511" s="38" t="s">
        <v>22</v>
      </c>
      <c r="H1511" s="68" t="s">
        <v>3766</v>
      </c>
      <c r="I1511" s="40" t="s">
        <v>3888</v>
      </c>
      <c r="J1511" s="41" t="s">
        <v>3655</v>
      </c>
      <c r="K1511" s="42" t="s">
        <v>95</v>
      </c>
      <c r="L1511" s="43" t="s">
        <v>3889</v>
      </c>
      <c r="M1511" s="42">
        <v>8.482209E7</v>
      </c>
      <c r="N1511" s="44" t="s">
        <v>3657</v>
      </c>
      <c r="O1511" s="45">
        <v>0.275</v>
      </c>
      <c r="P1511" s="44">
        <v>7.899823509141E12</v>
      </c>
      <c r="Q1511" s="44">
        <v>1.0</v>
      </c>
    </row>
    <row r="1512" ht="15.75" customHeight="1">
      <c r="A1512" s="35" t="s">
        <v>3890</v>
      </c>
      <c r="B1512" s="36">
        <v>40.16699788933634</v>
      </c>
      <c r="C1512" s="36">
        <f>'Lista de Preço 02_2022'!$B1512*0.9*0.9*0.9*0.9*0.9*0.97</f>
        <v>23.00666427</v>
      </c>
      <c r="D1512" s="36">
        <f>'Lista de Preço 02_2022'!$C1512*1.2307</f>
        <v>28.31430171</v>
      </c>
      <c r="E1512" s="37">
        <v>7.8</v>
      </c>
      <c r="F1512" s="38">
        <v>0.18</v>
      </c>
      <c r="G1512" s="38" t="s">
        <v>22</v>
      </c>
      <c r="H1512" s="68" t="s">
        <v>3766</v>
      </c>
      <c r="I1512" s="40" t="s">
        <v>3891</v>
      </c>
      <c r="J1512" s="41" t="s">
        <v>3655</v>
      </c>
      <c r="K1512" s="42" t="s">
        <v>3723</v>
      </c>
      <c r="L1512" s="43" t="s">
        <v>3892</v>
      </c>
      <c r="M1512" s="42">
        <v>8.482209E7</v>
      </c>
      <c r="N1512" s="44" t="s">
        <v>3657</v>
      </c>
      <c r="O1512" s="45">
        <v>0.343</v>
      </c>
      <c r="P1512" s="44">
        <v>7.899823508854E12</v>
      </c>
      <c r="Q1512" s="44">
        <v>1.0</v>
      </c>
    </row>
    <row r="1513" ht="15.75" customHeight="1">
      <c r="A1513" s="35" t="s">
        <v>3893</v>
      </c>
      <c r="B1513" s="36">
        <v>39.68970081253009</v>
      </c>
      <c r="C1513" s="36">
        <f>'Lista de Preço 02_2022'!$B1513*0.9*0.9*0.9*0.9*0.9*0.97</f>
        <v>22.73328029</v>
      </c>
      <c r="D1513" s="36">
        <f>'Lista de Preço 02_2022'!$C1513*1.2307</f>
        <v>27.97784805</v>
      </c>
      <c r="E1513" s="37">
        <v>7.8</v>
      </c>
      <c r="F1513" s="38">
        <v>0.18</v>
      </c>
      <c r="G1513" s="38" t="s">
        <v>22</v>
      </c>
      <c r="H1513" s="68" t="s">
        <v>3785</v>
      </c>
      <c r="I1513" s="40" t="s">
        <v>3894</v>
      </c>
      <c r="J1513" s="41" t="s">
        <v>3655</v>
      </c>
      <c r="K1513" s="42" t="s">
        <v>95</v>
      </c>
      <c r="L1513" s="43">
        <v>4330647.0</v>
      </c>
      <c r="M1513" s="42">
        <v>8.482209E7</v>
      </c>
      <c r="N1513" s="44" t="s">
        <v>3657</v>
      </c>
      <c r="O1513" s="45">
        <v>0.377</v>
      </c>
      <c r="P1513" s="44">
        <v>7.899823508878E12</v>
      </c>
      <c r="Q1513" s="44">
        <v>1.0</v>
      </c>
    </row>
    <row r="1514" ht="15.75" customHeight="1">
      <c r="A1514" s="35" t="s">
        <v>3895</v>
      </c>
      <c r="B1514" s="36">
        <v>49.791682214031134</v>
      </c>
      <c r="C1514" s="36">
        <f>'Lista de Preço 02_2022'!$B1514*0.9*0.9*0.9*0.9*0.9*0.97</f>
        <v>28.51944572</v>
      </c>
      <c r="D1514" s="36">
        <f>'Lista de Preço 02_2022'!$C1514*1.2307</f>
        <v>35.09888184</v>
      </c>
      <c r="E1514" s="37">
        <v>7.8</v>
      </c>
      <c r="F1514" s="38">
        <v>0.18</v>
      </c>
      <c r="G1514" s="38" t="s">
        <v>22</v>
      </c>
      <c r="H1514" s="68" t="s">
        <v>3766</v>
      </c>
      <c r="I1514" s="40" t="s">
        <v>3896</v>
      </c>
      <c r="J1514" s="41" t="s">
        <v>3655</v>
      </c>
      <c r="K1514" s="42" t="s">
        <v>95</v>
      </c>
      <c r="L1514" s="43"/>
      <c r="M1514" s="42">
        <v>8.482209E7</v>
      </c>
      <c r="N1514" s="44" t="s">
        <v>3657</v>
      </c>
      <c r="O1514" s="45">
        <v>0.558</v>
      </c>
      <c r="P1514" s="44">
        <v>7.899823508861E12</v>
      </c>
      <c r="Q1514" s="44">
        <v>1.0</v>
      </c>
    </row>
    <row r="1515" ht="15.75" customHeight="1">
      <c r="A1515" s="35" t="s">
        <v>3897</v>
      </c>
      <c r="B1515" s="36">
        <v>29.12450302329062</v>
      </c>
      <c r="C1515" s="36">
        <f>'Lista de Preço 02_2022'!$B1515*0.9*0.9*0.9*0.9*0.9*0.97</f>
        <v>16.68179596</v>
      </c>
      <c r="D1515" s="36">
        <f>'Lista de Preço 02_2022'!$C1515*1.2307</f>
        <v>20.53028628</v>
      </c>
      <c r="E1515" s="37">
        <v>7.8</v>
      </c>
      <c r="F1515" s="38">
        <v>0.18</v>
      </c>
      <c r="G1515" s="38" t="s">
        <v>22</v>
      </c>
      <c r="H1515" s="68" t="s">
        <v>3785</v>
      </c>
      <c r="I1515" s="40" t="s">
        <v>3898</v>
      </c>
      <c r="J1515" s="41" t="s">
        <v>3655</v>
      </c>
      <c r="K1515" s="42" t="s">
        <v>95</v>
      </c>
      <c r="L1515" s="43" t="s">
        <v>3899</v>
      </c>
      <c r="M1515" s="42">
        <v>8.482209E7</v>
      </c>
      <c r="N1515" s="44" t="s">
        <v>3657</v>
      </c>
      <c r="O1515" s="45">
        <v>0.29</v>
      </c>
      <c r="P1515" s="44">
        <v>7.899823509158E12</v>
      </c>
      <c r="Q1515" s="44">
        <v>1.0</v>
      </c>
    </row>
    <row r="1516" ht="15.75" customHeight="1">
      <c r="A1516" s="35" t="s">
        <v>3900</v>
      </c>
      <c r="B1516" s="36">
        <v>21.18544363905463</v>
      </c>
      <c r="C1516" s="36">
        <f>'Lista de Preço 02_2022'!$B1516*0.9*0.9*0.9*0.9*0.9*0.97</f>
        <v>12.13449884</v>
      </c>
      <c r="D1516" s="36">
        <f>'Lista de Preço 02_2022'!$C1516*1.2307</f>
        <v>14.93392772</v>
      </c>
      <c r="E1516" s="37">
        <v>7.8</v>
      </c>
      <c r="F1516" s="38">
        <v>0.18</v>
      </c>
      <c r="G1516" s="38" t="s">
        <v>22</v>
      </c>
      <c r="H1516" s="68" t="s">
        <v>3785</v>
      </c>
      <c r="I1516" s="40" t="s">
        <v>3901</v>
      </c>
      <c r="J1516" s="41" t="s">
        <v>3655</v>
      </c>
      <c r="K1516" s="42" t="s">
        <v>26</v>
      </c>
      <c r="L1516" s="43" t="s">
        <v>3902</v>
      </c>
      <c r="M1516" s="42">
        <v>8.482209E7</v>
      </c>
      <c r="N1516" s="44" t="s">
        <v>3657</v>
      </c>
      <c r="O1516" s="45">
        <v>0.115</v>
      </c>
      <c r="P1516" s="44">
        <v>7.899823507918E12</v>
      </c>
      <c r="Q1516" s="44">
        <v>1.0</v>
      </c>
    </row>
    <row r="1517" ht="15.75" customHeight="1">
      <c r="A1517" s="35" t="s">
        <v>3903</v>
      </c>
      <c r="B1517" s="36">
        <v>166.83206369066298</v>
      </c>
      <c r="C1517" s="36">
        <f>'Lista de Preço 02_2022'!$B1517*0.9*0.9*0.9*0.9*0.9*0.97</f>
        <v>95.55728533</v>
      </c>
      <c r="D1517" s="36">
        <f>'Lista de Preço 02_2022'!$C1517*1.2307</f>
        <v>117.6023511</v>
      </c>
      <c r="E1517" s="37">
        <v>7.8</v>
      </c>
      <c r="F1517" s="38">
        <v>0.18</v>
      </c>
      <c r="G1517" s="38" t="s">
        <v>22</v>
      </c>
      <c r="H1517" s="68" t="s">
        <v>3904</v>
      </c>
      <c r="I1517" s="40" t="s">
        <v>3905</v>
      </c>
      <c r="J1517" s="41" t="s">
        <v>3655</v>
      </c>
      <c r="K1517" s="42" t="s">
        <v>95</v>
      </c>
      <c r="L1517" s="43"/>
      <c r="M1517" s="42">
        <v>8.482209E7</v>
      </c>
      <c r="N1517" s="44" t="s">
        <v>3657</v>
      </c>
      <c r="O1517" s="45">
        <v>1.08</v>
      </c>
      <c r="P1517" s="44">
        <v>7.899823508106E12</v>
      </c>
      <c r="Q1517" s="44">
        <v>1.0</v>
      </c>
    </row>
    <row r="1518" ht="15.75" customHeight="1">
      <c r="A1518" s="35" t="s">
        <v>3906</v>
      </c>
      <c r="B1518" s="36">
        <v>74.14972212462365</v>
      </c>
      <c r="C1518" s="36">
        <f>'Lista de Preço 02_2022'!$B1518*0.9*0.9*0.9*0.9*0.9*0.97</f>
        <v>42.47112933</v>
      </c>
      <c r="D1518" s="36">
        <f>'Lista de Preço 02_2022'!$C1518*1.2307</f>
        <v>52.26921887</v>
      </c>
      <c r="E1518" s="37">
        <v>7.8</v>
      </c>
      <c r="F1518" s="38">
        <v>0.18</v>
      </c>
      <c r="G1518" s="38" t="s">
        <v>22</v>
      </c>
      <c r="H1518" s="68" t="s">
        <v>3785</v>
      </c>
      <c r="I1518" s="40" t="s">
        <v>3907</v>
      </c>
      <c r="J1518" s="41" t="s">
        <v>3655</v>
      </c>
      <c r="K1518" s="42" t="s">
        <v>625</v>
      </c>
      <c r="L1518" s="43"/>
      <c r="M1518" s="42">
        <v>8.482209E7</v>
      </c>
      <c r="N1518" s="44" t="s">
        <v>3657</v>
      </c>
      <c r="O1518" s="45">
        <v>0.489</v>
      </c>
      <c r="P1518" s="44">
        <v>7.899823509455E12</v>
      </c>
      <c r="Q1518" s="44">
        <v>1.0</v>
      </c>
    </row>
    <row r="1519" ht="15.75" customHeight="1">
      <c r="A1519" s="35" t="s">
        <v>3908</v>
      </c>
      <c r="B1519" s="36">
        <v>28.08873106525919</v>
      </c>
      <c r="C1519" s="36">
        <f>'Lista de Preço 02_2022'!$B1519*0.9*0.9*0.9*0.9*0.9*0.97</f>
        <v>16.08853136</v>
      </c>
      <c r="D1519" s="36">
        <f>'Lista de Preço 02_2022'!$C1519*1.2307</f>
        <v>19.80015555</v>
      </c>
      <c r="E1519" s="37">
        <v>7.8</v>
      </c>
      <c r="F1519" s="38">
        <v>0.18</v>
      </c>
      <c r="G1519" s="38" t="s">
        <v>22</v>
      </c>
      <c r="H1519" s="68" t="s">
        <v>3695</v>
      </c>
      <c r="I1519" s="40" t="s">
        <v>3909</v>
      </c>
      <c r="J1519" s="41" t="s">
        <v>3655</v>
      </c>
      <c r="K1519" s="42" t="s">
        <v>3723</v>
      </c>
      <c r="L1519" s="43" t="s">
        <v>3910</v>
      </c>
      <c r="M1519" s="42">
        <v>8.482209E7</v>
      </c>
      <c r="N1519" s="44" t="s">
        <v>3657</v>
      </c>
      <c r="O1519" s="45">
        <v>0.216</v>
      </c>
      <c r="P1519" s="44">
        <v>7.899823508496E12</v>
      </c>
      <c r="Q1519" s="44">
        <v>1.0</v>
      </c>
    </row>
    <row r="1520" ht="15.75" customHeight="1">
      <c r="A1520" s="50" t="s">
        <v>3911</v>
      </c>
      <c r="B1520" s="36">
        <v>89.1259</v>
      </c>
      <c r="C1520" s="51">
        <f>'Lista de Preço 02_2022'!$B1520*0.9*0.9*0.9*0.9*0.9*0.97</f>
        <v>51.04911411</v>
      </c>
      <c r="D1520" s="36">
        <f>'Lista de Preço 02_2022'!$C1520*1.2307</f>
        <v>62.82614474</v>
      </c>
      <c r="E1520" s="52">
        <v>7.8</v>
      </c>
      <c r="F1520" s="53">
        <v>0.18</v>
      </c>
      <c r="G1520" s="53" t="s">
        <v>22</v>
      </c>
      <c r="H1520" s="69" t="s">
        <v>3695</v>
      </c>
      <c r="I1520" s="55" t="s">
        <v>3912</v>
      </c>
      <c r="J1520" s="56" t="s">
        <v>3655</v>
      </c>
      <c r="K1520" s="57" t="s">
        <v>2162</v>
      </c>
      <c r="L1520" s="58" t="s">
        <v>3913</v>
      </c>
      <c r="M1520" s="57">
        <v>8.482101E7</v>
      </c>
      <c r="N1520" s="59" t="s">
        <v>3657</v>
      </c>
      <c r="O1520" s="60">
        <v>0.463</v>
      </c>
      <c r="P1520" s="59">
        <v>7.899823511557E12</v>
      </c>
      <c r="Q1520" s="59">
        <v>1.0</v>
      </c>
    </row>
    <row r="1521" ht="15.75" customHeight="1">
      <c r="A1521" s="35" t="s">
        <v>3914</v>
      </c>
      <c r="B1521" s="36">
        <v>161.9192628155111</v>
      </c>
      <c r="C1521" s="36">
        <f>'Lista de Preço 02_2022'!$B1521*0.9*0.9*0.9*0.9*0.9*0.97</f>
        <v>92.74335433</v>
      </c>
      <c r="D1521" s="36">
        <f>'Lista de Preço 02_2022'!$C1521*1.2307</f>
        <v>114.1392462</v>
      </c>
      <c r="E1521" s="37">
        <v>7.8</v>
      </c>
      <c r="F1521" s="38">
        <v>0.18</v>
      </c>
      <c r="G1521" s="38" t="s">
        <v>22</v>
      </c>
      <c r="H1521" s="68" t="s">
        <v>3750</v>
      </c>
      <c r="I1521" s="40" t="s">
        <v>3915</v>
      </c>
      <c r="J1521" s="41" t="s">
        <v>3655</v>
      </c>
      <c r="K1521" s="42" t="s">
        <v>26</v>
      </c>
      <c r="L1521" s="43">
        <v>9.036945003E9</v>
      </c>
      <c r="M1521" s="42">
        <v>8.482209E7</v>
      </c>
      <c r="N1521" s="44" t="s">
        <v>3657</v>
      </c>
      <c r="O1521" s="45">
        <v>1.004</v>
      </c>
      <c r="P1521" s="44">
        <v>7.89982350911E12</v>
      </c>
      <c r="Q1521" s="44">
        <v>1.0</v>
      </c>
    </row>
    <row r="1522" ht="15.75" customHeight="1">
      <c r="A1522" s="35" t="s">
        <v>3916</v>
      </c>
      <c r="B1522" s="36">
        <v>73.73291904630537</v>
      </c>
      <c r="C1522" s="36">
        <f>'Lista de Preço 02_2022'!$B1522*0.9*0.9*0.9*0.9*0.9*0.97</f>
        <v>42.23239483</v>
      </c>
      <c r="D1522" s="36">
        <f>'Lista de Preço 02_2022'!$C1522*1.2307</f>
        <v>51.97540831</v>
      </c>
      <c r="E1522" s="37">
        <v>7.8</v>
      </c>
      <c r="F1522" s="38">
        <v>0.18</v>
      </c>
      <c r="G1522" s="38" t="s">
        <v>22</v>
      </c>
      <c r="H1522" s="68" t="s">
        <v>3695</v>
      </c>
      <c r="I1522" s="40" t="s">
        <v>3917</v>
      </c>
      <c r="J1522" s="41" t="s">
        <v>3655</v>
      </c>
      <c r="K1522" s="42" t="s">
        <v>2153</v>
      </c>
      <c r="L1522" s="43" t="s">
        <v>3842</v>
      </c>
      <c r="M1522" s="42">
        <v>8.482101E7</v>
      </c>
      <c r="N1522" s="44" t="s">
        <v>3657</v>
      </c>
      <c r="O1522" s="45">
        <v>0.448</v>
      </c>
      <c r="P1522" s="44">
        <v>7.899823509097E12</v>
      </c>
      <c r="Q1522" s="44">
        <v>1.0</v>
      </c>
    </row>
    <row r="1523" ht="15.75" customHeight="1">
      <c r="A1523" s="35" t="s">
        <v>3918</v>
      </c>
      <c r="B1523" s="36">
        <v>70.22182766314795</v>
      </c>
      <c r="C1523" s="36">
        <f>'Lista de Preço 02_2022'!$B1523*0.9*0.9*0.9*0.9*0.9*0.97</f>
        <v>40.22132841</v>
      </c>
      <c r="D1523" s="36">
        <f>'Lista de Preço 02_2022'!$C1523*1.2307</f>
        <v>49.50038887</v>
      </c>
      <c r="E1523" s="37">
        <v>7.8</v>
      </c>
      <c r="F1523" s="38">
        <v>0.18</v>
      </c>
      <c r="G1523" s="38" t="s">
        <v>22</v>
      </c>
      <c r="H1523" s="68" t="s">
        <v>3695</v>
      </c>
      <c r="I1523" s="40" t="s">
        <v>3919</v>
      </c>
      <c r="J1523" s="41" t="s">
        <v>3655</v>
      </c>
      <c r="K1523" s="42" t="s">
        <v>3920</v>
      </c>
      <c r="L1523" s="43"/>
      <c r="M1523" s="42">
        <v>8.482101E7</v>
      </c>
      <c r="N1523" s="44" t="s">
        <v>3657</v>
      </c>
      <c r="O1523" s="45">
        <v>0.443</v>
      </c>
      <c r="P1523" s="44">
        <v>7.899823508243E12</v>
      </c>
      <c r="Q1523" s="44">
        <v>1.0</v>
      </c>
    </row>
    <row r="1524" ht="15.75" customHeight="1">
      <c r="A1524" s="35" t="s">
        <v>3921</v>
      </c>
      <c r="B1524" s="36">
        <v>73.73291904630537</v>
      </c>
      <c r="C1524" s="36">
        <f>'Lista de Preço 02_2022'!$B1524*0.9*0.9*0.9*0.9*0.9*0.97</f>
        <v>42.23239483</v>
      </c>
      <c r="D1524" s="36">
        <f>'Lista de Preço 02_2022'!$C1524*1.2307</f>
        <v>51.97540831</v>
      </c>
      <c r="E1524" s="37">
        <v>7.8</v>
      </c>
      <c r="F1524" s="38">
        <v>0.18</v>
      </c>
      <c r="G1524" s="38" t="s">
        <v>22</v>
      </c>
      <c r="H1524" s="68" t="s">
        <v>3704</v>
      </c>
      <c r="I1524" s="40" t="s">
        <v>3922</v>
      </c>
      <c r="J1524" s="41" t="s">
        <v>3655</v>
      </c>
      <c r="K1524" s="42" t="s">
        <v>73</v>
      </c>
      <c r="L1524" s="43">
        <v>1.91498625E8</v>
      </c>
      <c r="M1524" s="42">
        <v>8.482101E7</v>
      </c>
      <c r="N1524" s="44" t="s">
        <v>3657</v>
      </c>
      <c r="O1524" s="45">
        <v>0.49</v>
      </c>
      <c r="P1524" s="44">
        <v>7.899823508779E12</v>
      </c>
      <c r="Q1524" s="44">
        <v>1.0</v>
      </c>
    </row>
    <row r="1525" ht="15.75" customHeight="1">
      <c r="A1525" s="35" t="s">
        <v>3923</v>
      </c>
      <c r="B1525" s="36">
        <v>92.0383178109221</v>
      </c>
      <c r="C1525" s="36">
        <f>'Lista de Preço 02_2022'!$B1525*0.9*0.9*0.9*0.9*0.9*0.97</f>
        <v>52.7172751</v>
      </c>
      <c r="D1525" s="36">
        <f>'Lista de Preço 02_2022'!$C1525*1.2307</f>
        <v>64.87915046</v>
      </c>
      <c r="E1525" s="37">
        <v>7.8</v>
      </c>
      <c r="F1525" s="38">
        <v>0.18</v>
      </c>
      <c r="G1525" s="38" t="s">
        <v>22</v>
      </c>
      <c r="H1525" s="68" t="s">
        <v>3713</v>
      </c>
      <c r="I1525" s="40" t="s">
        <v>3924</v>
      </c>
      <c r="J1525" s="41" t="s">
        <v>3655</v>
      </c>
      <c r="K1525" s="42" t="s">
        <v>73</v>
      </c>
      <c r="L1525" s="43" t="s">
        <v>3925</v>
      </c>
      <c r="M1525" s="42">
        <v>8.482101E7</v>
      </c>
      <c r="N1525" s="44" t="s">
        <v>3657</v>
      </c>
      <c r="O1525" s="45">
        <v>0.514</v>
      </c>
      <c r="P1525" s="44">
        <v>7.899823508731E12</v>
      </c>
      <c r="Q1525" s="44">
        <v>1.0</v>
      </c>
    </row>
    <row r="1526" ht="15.75" customHeight="1">
      <c r="A1526" s="35" t="s">
        <v>3926</v>
      </c>
      <c r="B1526" s="36">
        <v>134.32329391255948</v>
      </c>
      <c r="C1526" s="36">
        <f>'Lista de Preço 02_2022'!$B1526*0.9*0.9*0.9*0.9*0.9*0.97</f>
        <v>76.93706497</v>
      </c>
      <c r="D1526" s="36">
        <f>'Lista de Preço 02_2022'!$C1526*1.2307</f>
        <v>94.68644586</v>
      </c>
      <c r="E1526" s="37">
        <v>7.8</v>
      </c>
      <c r="F1526" s="38">
        <v>0.18</v>
      </c>
      <c r="G1526" s="38" t="s">
        <v>22</v>
      </c>
      <c r="H1526" s="68" t="s">
        <v>3713</v>
      </c>
      <c r="I1526" s="40" t="s">
        <v>3927</v>
      </c>
      <c r="J1526" s="41" t="s">
        <v>3655</v>
      </c>
      <c r="K1526" s="42" t="s">
        <v>668</v>
      </c>
      <c r="L1526" s="43" t="s">
        <v>3928</v>
      </c>
      <c r="M1526" s="42">
        <v>8.482101E7</v>
      </c>
      <c r="N1526" s="44" t="s">
        <v>3657</v>
      </c>
      <c r="O1526" s="45">
        <v>0.46</v>
      </c>
      <c r="P1526" s="44">
        <v>7.899823508939E12</v>
      </c>
      <c r="Q1526" s="44">
        <v>1.0</v>
      </c>
    </row>
    <row r="1527" ht="15.75" customHeight="1">
      <c r="A1527" s="35" t="s">
        <v>3929</v>
      </c>
      <c r="B1527" s="36">
        <v>59.65446524781987</v>
      </c>
      <c r="C1527" s="36">
        <f>'Lista de Preço 02_2022'!$B1527*0.9*0.9*0.9*0.9*0.9*0.97</f>
        <v>34.16860423</v>
      </c>
      <c r="D1527" s="36">
        <f>'Lista de Preço 02_2022'!$C1527*1.2307</f>
        <v>42.05130122</v>
      </c>
      <c r="E1527" s="37">
        <v>7.8</v>
      </c>
      <c r="F1527" s="38">
        <v>0.18</v>
      </c>
      <c r="G1527" s="38" t="s">
        <v>22</v>
      </c>
      <c r="H1527" s="68" t="s">
        <v>3785</v>
      </c>
      <c r="I1527" s="40" t="s">
        <v>3930</v>
      </c>
      <c r="J1527" s="41" t="s">
        <v>3655</v>
      </c>
      <c r="K1527" s="42" t="s">
        <v>68</v>
      </c>
      <c r="L1527" s="43" t="s">
        <v>3931</v>
      </c>
      <c r="M1527" s="42">
        <v>8.482209E7</v>
      </c>
      <c r="N1527" s="44" t="s">
        <v>3657</v>
      </c>
      <c r="O1527" s="45">
        <v>0.508</v>
      </c>
      <c r="P1527" s="44">
        <v>7.899823508472E12</v>
      </c>
      <c r="Q1527" s="44">
        <v>1.0</v>
      </c>
    </row>
    <row r="1528" ht="15.75" customHeight="1">
      <c r="A1528" s="35" t="s">
        <v>3932</v>
      </c>
      <c r="B1528" s="36">
        <v>126.09057589856391</v>
      </c>
      <c r="C1528" s="36">
        <f>'Lista de Preço 02_2022'!$B1528*0.9*0.9*0.9*0.9*0.9*0.97</f>
        <v>72.22156744</v>
      </c>
      <c r="D1528" s="36">
        <f>'Lista de Preço 02_2022'!$C1528*1.2307</f>
        <v>88.88308305</v>
      </c>
      <c r="E1528" s="37">
        <v>7.8</v>
      </c>
      <c r="F1528" s="38">
        <v>0.18</v>
      </c>
      <c r="G1528" s="38" t="s">
        <v>22</v>
      </c>
      <c r="H1528" s="68" t="s">
        <v>3785</v>
      </c>
      <c r="I1528" s="40" t="s">
        <v>3933</v>
      </c>
      <c r="J1528" s="41" t="s">
        <v>3655</v>
      </c>
      <c r="K1528" s="42" t="s">
        <v>282</v>
      </c>
      <c r="L1528" s="43" t="s">
        <v>3934</v>
      </c>
      <c r="M1528" s="42">
        <v>8.482101E7</v>
      </c>
      <c r="N1528" s="44" t="s">
        <v>3657</v>
      </c>
      <c r="O1528" s="45">
        <v>0.483</v>
      </c>
      <c r="P1528" s="44">
        <v>7.899823508922E12</v>
      </c>
      <c r="Q1528" s="44">
        <v>1.0</v>
      </c>
    </row>
    <row r="1529" ht="15.75" customHeight="1">
      <c r="A1529" s="35" t="s">
        <v>3935</v>
      </c>
      <c r="B1529" s="36">
        <v>134.56801422616886</v>
      </c>
      <c r="C1529" s="36">
        <f>'Lista de Preço 02_2022'!$B1529*0.9*0.9*0.9*0.9*0.9*0.97</f>
        <v>77.07723472</v>
      </c>
      <c r="D1529" s="36">
        <f>'Lista de Preço 02_2022'!$C1529*1.2307</f>
        <v>94.85895277</v>
      </c>
      <c r="E1529" s="37">
        <v>7.8</v>
      </c>
      <c r="F1529" s="38">
        <v>0.18</v>
      </c>
      <c r="G1529" s="38" t="s">
        <v>22</v>
      </c>
      <c r="H1529" s="68" t="s">
        <v>3695</v>
      </c>
      <c r="I1529" s="40" t="s">
        <v>3936</v>
      </c>
      <c r="J1529" s="41" t="s">
        <v>3655</v>
      </c>
      <c r="K1529" s="42" t="s">
        <v>3937</v>
      </c>
      <c r="L1529" s="43" t="s">
        <v>3938</v>
      </c>
      <c r="M1529" s="42">
        <v>8.482101E7</v>
      </c>
      <c r="N1529" s="44" t="s">
        <v>3657</v>
      </c>
      <c r="O1529" s="45">
        <v>0.58</v>
      </c>
      <c r="P1529" s="44">
        <v>7.899823509219E12</v>
      </c>
      <c r="Q1529" s="44">
        <v>1.0</v>
      </c>
    </row>
    <row r="1530" ht="15.75" customHeight="1">
      <c r="A1530" s="35" t="s">
        <v>3939</v>
      </c>
      <c r="B1530" s="36">
        <v>115.86601564419412</v>
      </c>
      <c r="C1530" s="36">
        <f>'Lista de Preço 02_2022'!$B1530*0.9*0.9*0.9*0.9*0.9*0.97</f>
        <v>66.36519187</v>
      </c>
      <c r="D1530" s="36">
        <f>'Lista de Preço 02_2022'!$C1530*1.2307</f>
        <v>81.67564163</v>
      </c>
      <c r="E1530" s="37">
        <v>7.8</v>
      </c>
      <c r="F1530" s="38">
        <v>0.18</v>
      </c>
      <c r="G1530" s="38" t="s">
        <v>22</v>
      </c>
      <c r="H1530" s="68" t="s">
        <v>3713</v>
      </c>
      <c r="I1530" s="40" t="s">
        <v>3940</v>
      </c>
      <c r="J1530" s="41" t="s">
        <v>3655</v>
      </c>
      <c r="K1530" s="42" t="s">
        <v>1771</v>
      </c>
      <c r="L1530" s="43" t="s">
        <v>3941</v>
      </c>
      <c r="M1530" s="42">
        <v>8.482101E7</v>
      </c>
      <c r="N1530" s="44" t="s">
        <v>3657</v>
      </c>
      <c r="O1530" s="45">
        <v>0.551</v>
      </c>
      <c r="P1530" s="44">
        <v>7.899823508328E12</v>
      </c>
      <c r="Q1530" s="44">
        <v>1.0</v>
      </c>
    </row>
    <row r="1531" ht="15.75" customHeight="1">
      <c r="A1531" s="35" t="s">
        <v>3942</v>
      </c>
      <c r="B1531" s="36">
        <v>74.90044215186984</v>
      </c>
      <c r="C1531" s="36">
        <f>'Lista de Preço 02_2022'!$B1531*0.9*0.9*0.9*0.9*0.9*0.97</f>
        <v>42.90112322</v>
      </c>
      <c r="D1531" s="36">
        <f>'Lista de Preço 02_2022'!$C1531*1.2307</f>
        <v>52.79841235</v>
      </c>
      <c r="E1531" s="37">
        <v>7.8</v>
      </c>
      <c r="F1531" s="38">
        <v>0.18</v>
      </c>
      <c r="G1531" s="38" t="s">
        <v>22</v>
      </c>
      <c r="H1531" s="68" t="s">
        <v>3695</v>
      </c>
      <c r="I1531" s="40" t="s">
        <v>3943</v>
      </c>
      <c r="J1531" s="41" t="s">
        <v>3655</v>
      </c>
      <c r="K1531" s="42" t="s">
        <v>507</v>
      </c>
      <c r="L1531" s="43" t="s">
        <v>3944</v>
      </c>
      <c r="M1531" s="42">
        <v>8.482101E7</v>
      </c>
      <c r="N1531" s="44" t="s">
        <v>3657</v>
      </c>
      <c r="O1531" s="45">
        <v>0.56</v>
      </c>
      <c r="P1531" s="44">
        <v>7.899823508335E12</v>
      </c>
      <c r="Q1531" s="44">
        <v>1.0</v>
      </c>
    </row>
    <row r="1532" ht="15.75" customHeight="1">
      <c r="A1532" s="35" t="s">
        <v>3945</v>
      </c>
      <c r="B1532" s="36">
        <v>64.76770512620442</v>
      </c>
      <c r="C1532" s="36">
        <f>'Lista de Preço 02_2022'!$B1532*0.9*0.9*0.9*0.9*0.9*0.97</f>
        <v>37.09734173</v>
      </c>
      <c r="D1532" s="36">
        <f>'Lista de Preço 02_2022'!$C1532*1.2307</f>
        <v>45.65569847</v>
      </c>
      <c r="E1532" s="37">
        <v>7.8</v>
      </c>
      <c r="F1532" s="38">
        <v>0.18</v>
      </c>
      <c r="G1532" s="38" t="s">
        <v>22</v>
      </c>
      <c r="H1532" s="68" t="s">
        <v>3695</v>
      </c>
      <c r="I1532" s="40" t="s">
        <v>3946</v>
      </c>
      <c r="J1532" s="41" t="s">
        <v>3655</v>
      </c>
      <c r="K1532" s="42" t="s">
        <v>86</v>
      </c>
      <c r="L1532" s="43"/>
      <c r="M1532" s="42">
        <v>8.482101E7</v>
      </c>
      <c r="N1532" s="44" t="s">
        <v>3657</v>
      </c>
      <c r="O1532" s="45">
        <v>0.498</v>
      </c>
      <c r="P1532" s="44">
        <v>7.899823509714E12</v>
      </c>
      <c r="Q1532" s="44">
        <v>1.0</v>
      </c>
    </row>
    <row r="1533" ht="15.75" customHeight="1">
      <c r="A1533" s="35" t="s">
        <v>3947</v>
      </c>
      <c r="B1533" s="36">
        <v>84.79285690325116</v>
      </c>
      <c r="C1533" s="36">
        <f>'Lista de Preço 02_2022'!$B1533*0.9*0.9*0.9*0.9*0.9*0.97</f>
        <v>48.56725405</v>
      </c>
      <c r="D1533" s="36">
        <f>'Lista de Preço 02_2022'!$C1533*1.2307</f>
        <v>59.77171956</v>
      </c>
      <c r="E1533" s="37">
        <v>7.8</v>
      </c>
      <c r="F1533" s="38">
        <v>0.18</v>
      </c>
      <c r="G1533" s="38" t="s">
        <v>22</v>
      </c>
      <c r="H1533" s="68" t="s">
        <v>3695</v>
      </c>
      <c r="I1533" s="40" t="s">
        <v>3948</v>
      </c>
      <c r="J1533" s="41" t="s">
        <v>3655</v>
      </c>
      <c r="K1533" s="42" t="s">
        <v>86</v>
      </c>
      <c r="L1533" s="43"/>
      <c r="M1533" s="42">
        <v>8.482101E7</v>
      </c>
      <c r="N1533" s="44" t="s">
        <v>3657</v>
      </c>
      <c r="O1533" s="45">
        <v>0.565</v>
      </c>
      <c r="P1533" s="44">
        <v>7.899823508205E12</v>
      </c>
      <c r="Q1533" s="44">
        <v>1.0</v>
      </c>
    </row>
    <row r="1534" ht="15.75" customHeight="1">
      <c r="A1534" s="35" t="s">
        <v>3949</v>
      </c>
      <c r="B1534" s="36">
        <v>93.74273110371693</v>
      </c>
      <c r="C1534" s="36">
        <f>'Lista de Preço 02_2022'!$B1534*0.9*0.9*0.9*0.9*0.9*0.97</f>
        <v>53.69352093</v>
      </c>
      <c r="D1534" s="36">
        <f>'Lista de Preço 02_2022'!$C1534*1.2307</f>
        <v>66.08061621</v>
      </c>
      <c r="E1534" s="37">
        <v>7.8</v>
      </c>
      <c r="F1534" s="38">
        <v>0.18</v>
      </c>
      <c r="G1534" s="38" t="s">
        <v>22</v>
      </c>
      <c r="H1534" s="68" t="s">
        <v>3766</v>
      </c>
      <c r="I1534" s="40" t="s">
        <v>3950</v>
      </c>
      <c r="J1534" s="41" t="s">
        <v>3655</v>
      </c>
      <c r="K1534" s="42" t="s">
        <v>157</v>
      </c>
      <c r="L1534" s="43" t="s">
        <v>3951</v>
      </c>
      <c r="M1534" s="42">
        <v>8.482101E7</v>
      </c>
      <c r="N1534" s="44" t="s">
        <v>3657</v>
      </c>
      <c r="O1534" s="45">
        <v>0.67</v>
      </c>
      <c r="P1534" s="44">
        <v>7.899823508717E12</v>
      </c>
      <c r="Q1534" s="44">
        <v>1.0</v>
      </c>
    </row>
    <row r="1535" ht="15.75" customHeight="1">
      <c r="A1535" s="35" t="s">
        <v>3952</v>
      </c>
      <c r="B1535" s="36">
        <v>77.24401042946276</v>
      </c>
      <c r="C1535" s="36">
        <f>'Lista de Preço 02_2022'!$B1535*0.9*0.9*0.9*0.9*0.9*0.97</f>
        <v>44.24346125</v>
      </c>
      <c r="D1535" s="36">
        <f>'Lista de Preço 02_2022'!$C1535*1.2307</f>
        <v>54.45042776</v>
      </c>
      <c r="E1535" s="37">
        <v>7.8</v>
      </c>
      <c r="F1535" s="38">
        <v>0.18</v>
      </c>
      <c r="G1535" s="38" t="s">
        <v>22</v>
      </c>
      <c r="H1535" s="68" t="s">
        <v>3695</v>
      </c>
      <c r="I1535" s="40" t="s">
        <v>3953</v>
      </c>
      <c r="J1535" s="41" t="s">
        <v>3655</v>
      </c>
      <c r="K1535" s="42" t="s">
        <v>86</v>
      </c>
      <c r="L1535" s="43"/>
      <c r="M1535" s="42">
        <v>8.482101E7</v>
      </c>
      <c r="N1535" s="44" t="s">
        <v>3657</v>
      </c>
      <c r="O1535" s="45">
        <v>0.625</v>
      </c>
      <c r="P1535" s="44">
        <v>7.899823509059E12</v>
      </c>
      <c r="Q1535" s="44">
        <v>1.0</v>
      </c>
    </row>
    <row r="1536" ht="15.75" customHeight="1">
      <c r="A1536" s="35" t="s">
        <v>3954</v>
      </c>
      <c r="B1536" s="36">
        <v>186.08784330734213</v>
      </c>
      <c r="C1536" s="36">
        <f>'Lista de Preço 02_2022'!$B1536*0.9*0.9*0.9*0.9*0.9*0.97</f>
        <v>106.5865203</v>
      </c>
      <c r="D1536" s="36">
        <f>'Lista de Preço 02_2022'!$C1536*1.2307</f>
        <v>131.1760305</v>
      </c>
      <c r="E1536" s="37">
        <v>7.8</v>
      </c>
      <c r="F1536" s="38">
        <v>0.18</v>
      </c>
      <c r="G1536" s="38" t="s">
        <v>22</v>
      </c>
      <c r="H1536" s="68" t="s">
        <v>3785</v>
      </c>
      <c r="I1536" s="40" t="s">
        <v>3955</v>
      </c>
      <c r="J1536" s="41" t="s">
        <v>3655</v>
      </c>
      <c r="K1536" s="42" t="s">
        <v>294</v>
      </c>
      <c r="L1536" s="43"/>
      <c r="M1536" s="42">
        <v>8.482101E7</v>
      </c>
      <c r="N1536" s="44" t="s">
        <v>3657</v>
      </c>
      <c r="O1536" s="45">
        <v>0.917</v>
      </c>
      <c r="P1536" s="44">
        <v>7.899823509592E12</v>
      </c>
      <c r="Q1536" s="44">
        <v>1.0</v>
      </c>
    </row>
    <row r="1537" ht="15.75" customHeight="1">
      <c r="A1537" s="35" t="s">
        <v>3956</v>
      </c>
      <c r="B1537" s="36">
        <v>64.76770512620442</v>
      </c>
      <c r="C1537" s="36">
        <f>'Lista de Preço 02_2022'!$B1537*0.9*0.9*0.9*0.9*0.9*0.97</f>
        <v>37.09734173</v>
      </c>
      <c r="D1537" s="36">
        <f>'Lista de Preço 02_2022'!$C1537*1.2307</f>
        <v>45.65569847</v>
      </c>
      <c r="E1537" s="37">
        <v>7.8</v>
      </c>
      <c r="F1537" s="38">
        <v>0.18</v>
      </c>
      <c r="G1537" s="38" t="s">
        <v>22</v>
      </c>
      <c r="H1537" s="68" t="s">
        <v>3766</v>
      </c>
      <c r="I1537" s="40" t="s">
        <v>3957</v>
      </c>
      <c r="J1537" s="41" t="s">
        <v>3655</v>
      </c>
      <c r="K1537" s="42" t="s">
        <v>26</v>
      </c>
      <c r="L1537" s="43" t="s">
        <v>3958</v>
      </c>
      <c r="M1537" s="42">
        <v>8.482209E7</v>
      </c>
      <c r="N1537" s="44" t="s">
        <v>3657</v>
      </c>
      <c r="O1537" s="45">
        <v>0.572</v>
      </c>
      <c r="P1537" s="44">
        <v>7.899823508816E12</v>
      </c>
      <c r="Q1537" s="44">
        <v>1.0</v>
      </c>
    </row>
    <row r="1538" ht="15.75" customHeight="1">
      <c r="A1538" s="35" t="s">
        <v>3959</v>
      </c>
      <c r="B1538" s="36">
        <v>119.30893049563974</v>
      </c>
      <c r="C1538" s="36">
        <f>'Lista de Preço 02_2022'!$B1538*0.9*0.9*0.9*0.9*0.9*0.97</f>
        <v>68.33720846</v>
      </c>
      <c r="D1538" s="36">
        <f>'Lista de Preço 02_2022'!$C1538*1.2307</f>
        <v>84.10260245</v>
      </c>
      <c r="E1538" s="37">
        <v>7.8</v>
      </c>
      <c r="F1538" s="38">
        <v>0.18</v>
      </c>
      <c r="G1538" s="38" t="s">
        <v>22</v>
      </c>
      <c r="H1538" s="68" t="s">
        <v>3713</v>
      </c>
      <c r="I1538" s="40" t="s">
        <v>3960</v>
      </c>
      <c r="J1538" s="41" t="s">
        <v>3655</v>
      </c>
      <c r="K1538" s="42" t="s">
        <v>1934</v>
      </c>
      <c r="L1538" s="43" t="s">
        <v>3961</v>
      </c>
      <c r="M1538" s="42">
        <v>8.482101E7</v>
      </c>
      <c r="N1538" s="44" t="s">
        <v>3657</v>
      </c>
      <c r="O1538" s="45">
        <v>0.673</v>
      </c>
      <c r="P1538" s="44">
        <v>7.899823508786E12</v>
      </c>
      <c r="Q1538" s="44">
        <v>1.0</v>
      </c>
    </row>
    <row r="1539" ht="15.75" customHeight="1">
      <c r="A1539" s="35" t="s">
        <v>3962</v>
      </c>
      <c r="B1539" s="36">
        <v>99.36729496993998</v>
      </c>
      <c r="C1539" s="36">
        <f>'Lista de Preço 02_2022'!$B1539*0.9*0.9*0.9*0.9*0.9*0.97</f>
        <v>56.91513219</v>
      </c>
      <c r="D1539" s="36">
        <f>'Lista de Preço 02_2022'!$C1539*1.2307</f>
        <v>70.04545318</v>
      </c>
      <c r="E1539" s="37">
        <v>7.8</v>
      </c>
      <c r="F1539" s="38">
        <v>0.18</v>
      </c>
      <c r="G1539" s="38" t="s">
        <v>22</v>
      </c>
      <c r="H1539" s="68" t="s">
        <v>3695</v>
      </c>
      <c r="I1539" s="40" t="s">
        <v>3963</v>
      </c>
      <c r="J1539" s="41" t="s">
        <v>3655</v>
      </c>
      <c r="K1539" s="42" t="s">
        <v>668</v>
      </c>
      <c r="L1539" s="43" t="s">
        <v>3964</v>
      </c>
      <c r="M1539" s="42">
        <v>8.482101E7</v>
      </c>
      <c r="N1539" s="44" t="s">
        <v>3657</v>
      </c>
      <c r="O1539" s="45">
        <v>0.626</v>
      </c>
      <c r="P1539" s="44">
        <v>7.899823509325E12</v>
      </c>
      <c r="Q1539" s="44">
        <v>1.0</v>
      </c>
    </row>
    <row r="1540" ht="15.75" customHeight="1">
      <c r="A1540" s="35" t="s">
        <v>3965</v>
      </c>
      <c r="B1540" s="36">
        <v>96.55501303682844</v>
      </c>
      <c r="C1540" s="36">
        <f>'Lista de Preço 02_2022'!$B1540*0.9*0.9*0.9*0.9*0.9*0.97</f>
        <v>55.30432656</v>
      </c>
      <c r="D1540" s="36">
        <f>'Lista de Preço 02_2022'!$C1540*1.2307</f>
        <v>68.0630347</v>
      </c>
      <c r="E1540" s="37">
        <v>7.8</v>
      </c>
      <c r="F1540" s="38">
        <v>0.18</v>
      </c>
      <c r="G1540" s="38" t="s">
        <v>22</v>
      </c>
      <c r="H1540" s="68" t="s">
        <v>3785</v>
      </c>
      <c r="I1540" s="40" t="s">
        <v>3966</v>
      </c>
      <c r="J1540" s="41" t="s">
        <v>3655</v>
      </c>
      <c r="K1540" s="42" t="s">
        <v>68</v>
      </c>
      <c r="L1540" s="43">
        <v>9.463096E7</v>
      </c>
      <c r="M1540" s="42">
        <v>8.482209E7</v>
      </c>
      <c r="N1540" s="44" t="s">
        <v>3657</v>
      </c>
      <c r="O1540" s="45">
        <v>1.299</v>
      </c>
      <c r="P1540" s="44">
        <v>7.899823508809E12</v>
      </c>
      <c r="Q1540" s="44">
        <v>1.0</v>
      </c>
    </row>
    <row r="1541" ht="15.75" customHeight="1">
      <c r="A1541" s="35" t="s">
        <v>3967</v>
      </c>
      <c r="B1541" s="36">
        <v>136.35</v>
      </c>
      <c r="C1541" s="36">
        <f>'Lista de Preço 02_2022'!$B1541*0.9*0.9*0.9*0.9*0.9*0.97</f>
        <v>78.09791216</v>
      </c>
      <c r="D1541" s="36">
        <f>'Lista de Preço 02_2022'!$C1541*1.2307</f>
        <v>96.11510049</v>
      </c>
      <c r="E1541" s="37">
        <v>7.8</v>
      </c>
      <c r="F1541" s="38">
        <v>0.18</v>
      </c>
      <c r="G1541" s="38" t="s">
        <v>22</v>
      </c>
      <c r="H1541" s="68" t="s">
        <v>3713</v>
      </c>
      <c r="I1541" s="40" t="s">
        <v>3968</v>
      </c>
      <c r="J1541" s="41" t="s">
        <v>3655</v>
      </c>
      <c r="K1541" s="42" t="s">
        <v>95</v>
      </c>
      <c r="L1541" s="43" t="s">
        <v>3969</v>
      </c>
      <c r="M1541" s="42">
        <v>8.482101E7</v>
      </c>
      <c r="N1541" s="44" t="s">
        <v>3657</v>
      </c>
      <c r="O1541" s="45">
        <v>0.873</v>
      </c>
      <c r="P1541" s="44">
        <v>7.89982350953E12</v>
      </c>
      <c r="Q1541" s="44">
        <v>1.0</v>
      </c>
    </row>
    <row r="1542" ht="15.75" customHeight="1">
      <c r="A1542" s="35" t="s">
        <v>3970</v>
      </c>
      <c r="B1542" s="36">
        <v>152.99580702108364</v>
      </c>
      <c r="C1542" s="36">
        <f>'Lista de Preço 02_2022'!$B1542*0.9*0.9*0.9*0.9*0.9*0.97</f>
        <v>87.63221927</v>
      </c>
      <c r="D1542" s="36">
        <f>'Lista de Preço 02_2022'!$C1542*1.2307</f>
        <v>107.8489722</v>
      </c>
      <c r="E1542" s="37">
        <v>7.8</v>
      </c>
      <c r="F1542" s="38">
        <v>0.18</v>
      </c>
      <c r="G1542" s="38" t="s">
        <v>22</v>
      </c>
      <c r="H1542" s="68" t="s">
        <v>3794</v>
      </c>
      <c r="I1542" s="40" t="s">
        <v>3971</v>
      </c>
      <c r="J1542" s="41" t="s">
        <v>3655</v>
      </c>
      <c r="K1542" s="42" t="s">
        <v>153</v>
      </c>
      <c r="L1542" s="43">
        <v>7.701206742E9</v>
      </c>
      <c r="M1542" s="42">
        <v>8.482209E7</v>
      </c>
      <c r="N1542" s="44" t="s">
        <v>3657</v>
      </c>
      <c r="O1542" s="45">
        <v>0.995</v>
      </c>
      <c r="P1542" s="44">
        <v>7.899823508229E12</v>
      </c>
      <c r="Q1542" s="44">
        <v>1.0</v>
      </c>
    </row>
    <row r="1543" ht="15.75" customHeight="1">
      <c r="A1543" s="35" t="s">
        <v>3972</v>
      </c>
      <c r="B1543" s="36">
        <v>102.26479756769119</v>
      </c>
      <c r="C1543" s="36">
        <f>'Lista de Preço 02_2022'!$B1543*0.9*0.9*0.9*0.9*0.9*0.97</f>
        <v>58.57475011</v>
      </c>
      <c r="D1543" s="36">
        <f>'Lista de Preço 02_2022'!$C1543*1.2307</f>
        <v>72.08794496</v>
      </c>
      <c r="E1543" s="37">
        <v>7.8</v>
      </c>
      <c r="F1543" s="38">
        <v>0.18</v>
      </c>
      <c r="G1543" s="38" t="s">
        <v>22</v>
      </c>
      <c r="H1543" s="68" t="s">
        <v>3785</v>
      </c>
      <c r="I1543" s="40" t="s">
        <v>3973</v>
      </c>
      <c r="J1543" s="41" t="s">
        <v>3655</v>
      </c>
      <c r="K1543" s="42" t="s">
        <v>153</v>
      </c>
      <c r="L1543" s="43">
        <v>7.70120578E9</v>
      </c>
      <c r="M1543" s="42">
        <v>8.482101E7</v>
      </c>
      <c r="N1543" s="44" t="s">
        <v>3657</v>
      </c>
      <c r="O1543" s="45">
        <v>0.97</v>
      </c>
      <c r="P1543" s="44">
        <v>7.899823509417E12</v>
      </c>
      <c r="Q1543" s="44">
        <v>1.0</v>
      </c>
    </row>
    <row r="1544" ht="15.75" customHeight="1">
      <c r="A1544" s="35" t="s">
        <v>3974</v>
      </c>
      <c r="B1544" s="36">
        <v>132.94423683799857</v>
      </c>
      <c r="C1544" s="36">
        <f>'Lista de Preço 02_2022'!$B1544*0.9*0.9*0.9*0.9*0.9*0.97</f>
        <v>76.14717514</v>
      </c>
      <c r="D1544" s="36">
        <f>'Lista de Preço 02_2022'!$C1544*1.2307</f>
        <v>93.71432844</v>
      </c>
      <c r="E1544" s="37">
        <v>7.8</v>
      </c>
      <c r="F1544" s="38">
        <v>0.18</v>
      </c>
      <c r="G1544" s="38" t="s">
        <v>22</v>
      </c>
      <c r="H1544" s="68" t="s">
        <v>3713</v>
      </c>
      <c r="I1544" s="40" t="s">
        <v>3975</v>
      </c>
      <c r="J1544" s="41" t="s">
        <v>3655</v>
      </c>
      <c r="K1544" s="42" t="s">
        <v>282</v>
      </c>
      <c r="L1544" s="43" t="s">
        <v>3976</v>
      </c>
      <c r="M1544" s="42">
        <v>8.482101E7</v>
      </c>
      <c r="N1544" s="44" t="s">
        <v>3657</v>
      </c>
      <c r="O1544" s="45">
        <v>0.848</v>
      </c>
      <c r="P1544" s="44">
        <v>7.899823509523E12</v>
      </c>
      <c r="Q1544" s="44">
        <v>1.0</v>
      </c>
    </row>
    <row r="1545" ht="15.75" customHeight="1">
      <c r="A1545" s="35" t="s">
        <v>3977</v>
      </c>
      <c r="B1545" s="36">
        <v>57.72480546728621</v>
      </c>
      <c r="C1545" s="36">
        <f>'Lista de Preço 02_2022'!$B1545*0.9*0.9*0.9*0.9*0.9*0.97</f>
        <v>33.06334277</v>
      </c>
      <c r="D1545" s="36">
        <f>'Lista de Preço 02_2022'!$C1545*1.2307</f>
        <v>40.69105595</v>
      </c>
      <c r="E1545" s="37">
        <v>7.8</v>
      </c>
      <c r="F1545" s="38">
        <v>0.18</v>
      </c>
      <c r="G1545" s="38" t="s">
        <v>22</v>
      </c>
      <c r="H1545" s="68" t="s">
        <v>3785</v>
      </c>
      <c r="I1545" s="40" t="s">
        <v>3978</v>
      </c>
      <c r="J1545" s="41" t="s">
        <v>3655</v>
      </c>
      <c r="K1545" s="42" t="s">
        <v>456</v>
      </c>
      <c r="L1545" s="43" t="s">
        <v>3979</v>
      </c>
      <c r="M1545" s="42">
        <v>8.482101E7</v>
      </c>
      <c r="N1545" s="44" t="s">
        <v>3657</v>
      </c>
      <c r="O1545" s="45">
        <v>0.325</v>
      </c>
      <c r="P1545" s="44">
        <v>7.899823507772E12</v>
      </c>
      <c r="Q1545" s="44">
        <v>1.0</v>
      </c>
    </row>
    <row r="1546" ht="15.75" customHeight="1">
      <c r="A1546" s="35" t="s">
        <v>3980</v>
      </c>
      <c r="B1546" s="36">
        <v>69.31409351271161</v>
      </c>
      <c r="C1546" s="36">
        <f>'Lista de Preço 02_2022'!$B1546*0.9*0.9*0.9*0.9*0.9*0.97</f>
        <v>39.70140071</v>
      </c>
      <c r="D1546" s="36">
        <f>'Lista de Preço 02_2022'!$C1546*1.2307</f>
        <v>48.86051385</v>
      </c>
      <c r="E1546" s="37">
        <v>7.8</v>
      </c>
      <c r="F1546" s="38">
        <v>0.18</v>
      </c>
      <c r="G1546" s="38" t="s">
        <v>22</v>
      </c>
      <c r="H1546" s="68" t="s">
        <v>3794</v>
      </c>
      <c r="I1546" s="40" t="s">
        <v>3981</v>
      </c>
      <c r="J1546" s="41" t="s">
        <v>3655</v>
      </c>
      <c r="K1546" s="42" t="s">
        <v>153</v>
      </c>
      <c r="L1546" s="43" t="s">
        <v>3982</v>
      </c>
      <c r="M1546" s="42">
        <v>8.482209E7</v>
      </c>
      <c r="N1546" s="44" t="s">
        <v>3657</v>
      </c>
      <c r="O1546" s="45">
        <v>0.37</v>
      </c>
      <c r="P1546" s="44">
        <v>7.899823507765E12</v>
      </c>
      <c r="Q1546" s="44">
        <v>1.0</v>
      </c>
    </row>
    <row r="1547" ht="15.75" customHeight="1">
      <c r="A1547" s="35" t="s">
        <v>3983</v>
      </c>
      <c r="B1547" s="36">
        <v>107.00050990172171</v>
      </c>
      <c r="C1547" s="36">
        <f>'Lista de Preço 02_2022'!$B1547*0.9*0.9*0.9*0.9*0.9*0.97</f>
        <v>61.28724916</v>
      </c>
      <c r="D1547" s="36">
        <f>'Lista de Preço 02_2022'!$C1547*1.2307</f>
        <v>75.42621754</v>
      </c>
      <c r="E1547" s="37">
        <v>7.8</v>
      </c>
      <c r="F1547" s="38">
        <v>0.18</v>
      </c>
      <c r="G1547" s="38" t="s">
        <v>22</v>
      </c>
      <c r="H1547" s="68" t="s">
        <v>3695</v>
      </c>
      <c r="I1547" s="40" t="s">
        <v>3984</v>
      </c>
      <c r="J1547" s="41" t="s">
        <v>3655</v>
      </c>
      <c r="K1547" s="42" t="s">
        <v>625</v>
      </c>
      <c r="L1547" s="43" t="s">
        <v>3985</v>
      </c>
      <c r="M1547" s="42">
        <v>8.482101E7</v>
      </c>
      <c r="N1547" s="44" t="s">
        <v>3657</v>
      </c>
      <c r="O1547" s="45">
        <v>0.772</v>
      </c>
      <c r="P1547" s="44">
        <v>7.899823508359E12</v>
      </c>
      <c r="Q1547" s="44">
        <v>1.0</v>
      </c>
    </row>
    <row r="1548" ht="15.75" customHeight="1">
      <c r="A1548" s="35" t="s">
        <v>3986</v>
      </c>
      <c r="B1548" s="36">
        <v>83.78617213958543</v>
      </c>
      <c r="C1548" s="36">
        <f>'Lista de Preço 02_2022'!$B1548*0.9*0.9*0.9*0.9*0.9*0.97</f>
        <v>47.99064988</v>
      </c>
      <c r="D1548" s="36">
        <f>'Lista de Preço 02_2022'!$C1548*1.2307</f>
        <v>59.06209281</v>
      </c>
      <c r="E1548" s="37">
        <v>7.8</v>
      </c>
      <c r="F1548" s="38">
        <v>0.18</v>
      </c>
      <c r="G1548" s="38" t="s">
        <v>22</v>
      </c>
      <c r="H1548" s="68" t="s">
        <v>3987</v>
      </c>
      <c r="I1548" s="40" t="s">
        <v>3988</v>
      </c>
      <c r="J1548" s="41" t="s">
        <v>3655</v>
      </c>
      <c r="K1548" s="42" t="s">
        <v>68</v>
      </c>
      <c r="L1548" s="43"/>
      <c r="M1548" s="42">
        <v>8.482101E7</v>
      </c>
      <c r="N1548" s="44" t="s">
        <v>3657</v>
      </c>
      <c r="O1548" s="45">
        <v>0.364</v>
      </c>
      <c r="P1548" s="44">
        <v>7.899823507741E12</v>
      </c>
      <c r="Q1548" s="44">
        <v>1.0</v>
      </c>
    </row>
    <row r="1549" ht="15.75" customHeight="1">
      <c r="A1549" s="50" t="s">
        <v>3989</v>
      </c>
      <c r="B1549" s="36">
        <v>98.43</v>
      </c>
      <c r="C1549" s="51">
        <f>'Lista de Preço 02_2022'!$B1549*0.9*0.9*0.9*0.9*0.9*0.97</f>
        <v>56.37827278</v>
      </c>
      <c r="D1549" s="36">
        <f>'Lista de Preço 02_2022'!$C1549*1.2307</f>
        <v>69.38474031</v>
      </c>
      <c r="E1549" s="52">
        <v>7.8</v>
      </c>
      <c r="F1549" s="53">
        <v>0.18</v>
      </c>
      <c r="G1549" s="53" t="s">
        <v>22</v>
      </c>
      <c r="H1549" s="69" t="s">
        <v>3785</v>
      </c>
      <c r="I1549" s="55" t="s">
        <v>3990</v>
      </c>
      <c r="J1549" s="56" t="s">
        <v>3655</v>
      </c>
      <c r="K1549" s="57" t="s">
        <v>68</v>
      </c>
      <c r="L1549" s="58"/>
      <c r="M1549" s="57">
        <v>8.482101E7</v>
      </c>
      <c r="N1549" s="59" t="s">
        <v>3657</v>
      </c>
      <c r="O1549" s="60">
        <v>0.45</v>
      </c>
      <c r="P1549" s="59">
        <v>7.899823511335E12</v>
      </c>
      <c r="Q1549" s="59">
        <v>1.0</v>
      </c>
    </row>
    <row r="1550" ht="15.75" customHeight="1">
      <c r="A1550" s="35" t="s">
        <v>3991</v>
      </c>
      <c r="B1550" s="36">
        <v>130.58605282374418</v>
      </c>
      <c r="C1550" s="36">
        <f>'Lista de Preço 02_2022'!$B1550*0.9*0.9*0.9*0.9*0.9*0.97</f>
        <v>74.79646558</v>
      </c>
      <c r="D1550" s="36">
        <f>'Lista de Preço 02_2022'!$C1550*1.2307</f>
        <v>92.05201019</v>
      </c>
      <c r="E1550" s="37">
        <v>7.8</v>
      </c>
      <c r="F1550" s="38">
        <v>0.18</v>
      </c>
      <c r="G1550" s="38" t="s">
        <v>22</v>
      </c>
      <c r="H1550" s="68" t="s">
        <v>3785</v>
      </c>
      <c r="I1550" s="40" t="s">
        <v>3992</v>
      </c>
      <c r="J1550" s="41" t="s">
        <v>3655</v>
      </c>
      <c r="K1550" s="42" t="s">
        <v>282</v>
      </c>
      <c r="L1550" s="43"/>
      <c r="M1550" s="42">
        <v>8.482101E7</v>
      </c>
      <c r="N1550" s="44" t="s">
        <v>3657</v>
      </c>
      <c r="O1550" s="45">
        <v>0.602</v>
      </c>
      <c r="P1550" s="44">
        <v>7.899823509349E12</v>
      </c>
      <c r="Q1550" s="44">
        <v>1.0</v>
      </c>
    </row>
    <row r="1551" ht="15.75" customHeight="1">
      <c r="A1551" s="35" t="s">
        <v>3993</v>
      </c>
      <c r="B1551" s="36">
        <v>93.04392165367106</v>
      </c>
      <c r="C1551" s="36">
        <f>'Lista de Preço 02_2022'!$B1551*0.9*0.9*0.9*0.9*0.9*0.97</f>
        <v>53.29326014</v>
      </c>
      <c r="D1551" s="36">
        <f>'Lista de Preço 02_2022'!$C1551*1.2307</f>
        <v>65.58801525</v>
      </c>
      <c r="E1551" s="37">
        <v>7.8</v>
      </c>
      <c r="F1551" s="38">
        <v>0.18</v>
      </c>
      <c r="G1551" s="38" t="s">
        <v>22</v>
      </c>
      <c r="H1551" s="68" t="s">
        <v>3794</v>
      </c>
      <c r="I1551" s="40" t="s">
        <v>3994</v>
      </c>
      <c r="J1551" s="41" t="s">
        <v>3655</v>
      </c>
      <c r="K1551" s="42" t="s">
        <v>153</v>
      </c>
      <c r="L1551" s="43">
        <v>7.701206328E9</v>
      </c>
      <c r="M1551" s="42">
        <v>8.482101E7</v>
      </c>
      <c r="N1551" s="44" t="s">
        <v>3657</v>
      </c>
      <c r="O1551" s="45">
        <v>0.767</v>
      </c>
      <c r="P1551" s="44">
        <v>7.899823509332E12</v>
      </c>
      <c r="Q1551" s="44">
        <v>1.0</v>
      </c>
    </row>
    <row r="1552" ht="15.75" customHeight="1">
      <c r="A1552" s="35" t="s">
        <v>3995</v>
      </c>
      <c r="B1552" s="36">
        <v>110.34306889848754</v>
      </c>
      <c r="C1552" s="36">
        <f>'Lista de Preço 02_2022'!$B1552*0.9*0.9*0.9*0.9*0.9*0.97</f>
        <v>63.20178439</v>
      </c>
      <c r="D1552" s="36">
        <f>'Lista de Preço 02_2022'!$C1552*1.2307</f>
        <v>77.78243605</v>
      </c>
      <c r="E1552" s="37">
        <v>7.8</v>
      </c>
      <c r="F1552" s="38">
        <v>0.18</v>
      </c>
      <c r="G1552" s="38" t="s">
        <v>22</v>
      </c>
      <c r="H1552" s="68" t="s">
        <v>3695</v>
      </c>
      <c r="I1552" s="40" t="s">
        <v>3996</v>
      </c>
      <c r="J1552" s="41" t="s">
        <v>3655</v>
      </c>
      <c r="K1552" s="42" t="s">
        <v>86</v>
      </c>
      <c r="L1552" s="43" t="s">
        <v>3997</v>
      </c>
      <c r="M1552" s="42">
        <v>8.482101E7</v>
      </c>
      <c r="N1552" s="44" t="s">
        <v>3657</v>
      </c>
      <c r="O1552" s="45">
        <v>0.684</v>
      </c>
      <c r="P1552" s="44">
        <v>7.899823508045E12</v>
      </c>
      <c r="Q1552" s="44">
        <v>1.0</v>
      </c>
    </row>
    <row r="1553" ht="15.75" customHeight="1">
      <c r="A1553" s="35" t="s">
        <v>3998</v>
      </c>
      <c r="B1553" s="36">
        <v>93.060965786599</v>
      </c>
      <c r="C1553" s="36">
        <f>'Lista de Preço 02_2022'!$B1553*0.9*0.9*0.9*0.9*0.9*0.97</f>
        <v>53.3030226</v>
      </c>
      <c r="D1553" s="36">
        <f>'Lista de Preço 02_2022'!$C1553*1.2307</f>
        <v>65.60002991</v>
      </c>
      <c r="E1553" s="37">
        <v>7.8</v>
      </c>
      <c r="F1553" s="38">
        <v>0.18</v>
      </c>
      <c r="G1553" s="38" t="s">
        <v>22</v>
      </c>
      <c r="H1553" s="68" t="s">
        <v>3695</v>
      </c>
      <c r="I1553" s="40" t="s">
        <v>3999</v>
      </c>
      <c r="J1553" s="41" t="s">
        <v>3655</v>
      </c>
      <c r="K1553" s="42" t="s">
        <v>282</v>
      </c>
      <c r="L1553" s="43" t="s">
        <v>4000</v>
      </c>
      <c r="M1553" s="42">
        <v>8.482101E7</v>
      </c>
      <c r="N1553" s="44" t="s">
        <v>3657</v>
      </c>
      <c r="O1553" s="45">
        <v>0.624</v>
      </c>
      <c r="P1553" s="44">
        <v>7.899823509363E12</v>
      </c>
      <c r="Q1553" s="44">
        <v>1.0</v>
      </c>
    </row>
    <row r="1554" ht="15.75" customHeight="1">
      <c r="A1554" s="35" t="s">
        <v>4001</v>
      </c>
      <c r="B1554" s="36">
        <v>87.77728457893494</v>
      </c>
      <c r="C1554" s="36">
        <f>'Lista de Preço 02_2022'!$B1554*0.9*0.9*0.9*0.9*0.9*0.97</f>
        <v>50.27666051</v>
      </c>
      <c r="D1554" s="36">
        <f>'Lista de Preço 02_2022'!$C1554*1.2307</f>
        <v>61.87548609</v>
      </c>
      <c r="E1554" s="37">
        <v>7.8</v>
      </c>
      <c r="F1554" s="38">
        <v>0.18</v>
      </c>
      <c r="G1554" s="38" t="s">
        <v>22</v>
      </c>
      <c r="H1554" s="68" t="s">
        <v>3695</v>
      </c>
      <c r="I1554" s="40" t="s">
        <v>4002</v>
      </c>
      <c r="J1554" s="41" t="s">
        <v>3655</v>
      </c>
      <c r="K1554" s="42" t="s">
        <v>26</v>
      </c>
      <c r="L1554" s="43" t="s">
        <v>4003</v>
      </c>
      <c r="M1554" s="42">
        <v>8.482101E7</v>
      </c>
      <c r="N1554" s="44" t="s">
        <v>3657</v>
      </c>
      <c r="O1554" s="45">
        <v>0.655</v>
      </c>
      <c r="P1554" s="44">
        <v>7.899823509394E12</v>
      </c>
      <c r="Q1554" s="44">
        <v>1.0</v>
      </c>
    </row>
    <row r="1555" ht="15.75" customHeight="1">
      <c r="A1555" s="35" t="s">
        <v>4004</v>
      </c>
      <c r="B1555" s="36">
        <v>109.08245073887063</v>
      </c>
      <c r="C1555" s="36">
        <f>'Lista de Preço 02_2022'!$B1555*0.9*0.9*0.9*0.9*0.9*0.97</f>
        <v>62.47973345</v>
      </c>
      <c r="D1555" s="36">
        <f>'Lista de Preço 02_2022'!$C1555*1.2307</f>
        <v>76.89380795</v>
      </c>
      <c r="E1555" s="37">
        <v>7.8</v>
      </c>
      <c r="F1555" s="38">
        <v>0.18</v>
      </c>
      <c r="G1555" s="38" t="s">
        <v>22</v>
      </c>
      <c r="H1555" s="68" t="s">
        <v>3695</v>
      </c>
      <c r="I1555" s="40" t="s">
        <v>4005</v>
      </c>
      <c r="J1555" s="41" t="s">
        <v>3655</v>
      </c>
      <c r="K1555" s="42" t="s">
        <v>1904</v>
      </c>
      <c r="L1555" s="43" t="s">
        <v>4006</v>
      </c>
      <c r="M1555" s="42">
        <v>8.482101E7</v>
      </c>
      <c r="N1555" s="44" t="s">
        <v>3657</v>
      </c>
      <c r="O1555" s="45">
        <v>0.6</v>
      </c>
      <c r="P1555" s="44">
        <v>7.899823509646E12</v>
      </c>
      <c r="Q1555" s="44">
        <v>1.0</v>
      </c>
    </row>
    <row r="1556" ht="15.75" customHeight="1">
      <c r="A1556" s="35" t="s">
        <v>4007</v>
      </c>
      <c r="B1556" s="36">
        <v>121.65931642640385</v>
      </c>
      <c r="C1556" s="36">
        <f>'Lista de Preço 02_2022'!$B1556*0.9*0.9*0.9*0.9*0.9*0.97</f>
        <v>69.68345146</v>
      </c>
      <c r="D1556" s="36">
        <f>'Lista de Preço 02_2022'!$C1556*1.2307</f>
        <v>85.75942372</v>
      </c>
      <c r="E1556" s="37">
        <v>7.8</v>
      </c>
      <c r="F1556" s="38">
        <v>0.18</v>
      </c>
      <c r="G1556" s="38" t="s">
        <v>22</v>
      </c>
      <c r="H1556" s="68" t="s">
        <v>3713</v>
      </c>
      <c r="I1556" s="40" t="s">
        <v>4008</v>
      </c>
      <c r="J1556" s="41" t="s">
        <v>3655</v>
      </c>
      <c r="K1556" s="42" t="s">
        <v>68</v>
      </c>
      <c r="L1556" s="43">
        <v>1.3500488E7</v>
      </c>
      <c r="M1556" s="42">
        <v>8.482101E7</v>
      </c>
      <c r="N1556" s="44" t="s">
        <v>3657</v>
      </c>
      <c r="O1556" s="45">
        <v>0.79</v>
      </c>
      <c r="P1556" s="44">
        <v>7.899823508175E12</v>
      </c>
      <c r="Q1556" s="44">
        <v>1.0</v>
      </c>
    </row>
    <row r="1557" ht="15.75" customHeight="1">
      <c r="A1557" s="35" t="s">
        <v>4009</v>
      </c>
      <c r="B1557" s="36">
        <v>158.26276959699473</v>
      </c>
      <c r="C1557" s="36">
        <f>'Lista de Preço 02_2022'!$B1557*0.9*0.9*0.9*0.9*0.9*0.97</f>
        <v>90.64900533</v>
      </c>
      <c r="D1557" s="36">
        <f>'Lista de Preço 02_2022'!$C1557*1.2307</f>
        <v>111.5617309</v>
      </c>
      <c r="E1557" s="37">
        <v>7.8</v>
      </c>
      <c r="F1557" s="38">
        <v>0.18</v>
      </c>
      <c r="G1557" s="38" t="s">
        <v>22</v>
      </c>
      <c r="H1557" s="68" t="s">
        <v>3794</v>
      </c>
      <c r="I1557" s="40" t="s">
        <v>4010</v>
      </c>
      <c r="J1557" s="41" t="s">
        <v>3655</v>
      </c>
      <c r="K1557" s="42" t="s">
        <v>95</v>
      </c>
      <c r="L1557" s="43" t="s">
        <v>4011</v>
      </c>
      <c r="M1557" s="42">
        <v>8.482209E7</v>
      </c>
      <c r="N1557" s="44" t="s">
        <v>3657</v>
      </c>
      <c r="O1557" s="45">
        <v>1.064</v>
      </c>
      <c r="P1557" s="44">
        <v>7.899823508182E12</v>
      </c>
      <c r="Q1557" s="44">
        <v>1.0</v>
      </c>
    </row>
    <row r="1558" ht="15.75" customHeight="1">
      <c r="A1558" s="35" t="s">
        <v>4012</v>
      </c>
      <c r="B1558" s="36">
        <v>136.92946780322882</v>
      </c>
      <c r="C1558" s="36">
        <f>'Lista de Preço 02_2022'!$B1558*0.9*0.9*0.9*0.9*0.9*0.97</f>
        <v>78.429817</v>
      </c>
      <c r="D1558" s="36">
        <f>'Lista de Preço 02_2022'!$C1558*1.2307</f>
        <v>96.52357578</v>
      </c>
      <c r="E1558" s="37">
        <v>7.8</v>
      </c>
      <c r="F1558" s="38">
        <v>0.18</v>
      </c>
      <c r="G1558" s="38" t="s">
        <v>22</v>
      </c>
      <c r="H1558" s="68" t="s">
        <v>3785</v>
      </c>
      <c r="I1558" s="40" t="s">
        <v>4013</v>
      </c>
      <c r="J1558" s="41" t="s">
        <v>3655</v>
      </c>
      <c r="K1558" s="42" t="s">
        <v>282</v>
      </c>
      <c r="L1558" s="43" t="s">
        <v>4014</v>
      </c>
      <c r="M1558" s="42">
        <v>8.482101E7</v>
      </c>
      <c r="N1558" s="44" t="s">
        <v>3657</v>
      </c>
      <c r="O1558" s="45">
        <v>0.935</v>
      </c>
      <c r="P1558" s="44">
        <v>7.89982350937E12</v>
      </c>
      <c r="Q1558" s="44">
        <v>1.0</v>
      </c>
    </row>
    <row r="1559" ht="15.75" customHeight="1">
      <c r="A1559" s="35" t="s">
        <v>4015</v>
      </c>
      <c r="B1559" s="36">
        <v>105.06940964098514</v>
      </c>
      <c r="C1559" s="36">
        <f>'Lista de Preço 02_2022'!$B1559*0.9*0.9*0.9*0.9*0.9*0.97</f>
        <v>60.18116263</v>
      </c>
      <c r="D1559" s="36">
        <f>'Lista de Preço 02_2022'!$C1559*1.2307</f>
        <v>74.06495685</v>
      </c>
      <c r="E1559" s="37">
        <v>7.8</v>
      </c>
      <c r="F1559" s="38">
        <v>0.18</v>
      </c>
      <c r="G1559" s="38" t="s">
        <v>22</v>
      </c>
      <c r="H1559" s="68" t="s">
        <v>3794</v>
      </c>
      <c r="I1559" s="40" t="s">
        <v>4016</v>
      </c>
      <c r="J1559" s="41" t="s">
        <v>3655</v>
      </c>
      <c r="K1559" s="42" t="s">
        <v>153</v>
      </c>
      <c r="L1559" s="43">
        <v>7.701208058E9</v>
      </c>
      <c r="M1559" s="42">
        <v>8.482209E7</v>
      </c>
      <c r="N1559" s="44" t="s">
        <v>3657</v>
      </c>
      <c r="O1559" s="45">
        <v>0.527</v>
      </c>
      <c r="P1559" s="44">
        <v>7.899823509066E12</v>
      </c>
      <c r="Q1559" s="44">
        <v>1.0</v>
      </c>
    </row>
    <row r="1560" ht="15.75" customHeight="1">
      <c r="A1560" s="35" t="s">
        <v>4017</v>
      </c>
      <c r="B1560" s="36">
        <v>140.7849334087388</v>
      </c>
      <c r="C1560" s="36">
        <f>'Lista de Preço 02_2022'!$B1560*0.9*0.9*0.9*0.9*0.9*0.97</f>
        <v>80.63813247</v>
      </c>
      <c r="D1560" s="36">
        <f>'Lista de Preço 02_2022'!$C1560*1.2307</f>
        <v>99.24134963</v>
      </c>
      <c r="E1560" s="37">
        <v>7.8</v>
      </c>
      <c r="F1560" s="38">
        <v>0.18</v>
      </c>
      <c r="G1560" s="38" t="s">
        <v>22</v>
      </c>
      <c r="H1560" s="68" t="s">
        <v>4018</v>
      </c>
      <c r="I1560" s="40" t="s">
        <v>4019</v>
      </c>
      <c r="J1560" s="41" t="s">
        <v>3655</v>
      </c>
      <c r="K1560" s="42" t="s">
        <v>153</v>
      </c>
      <c r="L1560" s="43" t="s">
        <v>4020</v>
      </c>
      <c r="M1560" s="42">
        <v>8.482101E7</v>
      </c>
      <c r="N1560" s="44" t="s">
        <v>3657</v>
      </c>
      <c r="O1560" s="45">
        <v>0.704</v>
      </c>
      <c r="P1560" s="44">
        <v>7.89982350812E12</v>
      </c>
      <c r="Q1560" s="44">
        <v>1.0</v>
      </c>
    </row>
    <row r="1561" ht="15.75" customHeight="1">
      <c r="A1561" s="35" t="s">
        <v>4021</v>
      </c>
      <c r="B1561" s="36">
        <v>82.51064750419886</v>
      </c>
      <c r="C1561" s="36">
        <f>'Lista de Preço 02_2022'!$B1561*0.9*0.9*0.9*0.9*0.9*0.97</f>
        <v>47.26006088</v>
      </c>
      <c r="D1561" s="36">
        <f>'Lista de Preço 02_2022'!$C1561*1.2307</f>
        <v>58.16295692</v>
      </c>
      <c r="E1561" s="37">
        <v>7.8</v>
      </c>
      <c r="F1561" s="38">
        <v>0.18</v>
      </c>
      <c r="G1561" s="38" t="s">
        <v>22</v>
      </c>
      <c r="H1561" s="68" t="s">
        <v>3785</v>
      </c>
      <c r="I1561" s="40" t="s">
        <v>4022</v>
      </c>
      <c r="J1561" s="41" t="s">
        <v>3655</v>
      </c>
      <c r="K1561" s="42" t="s">
        <v>86</v>
      </c>
      <c r="L1561" s="43">
        <v>9.008036134E9</v>
      </c>
      <c r="M1561" s="42">
        <v>8.482101E7</v>
      </c>
      <c r="N1561" s="44" t="s">
        <v>3657</v>
      </c>
      <c r="O1561" s="45">
        <v>0.673</v>
      </c>
      <c r="P1561" s="44">
        <v>7.899823508663E12</v>
      </c>
      <c r="Q1561" s="44">
        <v>1.0</v>
      </c>
    </row>
    <row r="1562" ht="15.75" customHeight="1">
      <c r="A1562" s="35" t="s">
        <v>4023</v>
      </c>
      <c r="B1562" s="36">
        <v>274.14480000000003</v>
      </c>
      <c r="C1562" s="36">
        <f>'Lista de Preço 02_2022'!$B1562*0.9*0.9*0.9*0.9*0.9*0.97</f>
        <v>157.0233701</v>
      </c>
      <c r="D1562" s="36">
        <f>'Lista de Preço 02_2022'!$C1562*1.2307</f>
        <v>193.2486615</v>
      </c>
      <c r="E1562" s="37">
        <v>7.8</v>
      </c>
      <c r="F1562" s="38">
        <v>0.18</v>
      </c>
      <c r="G1562" s="38" t="s">
        <v>22</v>
      </c>
      <c r="H1562" s="68" t="s">
        <v>3750</v>
      </c>
      <c r="I1562" s="40" t="s">
        <v>4024</v>
      </c>
      <c r="J1562" s="41" t="s">
        <v>3655</v>
      </c>
      <c r="K1562" s="42" t="s">
        <v>456</v>
      </c>
      <c r="L1562" s="43" t="s">
        <v>4025</v>
      </c>
      <c r="M1562" s="42">
        <v>8.482101E7</v>
      </c>
      <c r="N1562" s="44" t="s">
        <v>3657</v>
      </c>
      <c r="O1562" s="45">
        <v>0.933</v>
      </c>
      <c r="P1562" s="44">
        <v>7.899823509622E12</v>
      </c>
      <c r="Q1562" s="44">
        <v>1.0</v>
      </c>
    </row>
    <row r="1563" ht="15.75" customHeight="1">
      <c r="A1563" s="35" t="s">
        <v>4026</v>
      </c>
      <c r="B1563" s="36">
        <v>107.73840000000003</v>
      </c>
      <c r="C1563" s="36">
        <f>'Lista de Preço 02_2022'!$B1563*0.9*0.9*0.9*0.9*0.9*0.97</f>
        <v>61.70989438</v>
      </c>
      <c r="D1563" s="36">
        <f>'Lista de Preço 02_2022'!$C1563*1.2307</f>
        <v>75.94636702</v>
      </c>
      <c r="E1563" s="37">
        <v>7.8</v>
      </c>
      <c r="F1563" s="38">
        <v>0.18</v>
      </c>
      <c r="G1563" s="38" t="s">
        <v>22</v>
      </c>
      <c r="H1563" s="68" t="s">
        <v>3785</v>
      </c>
      <c r="I1563" s="40" t="s">
        <v>4027</v>
      </c>
      <c r="J1563" s="41" t="s">
        <v>3655</v>
      </c>
      <c r="K1563" s="42" t="s">
        <v>625</v>
      </c>
      <c r="L1563" s="43" t="s">
        <v>4028</v>
      </c>
      <c r="M1563" s="42">
        <v>8.482101E7</v>
      </c>
      <c r="N1563" s="44" t="s">
        <v>3657</v>
      </c>
      <c r="O1563" s="45">
        <v>0.549</v>
      </c>
      <c r="P1563" s="44">
        <v>7.899823509356E12</v>
      </c>
      <c r="Q1563" s="44">
        <v>1.0</v>
      </c>
    </row>
    <row r="1564" ht="15.75" customHeight="1">
      <c r="A1564" s="35" t="s">
        <v>4029</v>
      </c>
      <c r="B1564" s="36">
        <v>111.65270598440526</v>
      </c>
      <c r="C1564" s="36">
        <f>'Lista de Preço 02_2022'!$B1564*0.9*0.9*0.9*0.9*0.9*0.97</f>
        <v>63.95191217</v>
      </c>
      <c r="D1564" s="36">
        <f>'Lista de Preço 02_2022'!$C1564*1.2307</f>
        <v>78.7056183</v>
      </c>
      <c r="E1564" s="37">
        <v>7.8</v>
      </c>
      <c r="F1564" s="38">
        <v>0.18</v>
      </c>
      <c r="G1564" s="38" t="s">
        <v>22</v>
      </c>
      <c r="H1564" s="68" t="s">
        <v>3794</v>
      </c>
      <c r="I1564" s="40" t="s">
        <v>4030</v>
      </c>
      <c r="J1564" s="41" t="s">
        <v>3655</v>
      </c>
      <c r="K1564" s="42" t="s">
        <v>294</v>
      </c>
      <c r="L1564" s="43" t="s">
        <v>4031</v>
      </c>
      <c r="M1564" s="42">
        <v>8.482209E7</v>
      </c>
      <c r="N1564" s="44" t="s">
        <v>3657</v>
      </c>
      <c r="O1564" s="45">
        <v>0.57</v>
      </c>
      <c r="P1564" s="44">
        <v>7.89982350841E12</v>
      </c>
      <c r="Q1564" s="44">
        <v>1.0</v>
      </c>
    </row>
    <row r="1565" ht="15.75" customHeight="1">
      <c r="A1565" s="35" t="s">
        <v>4032</v>
      </c>
      <c r="B1565" s="36">
        <v>125.52151694787698</v>
      </c>
      <c r="C1565" s="36">
        <f>'Lista de Preço 02_2022'!$B1565*0.9*0.9*0.9*0.9*0.9*0.97</f>
        <v>71.89562453</v>
      </c>
      <c r="D1565" s="36">
        <f>'Lista de Preço 02_2022'!$C1565*1.2307</f>
        <v>88.4819451</v>
      </c>
      <c r="E1565" s="37">
        <v>7.8</v>
      </c>
      <c r="F1565" s="38">
        <v>0.18</v>
      </c>
      <c r="G1565" s="38" t="s">
        <v>22</v>
      </c>
      <c r="H1565" s="68" t="s">
        <v>3794</v>
      </c>
      <c r="I1565" s="40" t="s">
        <v>4033</v>
      </c>
      <c r="J1565" s="41" t="s">
        <v>3655</v>
      </c>
      <c r="K1565" s="42" t="s">
        <v>625</v>
      </c>
      <c r="L1565" s="43" t="s">
        <v>4034</v>
      </c>
      <c r="M1565" s="42">
        <v>8.482209E7</v>
      </c>
      <c r="N1565" s="44" t="s">
        <v>3657</v>
      </c>
      <c r="O1565" s="45">
        <v>0.723</v>
      </c>
      <c r="P1565" s="44">
        <v>7.899823508793E12</v>
      </c>
      <c r="Q1565" s="44">
        <v>1.0</v>
      </c>
    </row>
    <row r="1566" ht="15.75" customHeight="1">
      <c r="A1566" s="35" t="s">
        <v>4035</v>
      </c>
      <c r="B1566" s="36">
        <v>117.97267047408855</v>
      </c>
      <c r="C1566" s="36">
        <f>'Lista de Preço 02_2022'!$B1566*0.9*0.9*0.9*0.9*0.9*0.97</f>
        <v>67.57183172</v>
      </c>
      <c r="D1566" s="36">
        <f>'Lista de Preço 02_2022'!$C1566*1.2307</f>
        <v>83.1606533</v>
      </c>
      <c r="E1566" s="37">
        <v>7.8</v>
      </c>
      <c r="F1566" s="38">
        <v>0.18</v>
      </c>
      <c r="G1566" s="38" t="s">
        <v>22</v>
      </c>
      <c r="H1566" s="68" t="s">
        <v>3695</v>
      </c>
      <c r="I1566" s="40" t="s">
        <v>4036</v>
      </c>
      <c r="J1566" s="41" t="s">
        <v>3655</v>
      </c>
      <c r="K1566" s="42" t="s">
        <v>68</v>
      </c>
      <c r="L1566" s="43">
        <v>3.0020618E7</v>
      </c>
      <c r="M1566" s="42">
        <v>8.482101E7</v>
      </c>
      <c r="N1566" s="44" t="s">
        <v>3657</v>
      </c>
      <c r="O1566" s="45">
        <v>0.433</v>
      </c>
      <c r="P1566" s="44">
        <v>7.899823509172E12</v>
      </c>
      <c r="Q1566" s="44">
        <v>1.0</v>
      </c>
    </row>
    <row r="1567" ht="15.75" customHeight="1">
      <c r="A1567" s="35" t="s">
        <v>4037</v>
      </c>
      <c r="B1567" s="36">
        <v>140.4436553262959</v>
      </c>
      <c r="C1567" s="36">
        <f>'Lista de Preço 02_2022'!$B1567*0.9*0.9*0.9*0.9*0.9*0.97</f>
        <v>80.44265681</v>
      </c>
      <c r="D1567" s="36">
        <f>'Lista de Preço 02_2022'!$C1567*1.2307</f>
        <v>99.00077774</v>
      </c>
      <c r="E1567" s="37">
        <v>7.8</v>
      </c>
      <c r="F1567" s="38">
        <v>0.18</v>
      </c>
      <c r="G1567" s="38" t="s">
        <v>22</v>
      </c>
      <c r="H1567" s="68" t="s">
        <v>3713</v>
      </c>
      <c r="I1567" s="40" t="s">
        <v>4038</v>
      </c>
      <c r="J1567" s="41" t="s">
        <v>3655</v>
      </c>
      <c r="K1567" s="42" t="s">
        <v>153</v>
      </c>
      <c r="L1567" s="43" t="s">
        <v>4039</v>
      </c>
      <c r="M1567" s="42">
        <v>8.482101E7</v>
      </c>
      <c r="N1567" s="44" t="s">
        <v>3657</v>
      </c>
      <c r="O1567" s="45">
        <v>0.814</v>
      </c>
      <c r="P1567" s="44">
        <v>7.899823508434E12</v>
      </c>
      <c r="Q1567" s="44">
        <v>1.0</v>
      </c>
    </row>
    <row r="1568" ht="15.75" customHeight="1">
      <c r="A1568" s="35" t="s">
        <v>4040</v>
      </c>
      <c r="B1568" s="36">
        <v>187.1085895447847</v>
      </c>
      <c r="C1568" s="36">
        <f>'Lista de Preço 02_2022'!$B1568*0.9*0.9*0.9*0.9*0.9*0.97</f>
        <v>107.1711785</v>
      </c>
      <c r="D1568" s="36">
        <f>'Lista de Preço 02_2022'!$C1568*1.2307</f>
        <v>131.8955694</v>
      </c>
      <c r="E1568" s="37">
        <v>7.8</v>
      </c>
      <c r="F1568" s="38">
        <v>0.18</v>
      </c>
      <c r="G1568" s="38" t="s">
        <v>22</v>
      </c>
      <c r="H1568" s="68" t="s">
        <v>3794</v>
      </c>
      <c r="I1568" s="40" t="s">
        <v>4041</v>
      </c>
      <c r="J1568" s="41" t="s">
        <v>3655</v>
      </c>
      <c r="K1568" s="42" t="s">
        <v>153</v>
      </c>
      <c r="L1568" s="43" t="s">
        <v>4042</v>
      </c>
      <c r="M1568" s="42">
        <v>8.482209E7</v>
      </c>
      <c r="N1568" s="44" t="s">
        <v>3657</v>
      </c>
      <c r="O1568" s="45">
        <v>1.217</v>
      </c>
      <c r="P1568" s="44">
        <v>7.899823509103E12</v>
      </c>
      <c r="Q1568" s="44">
        <v>1.0</v>
      </c>
    </row>
    <row r="1569" ht="15.75" customHeight="1">
      <c r="A1569" s="35" t="s">
        <v>4043</v>
      </c>
      <c r="B1569" s="36">
        <v>192.70742603300675</v>
      </c>
      <c r="C1569" s="36">
        <f>'Lista de Preço 02_2022'!$B1569*0.9*0.9*0.9*0.9*0.9*0.97</f>
        <v>110.3780538</v>
      </c>
      <c r="D1569" s="36">
        <f>'Lista de Preço 02_2022'!$C1569*1.2307</f>
        <v>135.8422708</v>
      </c>
      <c r="E1569" s="37">
        <v>7.8</v>
      </c>
      <c r="F1569" s="38">
        <v>0.18</v>
      </c>
      <c r="G1569" s="38" t="s">
        <v>22</v>
      </c>
      <c r="H1569" s="68" t="s">
        <v>3695</v>
      </c>
      <c r="I1569" s="40" t="s">
        <v>4044</v>
      </c>
      <c r="J1569" s="41" t="s">
        <v>3655</v>
      </c>
      <c r="K1569" s="42" t="s">
        <v>2082</v>
      </c>
      <c r="L1569" s="43"/>
      <c r="M1569" s="42">
        <v>8.482101E7</v>
      </c>
      <c r="N1569" s="44" t="s">
        <v>3657</v>
      </c>
      <c r="O1569" s="45">
        <v>0.598</v>
      </c>
      <c r="P1569" s="44">
        <v>7.899823509684E12</v>
      </c>
      <c r="Q1569" s="44">
        <v>1.0</v>
      </c>
    </row>
    <row r="1570" ht="15.75" customHeight="1">
      <c r="A1570" s="35" t="s">
        <v>4045</v>
      </c>
      <c r="B1570" s="36">
        <v>104.27941407977474</v>
      </c>
      <c r="C1570" s="36">
        <f>'Lista de Preço 02_2022'!$B1570*0.9*0.9*0.9*0.9*0.9*0.97</f>
        <v>59.72867268</v>
      </c>
      <c r="D1570" s="36">
        <f>'Lista de Preço 02_2022'!$C1570*1.2307</f>
        <v>73.50807747</v>
      </c>
      <c r="E1570" s="37">
        <v>7.8</v>
      </c>
      <c r="F1570" s="38">
        <v>0.18</v>
      </c>
      <c r="G1570" s="38" t="s">
        <v>22</v>
      </c>
      <c r="H1570" s="68" t="s">
        <v>3766</v>
      </c>
      <c r="I1570" s="40" t="s">
        <v>4046</v>
      </c>
      <c r="J1570" s="41" t="s">
        <v>3655</v>
      </c>
      <c r="K1570" s="42" t="s">
        <v>507</v>
      </c>
      <c r="L1570" s="43">
        <v>5.2730352E9</v>
      </c>
      <c r="M1570" s="42">
        <v>8.482101E7</v>
      </c>
      <c r="N1570" s="44" t="s">
        <v>3657</v>
      </c>
      <c r="O1570" s="45">
        <v>0.647</v>
      </c>
      <c r="P1570" s="44">
        <v>7.89982350908E12</v>
      </c>
      <c r="Q1570" s="44">
        <v>1.0</v>
      </c>
    </row>
    <row r="1571" ht="15.75" customHeight="1">
      <c r="A1571" s="35" t="s">
        <v>4047</v>
      </c>
      <c r="B1571" s="36">
        <v>90.33390451812724</v>
      </c>
      <c r="C1571" s="36">
        <f>'Lista de Preço 02_2022'!$B1571*0.9*0.9*0.9*0.9*0.9*0.97</f>
        <v>51.74102926</v>
      </c>
      <c r="D1571" s="36">
        <f>'Lista de Preço 02_2022'!$C1571*1.2307</f>
        <v>63.67768471</v>
      </c>
      <c r="E1571" s="37">
        <v>7.8</v>
      </c>
      <c r="F1571" s="38">
        <v>0.18</v>
      </c>
      <c r="G1571" s="38" t="s">
        <v>22</v>
      </c>
      <c r="H1571" s="68" t="s">
        <v>3695</v>
      </c>
      <c r="I1571" s="40" t="s">
        <v>4048</v>
      </c>
      <c r="J1571" s="41" t="s">
        <v>3655</v>
      </c>
      <c r="K1571" s="42" t="s">
        <v>507</v>
      </c>
      <c r="L1571" s="43" t="s">
        <v>4049</v>
      </c>
      <c r="M1571" s="42">
        <v>8.482101E7</v>
      </c>
      <c r="N1571" s="44" t="s">
        <v>3657</v>
      </c>
      <c r="O1571" s="45">
        <v>0.734</v>
      </c>
      <c r="P1571" s="44">
        <v>7.899823509035E12</v>
      </c>
      <c r="Q1571" s="44">
        <v>1.0</v>
      </c>
    </row>
    <row r="1572" ht="15.75" customHeight="1">
      <c r="A1572" s="50" t="s">
        <v>4050</v>
      </c>
      <c r="B1572" s="36">
        <v>197.5437</v>
      </c>
      <c r="C1572" s="51">
        <f>'Lista de Preço 02_2022'!$B1572*0.9*0.9*0.9*0.9*0.9*0.97</f>
        <v>113.148152</v>
      </c>
      <c r="D1572" s="36">
        <f>'Lista de Preço 02_2022'!$C1572*1.2307</f>
        <v>139.2514307</v>
      </c>
      <c r="E1572" s="52">
        <v>7.8</v>
      </c>
      <c r="F1572" s="53">
        <v>0.18</v>
      </c>
      <c r="G1572" s="53" t="s">
        <v>22</v>
      </c>
      <c r="H1572" s="69" t="s">
        <v>3785</v>
      </c>
      <c r="I1572" s="55" t="s">
        <v>4051</v>
      </c>
      <c r="J1572" s="56" t="s">
        <v>4052</v>
      </c>
      <c r="K1572" s="57" t="s">
        <v>86</v>
      </c>
      <c r="L1572" s="58" t="s">
        <v>4053</v>
      </c>
      <c r="M1572" s="57">
        <v>8.482101E7</v>
      </c>
      <c r="N1572" s="59" t="s">
        <v>3657</v>
      </c>
      <c r="O1572" s="60">
        <v>0.97</v>
      </c>
      <c r="P1572" s="59">
        <v>7.899823511762E12</v>
      </c>
      <c r="Q1572" s="59">
        <v>1.0</v>
      </c>
    </row>
    <row r="1573" ht="15.75" customHeight="1">
      <c r="A1573" s="35" t="s">
        <v>4054</v>
      </c>
      <c r="B1573" s="36">
        <v>154.83912999724126</v>
      </c>
      <c r="C1573" s="36">
        <f>'Lista de Preço 02_2022'!$B1573*0.9*0.9*0.9*0.9*0.9*0.97</f>
        <v>88.68802914</v>
      </c>
      <c r="D1573" s="36">
        <f>'Lista de Preço 02_2022'!$C1573*1.2307</f>
        <v>109.1483575</v>
      </c>
      <c r="E1573" s="37">
        <v>7.8</v>
      </c>
      <c r="F1573" s="38">
        <v>0.18</v>
      </c>
      <c r="G1573" s="38" t="s">
        <v>22</v>
      </c>
      <c r="H1573" s="68" t="s">
        <v>3794</v>
      </c>
      <c r="I1573" s="40" t="s">
        <v>4055</v>
      </c>
      <c r="J1573" s="41" t="s">
        <v>3655</v>
      </c>
      <c r="K1573" s="42" t="s">
        <v>86</v>
      </c>
      <c r="L1573" s="43" t="s">
        <v>4056</v>
      </c>
      <c r="M1573" s="42">
        <v>8.482209E7</v>
      </c>
      <c r="N1573" s="44" t="s">
        <v>3657</v>
      </c>
      <c r="O1573" s="45">
        <v>0.935</v>
      </c>
      <c r="P1573" s="44">
        <v>7.899823508748E12</v>
      </c>
      <c r="Q1573" s="44">
        <v>1.0</v>
      </c>
    </row>
    <row r="1574" ht="15.75" customHeight="1">
      <c r="A1574" s="35" t="s">
        <v>4057</v>
      </c>
      <c r="B1574" s="36">
        <v>105.32445</v>
      </c>
      <c r="C1574" s="36">
        <f>'Lista de Preço 02_2022'!$B1574*0.9*0.9*0.9*0.9*0.9*0.97</f>
        <v>60.32724345</v>
      </c>
      <c r="D1574" s="36">
        <f>'Lista de Preço 02_2022'!$C1574*1.2307</f>
        <v>74.24473851</v>
      </c>
      <c r="E1574" s="37">
        <v>7.8</v>
      </c>
      <c r="F1574" s="38">
        <v>0.18</v>
      </c>
      <c r="G1574" s="38" t="s">
        <v>22</v>
      </c>
      <c r="H1574" s="68" t="s">
        <v>3713</v>
      </c>
      <c r="I1574" s="40" t="s">
        <v>4058</v>
      </c>
      <c r="J1574" s="41" t="s">
        <v>3655</v>
      </c>
      <c r="K1574" s="42" t="s">
        <v>153</v>
      </c>
      <c r="L1574" s="43" t="s">
        <v>4059</v>
      </c>
      <c r="M1574" s="42">
        <v>8.482101E7</v>
      </c>
      <c r="N1574" s="44" t="s">
        <v>3657</v>
      </c>
      <c r="O1574" s="45">
        <v>0.43</v>
      </c>
      <c r="P1574" s="44">
        <v>7.899823509165E12</v>
      </c>
      <c r="Q1574" s="44">
        <v>1.0</v>
      </c>
    </row>
    <row r="1575" ht="15.75" customHeight="1">
      <c r="A1575" s="35" t="s">
        <v>4060</v>
      </c>
      <c r="B1575" s="36">
        <v>186.3194076851631</v>
      </c>
      <c r="C1575" s="36">
        <f>'Lista de Preço 02_2022'!$B1575*0.9*0.9*0.9*0.9*0.9*0.97</f>
        <v>106.7191546</v>
      </c>
      <c r="D1575" s="36">
        <f>'Lista de Preço 02_2022'!$C1575*1.2307</f>
        <v>131.3392636</v>
      </c>
      <c r="E1575" s="37">
        <v>7.8</v>
      </c>
      <c r="F1575" s="38">
        <v>0.18</v>
      </c>
      <c r="G1575" s="38" t="s">
        <v>22</v>
      </c>
      <c r="H1575" s="68" t="s">
        <v>4018</v>
      </c>
      <c r="I1575" s="40" t="s">
        <v>4061</v>
      </c>
      <c r="J1575" s="41" t="s">
        <v>3655</v>
      </c>
      <c r="K1575" s="42" t="s">
        <v>68</v>
      </c>
      <c r="L1575" s="43">
        <v>9.2171057E7</v>
      </c>
      <c r="M1575" s="42">
        <v>8.482101E7</v>
      </c>
      <c r="N1575" s="44" t="s">
        <v>3657</v>
      </c>
      <c r="O1575" s="45">
        <v>0.999</v>
      </c>
      <c r="P1575" s="44">
        <v>7.899823509561E12</v>
      </c>
      <c r="Q1575" s="44">
        <v>1.0</v>
      </c>
    </row>
    <row r="1576" ht="15.75" customHeight="1">
      <c r="A1576" s="35" t="s">
        <v>4062</v>
      </c>
      <c r="B1576" s="36">
        <v>102.26479756769119</v>
      </c>
      <c r="C1576" s="36">
        <f>'Lista de Preço 02_2022'!$B1576*0.9*0.9*0.9*0.9*0.9*0.97</f>
        <v>58.57475011</v>
      </c>
      <c r="D1576" s="36">
        <f>'Lista de Preço 02_2022'!$C1576*1.2307</f>
        <v>72.08794496</v>
      </c>
      <c r="E1576" s="37">
        <v>7.8</v>
      </c>
      <c r="F1576" s="38">
        <v>0.18</v>
      </c>
      <c r="G1576" s="38" t="s">
        <v>22</v>
      </c>
      <c r="H1576" s="68" t="s">
        <v>3695</v>
      </c>
      <c r="I1576" s="40" t="s">
        <v>4063</v>
      </c>
      <c r="J1576" s="41" t="s">
        <v>3655</v>
      </c>
      <c r="K1576" s="42" t="s">
        <v>294</v>
      </c>
      <c r="L1576" s="43" t="s">
        <v>4064</v>
      </c>
      <c r="M1576" s="42">
        <v>8.482101E7</v>
      </c>
      <c r="N1576" s="44" t="s">
        <v>3657</v>
      </c>
      <c r="O1576" s="45">
        <v>0.712</v>
      </c>
      <c r="P1576" s="44">
        <v>7.899823509608E12</v>
      </c>
      <c r="Q1576" s="44">
        <v>1.0</v>
      </c>
    </row>
    <row r="1577" ht="15.75" customHeight="1">
      <c r="A1577" s="35" t="s">
        <v>4065</v>
      </c>
      <c r="B1577" s="36">
        <v>151.58750826729963</v>
      </c>
      <c r="C1577" s="36">
        <f>'Lista de Preço 02_2022'!$B1577*0.9*0.9*0.9*0.9*0.9*0.97</f>
        <v>86.82558052</v>
      </c>
      <c r="D1577" s="36">
        <f>'Lista de Preço 02_2022'!$C1577*1.2307</f>
        <v>106.856242</v>
      </c>
      <c r="E1577" s="37">
        <v>7.8</v>
      </c>
      <c r="F1577" s="38">
        <v>0.18</v>
      </c>
      <c r="G1577" s="38" t="s">
        <v>22</v>
      </c>
      <c r="H1577" s="68" t="s">
        <v>3713</v>
      </c>
      <c r="I1577" s="40" t="s">
        <v>4066</v>
      </c>
      <c r="J1577" s="41" t="s">
        <v>3655</v>
      </c>
      <c r="K1577" s="42" t="s">
        <v>157</v>
      </c>
      <c r="L1577" s="43" t="s">
        <v>4067</v>
      </c>
      <c r="M1577" s="42">
        <v>8.482101E7</v>
      </c>
      <c r="N1577" s="44" t="s">
        <v>3657</v>
      </c>
      <c r="O1577" s="45">
        <v>0.797</v>
      </c>
      <c r="P1577" s="44">
        <v>7.899823508069E12</v>
      </c>
      <c r="Q1577" s="44">
        <v>1.0</v>
      </c>
    </row>
    <row r="1578" ht="15.75" customHeight="1">
      <c r="A1578" s="35" t="s">
        <v>4068</v>
      </c>
      <c r="B1578" s="36">
        <v>105.33274149472193</v>
      </c>
      <c r="C1578" s="36">
        <f>'Lista de Preço 02_2022'!$B1578*0.9*0.9*0.9*0.9*0.9*0.97</f>
        <v>60.33199261</v>
      </c>
      <c r="D1578" s="36">
        <f>'Lista de Preço 02_2022'!$C1578*1.2307</f>
        <v>74.2505833</v>
      </c>
      <c r="E1578" s="37">
        <v>7.8</v>
      </c>
      <c r="F1578" s="38">
        <v>0.18</v>
      </c>
      <c r="G1578" s="38" t="s">
        <v>22</v>
      </c>
      <c r="H1578" s="68" t="s">
        <v>3704</v>
      </c>
      <c r="I1578" s="40" t="s">
        <v>4069</v>
      </c>
      <c r="J1578" s="41" t="s">
        <v>3655</v>
      </c>
      <c r="K1578" s="42" t="s">
        <v>157</v>
      </c>
      <c r="L1578" s="43" t="s">
        <v>4070</v>
      </c>
      <c r="M1578" s="42">
        <v>8.482101E7</v>
      </c>
      <c r="N1578" s="44" t="s">
        <v>3657</v>
      </c>
      <c r="O1578" s="45">
        <v>0.758</v>
      </c>
      <c r="P1578" s="44">
        <v>7.899823508342E12</v>
      </c>
      <c r="Q1578" s="44">
        <v>1.0</v>
      </c>
    </row>
    <row r="1579" ht="15.75" customHeight="1">
      <c r="A1579" s="35" t="s">
        <v>4071</v>
      </c>
      <c r="B1579" s="36">
        <v>155.84119547799438</v>
      </c>
      <c r="C1579" s="36">
        <f>'Lista de Preço 02_2022'!$B1579*0.9*0.9*0.9*0.9*0.9*0.97</f>
        <v>89.26198749</v>
      </c>
      <c r="D1579" s="36">
        <f>'Lista de Preço 02_2022'!$C1579*1.2307</f>
        <v>109.854728</v>
      </c>
      <c r="E1579" s="37">
        <v>7.8</v>
      </c>
      <c r="F1579" s="38">
        <v>0.18</v>
      </c>
      <c r="G1579" s="38" t="s">
        <v>22</v>
      </c>
      <c r="H1579" s="68" t="s">
        <v>3713</v>
      </c>
      <c r="I1579" s="40" t="s">
        <v>4072</v>
      </c>
      <c r="J1579" s="41" t="s">
        <v>3655</v>
      </c>
      <c r="K1579" s="42" t="s">
        <v>157</v>
      </c>
      <c r="L1579" s="43" t="s">
        <v>4073</v>
      </c>
      <c r="M1579" s="42">
        <v>8.482101E7</v>
      </c>
      <c r="N1579" s="44" t="s">
        <v>3657</v>
      </c>
      <c r="O1579" s="45">
        <v>0.77</v>
      </c>
      <c r="P1579" s="44">
        <v>7.899823508113E12</v>
      </c>
      <c r="Q1579" s="44">
        <v>1.0</v>
      </c>
    </row>
    <row r="1580" ht="15.75" customHeight="1">
      <c r="A1580" s="35" t="s">
        <v>4074</v>
      </c>
      <c r="B1580" s="36">
        <v>152.99580702108364</v>
      </c>
      <c r="C1580" s="36">
        <f>'Lista de Preço 02_2022'!$B1580*0.9*0.9*0.9*0.9*0.9*0.97</f>
        <v>87.63221927</v>
      </c>
      <c r="D1580" s="36">
        <f>'Lista de Preço 02_2022'!$C1580*1.2307</f>
        <v>107.8489722</v>
      </c>
      <c r="E1580" s="37">
        <v>7.8</v>
      </c>
      <c r="F1580" s="38">
        <v>0.18</v>
      </c>
      <c r="G1580" s="38" t="s">
        <v>22</v>
      </c>
      <c r="H1580" s="68" t="s">
        <v>3791</v>
      </c>
      <c r="I1580" s="40" t="s">
        <v>4075</v>
      </c>
      <c r="J1580" s="41" t="s">
        <v>3655</v>
      </c>
      <c r="K1580" s="42" t="s">
        <v>277</v>
      </c>
      <c r="L1580" s="43"/>
      <c r="M1580" s="42">
        <v>8.482209E7</v>
      </c>
      <c r="N1580" s="44" t="s">
        <v>3657</v>
      </c>
      <c r="O1580" s="45">
        <v>0.815</v>
      </c>
      <c r="P1580" s="44">
        <v>7.899823509028E12</v>
      </c>
      <c r="Q1580" s="44">
        <v>1.0</v>
      </c>
    </row>
    <row r="1581" ht="15.75" customHeight="1">
      <c r="A1581" s="35" t="s">
        <v>4076</v>
      </c>
      <c r="B1581" s="36">
        <v>145.13478358857824</v>
      </c>
      <c r="C1581" s="36">
        <f>'Lista de Preço 02_2022'!$B1581*0.9*0.9*0.9*0.9*0.9*0.97</f>
        <v>83.12961921</v>
      </c>
      <c r="D1581" s="36">
        <f>'Lista de Preço 02_2022'!$C1581*1.2307</f>
        <v>102.3076224</v>
      </c>
      <c r="E1581" s="37">
        <v>7.8</v>
      </c>
      <c r="F1581" s="38">
        <v>0.18</v>
      </c>
      <c r="G1581" s="38" t="s">
        <v>22</v>
      </c>
      <c r="H1581" s="68" t="s">
        <v>3766</v>
      </c>
      <c r="I1581" s="40" t="s">
        <v>4077</v>
      </c>
      <c r="J1581" s="41" t="s">
        <v>3655</v>
      </c>
      <c r="K1581" s="42" t="s">
        <v>86</v>
      </c>
      <c r="L1581" s="43">
        <v>9.008036021E9</v>
      </c>
      <c r="M1581" s="42">
        <v>8.482101E7</v>
      </c>
      <c r="N1581" s="44" t="s">
        <v>3657</v>
      </c>
      <c r="O1581" s="45">
        <v>0.948</v>
      </c>
      <c r="P1581" s="44">
        <v>7.899823509202E12</v>
      </c>
      <c r="Q1581" s="44">
        <v>1.0</v>
      </c>
    </row>
    <row r="1582" ht="15.75" customHeight="1">
      <c r="A1582" s="35" t="s">
        <v>4078</v>
      </c>
      <c r="B1582" s="36">
        <v>112.92723215649139</v>
      </c>
      <c r="C1582" s="36">
        <f>'Lista de Preço 02_2022'!$B1582*0.9*0.9*0.9*0.9*0.9*0.97</f>
        <v>64.68192928</v>
      </c>
      <c r="D1582" s="36">
        <f>'Lista de Preço 02_2022'!$C1582*1.2307</f>
        <v>79.60405036</v>
      </c>
      <c r="E1582" s="37">
        <v>7.8</v>
      </c>
      <c r="F1582" s="38">
        <v>0.18</v>
      </c>
      <c r="G1582" s="38" t="s">
        <v>22</v>
      </c>
      <c r="H1582" s="68" t="s">
        <v>3785</v>
      </c>
      <c r="I1582" s="40" t="s">
        <v>4079</v>
      </c>
      <c r="J1582" s="41" t="s">
        <v>3655</v>
      </c>
      <c r="K1582" s="42" t="s">
        <v>86</v>
      </c>
      <c r="L1582" s="43">
        <v>9.002365002E9</v>
      </c>
      <c r="M1582" s="42">
        <v>8.482501E7</v>
      </c>
      <c r="N1582" s="44" t="s">
        <v>3657</v>
      </c>
      <c r="O1582" s="45">
        <v>0.444</v>
      </c>
      <c r="P1582" s="44">
        <v>7.899823508083E12</v>
      </c>
      <c r="Q1582" s="44">
        <v>1.0</v>
      </c>
    </row>
    <row r="1583" ht="15.75" customHeight="1">
      <c r="A1583" s="35" t="s">
        <v>4080</v>
      </c>
      <c r="B1583" s="36">
        <v>18.61939029954571</v>
      </c>
      <c r="C1583" s="36">
        <f>'Lista de Preço 02_2022'!$B1583*0.9*0.9*0.9*0.9*0.9*0.97</f>
        <v>10.66472686</v>
      </c>
      <c r="D1583" s="36">
        <f>'Lista de Preço 02_2022'!$C1583*1.2307</f>
        <v>13.12507935</v>
      </c>
      <c r="E1583" s="37">
        <v>7.8</v>
      </c>
      <c r="F1583" s="38">
        <v>0.18</v>
      </c>
      <c r="G1583" s="38" t="s">
        <v>22</v>
      </c>
      <c r="H1583" s="68" t="s">
        <v>3766</v>
      </c>
      <c r="I1583" s="40" t="s">
        <v>4081</v>
      </c>
      <c r="J1583" s="41" t="s">
        <v>3655</v>
      </c>
      <c r="K1583" s="42" t="s">
        <v>68</v>
      </c>
      <c r="L1583" s="43">
        <v>9415132.0</v>
      </c>
      <c r="M1583" s="42">
        <v>8.482209E7</v>
      </c>
      <c r="N1583" s="44" t="s">
        <v>3657</v>
      </c>
      <c r="O1583" s="45">
        <v>0.118</v>
      </c>
      <c r="P1583" s="44">
        <v>7.899823507871E12</v>
      </c>
      <c r="Q1583" s="44">
        <v>1.0</v>
      </c>
    </row>
    <row r="1584" ht="15.75" customHeight="1">
      <c r="A1584" s="35" t="s">
        <v>4082</v>
      </c>
      <c r="B1584" s="36">
        <v>88.83061199388217</v>
      </c>
      <c r="C1584" s="36">
        <f>'Lista de Preço 02_2022'!$B1584*0.9*0.9*0.9*0.9*0.9*0.97</f>
        <v>50.87998043</v>
      </c>
      <c r="D1584" s="36">
        <f>'Lista de Preço 02_2022'!$C1584*1.2307</f>
        <v>62.61799192</v>
      </c>
      <c r="E1584" s="37">
        <v>7.8</v>
      </c>
      <c r="F1584" s="38">
        <v>0.18</v>
      </c>
      <c r="G1584" s="38" t="s">
        <v>22</v>
      </c>
      <c r="H1584" s="68" t="s">
        <v>3766</v>
      </c>
      <c r="I1584" s="40" t="s">
        <v>4083</v>
      </c>
      <c r="J1584" s="41" t="s">
        <v>3655</v>
      </c>
      <c r="K1584" s="42" t="s">
        <v>625</v>
      </c>
      <c r="L1584" s="43" t="s">
        <v>4084</v>
      </c>
      <c r="M1584" s="42">
        <v>8.482101E7</v>
      </c>
      <c r="N1584" s="44" t="s">
        <v>3657</v>
      </c>
      <c r="O1584" s="45">
        <v>0.579</v>
      </c>
      <c r="P1584" s="44">
        <v>7.899823509004E12</v>
      </c>
      <c r="Q1584" s="44">
        <v>1.0</v>
      </c>
    </row>
    <row r="1585" ht="15.75" customHeight="1">
      <c r="A1585" s="35" t="s">
        <v>4085</v>
      </c>
      <c r="B1585" s="36">
        <v>49.2158205</v>
      </c>
      <c r="C1585" s="36">
        <f>'Lista de Preço 02_2022'!$B1585*0.9*0.9*0.9*0.9*0.9*0.97</f>
        <v>28.18960635</v>
      </c>
      <c r="D1585" s="36">
        <f>'Lista de Preço 02_2022'!$C1585*1.2307</f>
        <v>34.69294854</v>
      </c>
      <c r="E1585" s="37">
        <v>7.8</v>
      </c>
      <c r="F1585" s="38">
        <v>0.18</v>
      </c>
      <c r="G1585" s="38" t="s">
        <v>22</v>
      </c>
      <c r="H1585" s="68" t="s">
        <v>4086</v>
      </c>
      <c r="I1585" s="40" t="s">
        <v>4087</v>
      </c>
      <c r="J1585" s="41" t="s">
        <v>3655</v>
      </c>
      <c r="K1585" s="42" t="s">
        <v>73</v>
      </c>
      <c r="L1585" s="43"/>
      <c r="M1585" s="42">
        <v>8.4824E7</v>
      </c>
      <c r="N1585" s="44" t="s">
        <v>3657</v>
      </c>
      <c r="O1585" s="45">
        <v>0.193</v>
      </c>
      <c r="P1585" s="44">
        <v>7.899823509936E12</v>
      </c>
      <c r="Q1585" s="44">
        <v>1.0</v>
      </c>
    </row>
    <row r="1586" ht="15.75" customHeight="1">
      <c r="A1586" s="35" t="s">
        <v>4088</v>
      </c>
      <c r="B1586" s="36">
        <v>47.399733672624876</v>
      </c>
      <c r="C1586" s="36">
        <f>'Lista de Preço 02_2022'!$B1586*0.9*0.9*0.9*0.9*0.9*0.97</f>
        <v>27.14939667</v>
      </c>
      <c r="D1586" s="36">
        <f>'Lista de Preço 02_2022'!$C1586*1.2307</f>
        <v>33.41276249</v>
      </c>
      <c r="E1586" s="37">
        <v>7.8</v>
      </c>
      <c r="F1586" s="38">
        <v>0.18</v>
      </c>
      <c r="G1586" s="38" t="s">
        <v>22</v>
      </c>
      <c r="H1586" s="68" t="s">
        <v>3785</v>
      </c>
      <c r="I1586" s="40" t="s">
        <v>4089</v>
      </c>
      <c r="J1586" s="41" t="s">
        <v>3655</v>
      </c>
      <c r="K1586" s="42" t="s">
        <v>68</v>
      </c>
      <c r="L1586" s="43"/>
      <c r="M1586" s="42">
        <v>8.482501E7</v>
      </c>
      <c r="N1586" s="44" t="s">
        <v>3657</v>
      </c>
      <c r="O1586" s="45">
        <v>0.158</v>
      </c>
      <c r="P1586" s="44">
        <v>7.899823508694E12</v>
      </c>
      <c r="Q1586" s="44">
        <v>1.0</v>
      </c>
    </row>
    <row r="1587" ht="15.75" customHeight="1">
      <c r="A1587" s="35" t="s">
        <v>4090</v>
      </c>
      <c r="B1587" s="36">
        <v>40.37755090631008</v>
      </c>
      <c r="C1587" s="36">
        <f>'Lista de Preço 02_2022'!$B1587*0.9*0.9*0.9*0.9*0.9*0.97</f>
        <v>23.12726383</v>
      </c>
      <c r="D1587" s="36">
        <f>'Lista de Preço 02_2022'!$C1587*1.2307</f>
        <v>28.4627236</v>
      </c>
      <c r="E1587" s="37">
        <v>7.8</v>
      </c>
      <c r="F1587" s="38">
        <v>0.18</v>
      </c>
      <c r="G1587" s="38" t="s">
        <v>22</v>
      </c>
      <c r="H1587" s="68" t="s">
        <v>3785</v>
      </c>
      <c r="I1587" s="40" t="s">
        <v>4091</v>
      </c>
      <c r="J1587" s="41" t="s">
        <v>3655</v>
      </c>
      <c r="K1587" s="42" t="s">
        <v>68</v>
      </c>
      <c r="L1587" s="43"/>
      <c r="M1587" s="42">
        <v>8.482501E7</v>
      </c>
      <c r="N1587" s="44" t="s">
        <v>3657</v>
      </c>
      <c r="O1587" s="45">
        <v>0.109</v>
      </c>
      <c r="P1587" s="44">
        <v>7.899823508298E12</v>
      </c>
      <c r="Q1587" s="44">
        <v>1.0</v>
      </c>
    </row>
    <row r="1588" ht="15.75" customHeight="1">
      <c r="A1588" s="35" t="s">
        <v>4092</v>
      </c>
      <c r="B1588" s="36">
        <v>65.50011197107789</v>
      </c>
      <c r="C1588" s="36">
        <f>'Lista de Preço 02_2022'!$B1588*0.9*0.9*0.9*0.9*0.9*0.97</f>
        <v>37.51684628</v>
      </c>
      <c r="D1588" s="36">
        <f>'Lista de Preço 02_2022'!$C1588*1.2307</f>
        <v>46.17198272</v>
      </c>
      <c r="E1588" s="37">
        <v>7.8</v>
      </c>
      <c r="F1588" s="38">
        <v>0.18</v>
      </c>
      <c r="G1588" s="38" t="s">
        <v>22</v>
      </c>
      <c r="H1588" s="68" t="s">
        <v>3785</v>
      </c>
      <c r="I1588" s="40" t="s">
        <v>4093</v>
      </c>
      <c r="J1588" s="41" t="s">
        <v>3655</v>
      </c>
      <c r="K1588" s="42" t="s">
        <v>68</v>
      </c>
      <c r="L1588" s="43"/>
      <c r="M1588" s="42">
        <v>8.482501E7</v>
      </c>
      <c r="N1588" s="44" t="s">
        <v>3657</v>
      </c>
      <c r="O1588" s="45">
        <v>0.229</v>
      </c>
      <c r="P1588" s="44">
        <v>7.899823508076E12</v>
      </c>
      <c r="Q1588" s="44">
        <v>1.0</v>
      </c>
    </row>
    <row r="1589" ht="15.75" customHeight="1">
      <c r="A1589" s="35" t="s">
        <v>4094</v>
      </c>
      <c r="B1589" s="36">
        <v>66.35962714167484</v>
      </c>
      <c r="C1589" s="36">
        <f>'Lista de Preço 02_2022'!$B1589*0.9*0.9*0.9*0.9*0.9*0.97</f>
        <v>38.00915534</v>
      </c>
      <c r="D1589" s="36">
        <f>'Lista de Preço 02_2022'!$C1589*1.2307</f>
        <v>46.77786748</v>
      </c>
      <c r="E1589" s="37">
        <v>7.8</v>
      </c>
      <c r="F1589" s="38">
        <v>0.18</v>
      </c>
      <c r="G1589" s="38" t="s">
        <v>22</v>
      </c>
      <c r="H1589" s="68" t="s">
        <v>3785</v>
      </c>
      <c r="I1589" s="40" t="s">
        <v>4095</v>
      </c>
      <c r="J1589" s="41" t="s">
        <v>3655</v>
      </c>
      <c r="K1589" s="42" t="s">
        <v>73</v>
      </c>
      <c r="L1589" s="43" t="s">
        <v>4096</v>
      </c>
      <c r="M1589" s="42">
        <v>8.482501E7</v>
      </c>
      <c r="N1589" s="44" t="s">
        <v>3657</v>
      </c>
      <c r="O1589" s="45">
        <v>0.222</v>
      </c>
      <c r="P1589" s="44">
        <v>7.899823508441E12</v>
      </c>
      <c r="Q1589" s="44">
        <v>1.0</v>
      </c>
    </row>
    <row r="1590" ht="15.75" customHeight="1">
      <c r="A1590" s="35" t="s">
        <v>4097</v>
      </c>
      <c r="B1590" s="36">
        <v>398.30069391096947</v>
      </c>
      <c r="C1590" s="36">
        <f>'Lista de Preço 02_2022'!$B1590*0.9*0.9*0.9*0.9*0.9*0.97</f>
        <v>228.1367994</v>
      </c>
      <c r="D1590" s="36">
        <f>'Lista de Preço 02_2022'!$C1590*1.2307</f>
        <v>280.7679591</v>
      </c>
      <c r="E1590" s="37">
        <v>7.8</v>
      </c>
      <c r="F1590" s="38">
        <v>0.18</v>
      </c>
      <c r="G1590" s="38" t="s">
        <v>22</v>
      </c>
      <c r="H1590" s="68" t="s">
        <v>3695</v>
      </c>
      <c r="I1590" s="40" t="s">
        <v>4098</v>
      </c>
      <c r="J1590" s="41" t="s">
        <v>3655</v>
      </c>
      <c r="K1590" s="42" t="s">
        <v>157</v>
      </c>
      <c r="L1590" s="43"/>
      <c r="M1590" s="42">
        <v>8.482101E7</v>
      </c>
      <c r="N1590" s="44" t="s">
        <v>3657</v>
      </c>
      <c r="O1590" s="45">
        <v>0.976</v>
      </c>
      <c r="P1590" s="44">
        <v>7.899823509585E12</v>
      </c>
      <c r="Q1590" s="44">
        <v>1.0</v>
      </c>
    </row>
    <row r="1591" ht="15.75" customHeight="1">
      <c r="A1591" s="35" t="s">
        <v>4099</v>
      </c>
      <c r="B1591" s="36">
        <v>113.33883829985342</v>
      </c>
      <c r="C1591" s="36">
        <f>'Lista de Preço 02_2022'!$B1591*0.9*0.9*0.9*0.9*0.9*0.97</f>
        <v>64.91768711</v>
      </c>
      <c r="D1591" s="36">
        <f>'Lista de Preço 02_2022'!$C1591*1.2307</f>
        <v>79.89419752</v>
      </c>
      <c r="E1591" s="37">
        <v>7.8</v>
      </c>
      <c r="F1591" s="38">
        <v>0.18</v>
      </c>
      <c r="G1591" s="38" t="s">
        <v>22</v>
      </c>
      <c r="H1591" s="68" t="s">
        <v>3750</v>
      </c>
      <c r="I1591" s="40" t="s">
        <v>4100</v>
      </c>
      <c r="J1591" s="41" t="s">
        <v>3655</v>
      </c>
      <c r="K1591" s="42" t="s">
        <v>1580</v>
      </c>
      <c r="L1591" s="43">
        <v>3.3411090505E10</v>
      </c>
      <c r="M1591" s="42">
        <v>8.482101E7</v>
      </c>
      <c r="N1591" s="44" t="s">
        <v>3657</v>
      </c>
      <c r="O1591" s="45">
        <v>0.956</v>
      </c>
      <c r="P1591" s="44">
        <v>7.899823509271E12</v>
      </c>
      <c r="Q1591" s="44">
        <v>1.0</v>
      </c>
    </row>
    <row r="1592" ht="15.75" customHeight="1">
      <c r="A1592" s="35" t="s">
        <v>4101</v>
      </c>
      <c r="B1592" s="36">
        <v>244.42355507329825</v>
      </c>
      <c r="C1592" s="36">
        <f>'Lista de Preço 02_2022'!$B1592*0.9*0.9*0.9*0.9*0.9*0.97</f>
        <v>139.9997751</v>
      </c>
      <c r="D1592" s="36">
        <f>'Lista de Preço 02_2022'!$C1592*1.2307</f>
        <v>172.2977232</v>
      </c>
      <c r="E1592" s="37">
        <v>7.8</v>
      </c>
      <c r="F1592" s="38">
        <v>0.18</v>
      </c>
      <c r="G1592" s="38" t="s">
        <v>22</v>
      </c>
      <c r="H1592" s="68" t="s">
        <v>3750</v>
      </c>
      <c r="I1592" s="40" t="s">
        <v>4102</v>
      </c>
      <c r="J1592" s="41" t="s">
        <v>3655</v>
      </c>
      <c r="K1592" s="42" t="s">
        <v>157</v>
      </c>
      <c r="L1592" s="43" t="s">
        <v>4103</v>
      </c>
      <c r="M1592" s="42">
        <v>8.482101E7</v>
      </c>
      <c r="N1592" s="44" t="s">
        <v>3657</v>
      </c>
      <c r="O1592" s="45">
        <v>0.905</v>
      </c>
      <c r="P1592" s="44">
        <v>7.8998235094E12</v>
      </c>
      <c r="Q1592" s="44">
        <v>1.0</v>
      </c>
    </row>
    <row r="1593" ht="15.75" customHeight="1">
      <c r="A1593" s="35" t="s">
        <v>4104</v>
      </c>
      <c r="B1593" s="36">
        <v>15.040709159971</v>
      </c>
      <c r="C1593" s="36">
        <f>'Lista de Preço 02_2022'!$B1593*0.9*0.9*0.9*0.9*0.9*0.97</f>
        <v>8.614946701</v>
      </c>
      <c r="D1593" s="36">
        <f>'Lista de Preço 02_2022'!$C1593*1.2307</f>
        <v>10.60241491</v>
      </c>
      <c r="E1593" s="37">
        <v>7.8</v>
      </c>
      <c r="F1593" s="38">
        <v>0.18</v>
      </c>
      <c r="G1593" s="38" t="s">
        <v>22</v>
      </c>
      <c r="H1593" s="68" t="s">
        <v>3766</v>
      </c>
      <c r="I1593" s="40" t="s">
        <v>4105</v>
      </c>
      <c r="J1593" s="41" t="s">
        <v>3655</v>
      </c>
      <c r="K1593" s="42" t="s">
        <v>73</v>
      </c>
      <c r="L1593" s="43"/>
      <c r="M1593" s="42">
        <v>8.482209E7</v>
      </c>
      <c r="N1593" s="44" t="s">
        <v>3657</v>
      </c>
      <c r="O1593" s="45">
        <v>0.116</v>
      </c>
      <c r="P1593" s="44">
        <v>7.899823507604E12</v>
      </c>
      <c r="Q1593" s="44">
        <v>1.0</v>
      </c>
    </row>
    <row r="1594" ht="15.75" customHeight="1">
      <c r="A1594" s="35" t="s">
        <v>4106</v>
      </c>
      <c r="B1594" s="36">
        <v>148.45600000000002</v>
      </c>
      <c r="C1594" s="36">
        <f>'Lista de Preço 02_2022'!$B1594*0.9*0.9*0.9*0.9*0.9*0.97</f>
        <v>85.03192994</v>
      </c>
      <c r="D1594" s="36">
        <f>'Lista de Preço 02_2022'!$C1594*1.2307</f>
        <v>104.6487962</v>
      </c>
      <c r="E1594" s="37">
        <v>7.8</v>
      </c>
      <c r="F1594" s="38">
        <v>0.18</v>
      </c>
      <c r="G1594" s="38" t="s">
        <v>22</v>
      </c>
      <c r="H1594" s="68" t="s">
        <v>3904</v>
      </c>
      <c r="I1594" s="40" t="s">
        <v>4107</v>
      </c>
      <c r="J1594" s="41" t="s">
        <v>3655</v>
      </c>
      <c r="K1594" s="42" t="s">
        <v>4108</v>
      </c>
      <c r="L1594" s="43" t="s">
        <v>4109</v>
      </c>
      <c r="M1594" s="42">
        <v>8.482209E7</v>
      </c>
      <c r="N1594" s="44" t="s">
        <v>3657</v>
      </c>
      <c r="O1594" s="45">
        <v>1.004</v>
      </c>
      <c r="P1594" s="44">
        <v>7.899823509653E12</v>
      </c>
      <c r="Q1594" s="44">
        <v>1.0</v>
      </c>
    </row>
    <row r="1595" ht="15.75" customHeight="1">
      <c r="A1595" s="50" t="s">
        <v>4110</v>
      </c>
      <c r="B1595" s="36">
        <v>150.15</v>
      </c>
      <c r="C1595" s="51">
        <f>'Lista de Preço 02_2022'!$B1595*0.9*0.9*0.9*0.9*0.9*0.97</f>
        <v>86.0022113</v>
      </c>
      <c r="D1595" s="36">
        <f>'Lista de Preço 02_2022'!$C1595*1.2307</f>
        <v>105.8429214</v>
      </c>
      <c r="E1595" s="52">
        <v>7.8</v>
      </c>
      <c r="F1595" s="53">
        <v>0.18</v>
      </c>
      <c r="G1595" s="53" t="s">
        <v>22</v>
      </c>
      <c r="H1595" s="69" t="s">
        <v>4111</v>
      </c>
      <c r="I1595" s="55" t="s">
        <v>4112</v>
      </c>
      <c r="J1595" s="56" t="s">
        <v>3655</v>
      </c>
      <c r="K1595" s="57" t="s">
        <v>618</v>
      </c>
      <c r="L1595" s="58" t="s">
        <v>4113</v>
      </c>
      <c r="M1595" s="57">
        <v>8.482101E7</v>
      </c>
      <c r="N1595" s="59" t="s">
        <v>3657</v>
      </c>
      <c r="O1595" s="60">
        <v>0.905</v>
      </c>
      <c r="P1595" s="59">
        <v>7.899823511724E12</v>
      </c>
      <c r="Q1595" s="59">
        <v>1.0</v>
      </c>
    </row>
    <row r="1596" ht="15.75" customHeight="1">
      <c r="A1596" s="35" t="s">
        <v>4114</v>
      </c>
      <c r="B1596" s="36">
        <v>64.95519058841188</v>
      </c>
      <c r="C1596" s="36">
        <f>'Lista de Preço 02_2022'!$B1596*0.9*0.9*0.9*0.9*0.9*0.97</f>
        <v>37.20472878</v>
      </c>
      <c r="D1596" s="36">
        <f>'Lista de Preço 02_2022'!$C1596*1.2307</f>
        <v>45.7878597</v>
      </c>
      <c r="E1596" s="37">
        <v>7.8</v>
      </c>
      <c r="F1596" s="38">
        <v>0.18</v>
      </c>
      <c r="G1596" s="38" t="s">
        <v>22</v>
      </c>
      <c r="H1596" s="68" t="s">
        <v>3785</v>
      </c>
      <c r="I1596" s="40" t="s">
        <v>4115</v>
      </c>
      <c r="J1596" s="41" t="s">
        <v>3655</v>
      </c>
      <c r="K1596" s="42" t="s">
        <v>68</v>
      </c>
      <c r="L1596" s="43"/>
      <c r="M1596" s="42">
        <v>8.482501E7</v>
      </c>
      <c r="N1596" s="44" t="s">
        <v>3657</v>
      </c>
      <c r="O1596" s="45">
        <v>0.331</v>
      </c>
      <c r="P1596" s="44">
        <v>7.899823508366E12</v>
      </c>
      <c r="Q1596" s="44">
        <v>1.0</v>
      </c>
    </row>
    <row r="1597" ht="15.75" customHeight="1">
      <c r="A1597" s="35" t="s">
        <v>4116</v>
      </c>
      <c r="B1597" s="36">
        <v>140.4436553262959</v>
      </c>
      <c r="C1597" s="36">
        <f>'Lista de Preço 02_2022'!$B1597*0.9*0.9*0.9*0.9*0.9*0.97</f>
        <v>80.44265681</v>
      </c>
      <c r="D1597" s="36">
        <f>'Lista de Preço 02_2022'!$C1597*1.2307</f>
        <v>99.00077774</v>
      </c>
      <c r="E1597" s="37">
        <v>7.8</v>
      </c>
      <c r="F1597" s="38">
        <v>0.18</v>
      </c>
      <c r="G1597" s="38" t="s">
        <v>22</v>
      </c>
      <c r="H1597" s="68" t="s">
        <v>3713</v>
      </c>
      <c r="I1597" s="40" t="s">
        <v>4117</v>
      </c>
      <c r="J1597" s="41" t="s">
        <v>3655</v>
      </c>
      <c r="K1597" s="42" t="s">
        <v>26</v>
      </c>
      <c r="L1597" s="43" t="s">
        <v>4118</v>
      </c>
      <c r="M1597" s="42">
        <v>8.482101E7</v>
      </c>
      <c r="N1597" s="44" t="s">
        <v>3657</v>
      </c>
      <c r="O1597" s="45">
        <v>0.852</v>
      </c>
      <c r="P1597" s="44">
        <v>7.899823508724E12</v>
      </c>
      <c r="Q1597" s="44">
        <v>1.0</v>
      </c>
    </row>
    <row r="1598" ht="15.75" customHeight="1">
      <c r="A1598" s="35" t="s">
        <v>4119</v>
      </c>
      <c r="B1598" s="36">
        <v>104.31009351904501</v>
      </c>
      <c r="C1598" s="36">
        <f>'Lista de Preço 02_2022'!$B1598*0.9*0.9*0.9*0.9*0.9*0.97</f>
        <v>59.74624511</v>
      </c>
      <c r="D1598" s="36">
        <f>'Lista de Preço 02_2022'!$C1598*1.2307</f>
        <v>73.52970385</v>
      </c>
      <c r="E1598" s="37">
        <v>7.8</v>
      </c>
      <c r="F1598" s="38">
        <v>0.18</v>
      </c>
      <c r="G1598" s="38" t="s">
        <v>22</v>
      </c>
      <c r="H1598" s="68" t="s">
        <v>3695</v>
      </c>
      <c r="I1598" s="40" t="s">
        <v>4120</v>
      </c>
      <c r="J1598" s="41" t="s">
        <v>3655</v>
      </c>
      <c r="K1598" s="42" t="s">
        <v>507</v>
      </c>
      <c r="L1598" s="43" t="s">
        <v>4121</v>
      </c>
      <c r="M1598" s="42">
        <v>8.482101E7</v>
      </c>
      <c r="N1598" s="44" t="s">
        <v>3657</v>
      </c>
      <c r="O1598" s="45">
        <v>0.889</v>
      </c>
      <c r="P1598" s="44">
        <v>7.899823508656E12</v>
      </c>
      <c r="Q1598" s="44">
        <v>1.0</v>
      </c>
    </row>
    <row r="1599" ht="15.75" customHeight="1">
      <c r="A1599" s="35" t="s">
        <v>4122</v>
      </c>
      <c r="B1599" s="36">
        <v>164.4860880670553</v>
      </c>
      <c r="C1599" s="36">
        <f>'Lista de Preço 02_2022'!$B1599*0.9*0.9*0.9*0.9*0.9*0.97</f>
        <v>94.21356844</v>
      </c>
      <c r="D1599" s="36">
        <f>'Lista de Preço 02_2022'!$C1599*1.2307</f>
        <v>115.9486387</v>
      </c>
      <c r="E1599" s="37">
        <v>7.8</v>
      </c>
      <c r="F1599" s="38">
        <v>0.18</v>
      </c>
      <c r="G1599" s="38" t="s">
        <v>22</v>
      </c>
      <c r="H1599" s="68" t="s">
        <v>3713</v>
      </c>
      <c r="I1599" s="40" t="s">
        <v>4123</v>
      </c>
      <c r="J1599" s="41" t="s">
        <v>3655</v>
      </c>
      <c r="K1599" s="42" t="s">
        <v>625</v>
      </c>
      <c r="L1599" s="43" t="s">
        <v>4124</v>
      </c>
      <c r="M1599" s="42">
        <v>8.482101E7</v>
      </c>
      <c r="N1599" s="44" t="s">
        <v>3657</v>
      </c>
      <c r="O1599" s="45">
        <v>1.05</v>
      </c>
      <c r="P1599" s="44">
        <v>7.899823509547E12</v>
      </c>
      <c r="Q1599" s="44">
        <v>1.0</v>
      </c>
    </row>
    <row r="1600" ht="15.75" customHeight="1">
      <c r="A1600" s="35" t="s">
        <v>4125</v>
      </c>
      <c r="B1600" s="36">
        <v>122.33636880792417</v>
      </c>
      <c r="C1600" s="36">
        <f>'Lista de Preço 02_2022'!$B1600*0.9*0.9*0.9*0.9*0.9*0.97</f>
        <v>70.07125034</v>
      </c>
      <c r="D1600" s="36">
        <f>'Lista de Preço 02_2022'!$C1600*1.2307</f>
        <v>86.2366878</v>
      </c>
      <c r="E1600" s="37">
        <v>7.8</v>
      </c>
      <c r="F1600" s="38">
        <v>0.18</v>
      </c>
      <c r="G1600" s="38" t="s">
        <v>22</v>
      </c>
      <c r="H1600" s="68" t="s">
        <v>3695</v>
      </c>
      <c r="I1600" s="40" t="s">
        <v>4126</v>
      </c>
      <c r="J1600" s="41" t="s">
        <v>3655</v>
      </c>
      <c r="K1600" s="42" t="s">
        <v>507</v>
      </c>
      <c r="L1600" s="43" t="s">
        <v>4121</v>
      </c>
      <c r="M1600" s="42">
        <v>8.482101E7</v>
      </c>
      <c r="N1600" s="44" t="s">
        <v>3657</v>
      </c>
      <c r="O1600" s="45">
        <v>1.0</v>
      </c>
      <c r="P1600" s="44">
        <v>7.899823507819E12</v>
      </c>
      <c r="Q1600" s="44">
        <v>1.0</v>
      </c>
    </row>
    <row r="1601" ht="15.75" customHeight="1">
      <c r="A1601" s="35" t="s">
        <v>4127</v>
      </c>
      <c r="B1601" s="36">
        <v>203.6413</v>
      </c>
      <c r="C1601" s="36">
        <f>'Lista de Preço 02_2022'!$B1601*0.9*0.9*0.9*0.9*0.9*0.97</f>
        <v>116.6407067</v>
      </c>
      <c r="D1601" s="36">
        <f>'Lista de Preço 02_2022'!$C1601*1.2307</f>
        <v>143.5497177</v>
      </c>
      <c r="E1601" s="37">
        <v>7.8</v>
      </c>
      <c r="F1601" s="38">
        <v>0.18</v>
      </c>
      <c r="G1601" s="38" t="s">
        <v>22</v>
      </c>
      <c r="H1601" s="68" t="s">
        <v>3785</v>
      </c>
      <c r="I1601" s="40" t="s">
        <v>4128</v>
      </c>
      <c r="J1601" s="41" t="s">
        <v>3655</v>
      </c>
      <c r="K1601" s="42" t="s">
        <v>73</v>
      </c>
      <c r="L1601" s="43"/>
      <c r="M1601" s="42">
        <v>8.482209E7</v>
      </c>
      <c r="N1601" s="44" t="s">
        <v>3657</v>
      </c>
      <c r="O1601" s="45">
        <v>1.055</v>
      </c>
      <c r="P1601" s="44">
        <v>7.899823508953E12</v>
      </c>
      <c r="Q1601" s="44">
        <v>1.0</v>
      </c>
    </row>
    <row r="1602" ht="15.75" customHeight="1">
      <c r="A1602" s="35" t="s">
        <v>4129</v>
      </c>
      <c r="B1602" s="36">
        <v>182.5767519241847</v>
      </c>
      <c r="C1602" s="36">
        <f>'Lista de Preço 02_2022'!$B1602*0.9*0.9*0.9*0.9*0.9*0.97</f>
        <v>104.5754539</v>
      </c>
      <c r="D1602" s="36">
        <f>'Lista de Preço 02_2022'!$C1602*1.2307</f>
        <v>128.7010111</v>
      </c>
      <c r="E1602" s="37">
        <v>7.8</v>
      </c>
      <c r="F1602" s="38">
        <v>0.18</v>
      </c>
      <c r="G1602" s="38" t="s">
        <v>22</v>
      </c>
      <c r="H1602" s="68" t="s">
        <v>3704</v>
      </c>
      <c r="I1602" s="40" t="s">
        <v>4130</v>
      </c>
      <c r="J1602" s="41" t="s">
        <v>3655</v>
      </c>
      <c r="K1602" s="42" t="s">
        <v>26</v>
      </c>
      <c r="L1602" s="43" t="s">
        <v>4131</v>
      </c>
      <c r="M1602" s="42">
        <v>8.482101E7</v>
      </c>
      <c r="N1602" s="44" t="s">
        <v>3657</v>
      </c>
      <c r="O1602" s="45">
        <v>1.472</v>
      </c>
      <c r="P1602" s="44">
        <v>7.899823509691E12</v>
      </c>
      <c r="Q1602" s="44">
        <v>1.0</v>
      </c>
    </row>
    <row r="1603" ht="15.75" customHeight="1">
      <c r="A1603" s="35" t="s">
        <v>4132</v>
      </c>
      <c r="B1603" s="36">
        <v>200.8344271166032</v>
      </c>
      <c r="C1603" s="36">
        <f>'Lista de Preço 02_2022'!$B1603*0.9*0.9*0.9*0.9*0.9*0.97</f>
        <v>115.0329992</v>
      </c>
      <c r="D1603" s="36">
        <f>'Lista de Preço 02_2022'!$C1603*1.2307</f>
        <v>141.5711122</v>
      </c>
      <c r="E1603" s="37">
        <v>7.8</v>
      </c>
      <c r="F1603" s="38">
        <v>0.18</v>
      </c>
      <c r="G1603" s="38" t="s">
        <v>22</v>
      </c>
      <c r="H1603" s="68" t="s">
        <v>3713</v>
      </c>
      <c r="I1603" s="40" t="s">
        <v>4133</v>
      </c>
      <c r="J1603" s="41" t="s">
        <v>3655</v>
      </c>
      <c r="K1603" s="42" t="s">
        <v>26</v>
      </c>
      <c r="L1603" s="43" t="s">
        <v>4134</v>
      </c>
      <c r="M1603" s="42">
        <v>8.482101E7</v>
      </c>
      <c r="N1603" s="44" t="s">
        <v>3657</v>
      </c>
      <c r="O1603" s="45">
        <v>1.481</v>
      </c>
      <c r="P1603" s="44">
        <v>7.899823509189E12</v>
      </c>
      <c r="Q1603" s="44">
        <v>1.0</v>
      </c>
    </row>
    <row r="1604" ht="15.75" customHeight="1">
      <c r="A1604" s="35" t="s">
        <v>4135</v>
      </c>
      <c r="B1604" s="36">
        <v>161.5143</v>
      </c>
      <c r="C1604" s="36">
        <f>'Lista de Preço 02_2022'!$B1604*0.9*0.9*0.9*0.9*0.9*0.97</f>
        <v>92.51140164</v>
      </c>
      <c r="D1604" s="36">
        <f>'Lista de Preço 02_2022'!$C1604*1.2307</f>
        <v>113.853782</v>
      </c>
      <c r="E1604" s="37">
        <v>7.8</v>
      </c>
      <c r="F1604" s="38">
        <v>0.18</v>
      </c>
      <c r="G1604" s="38" t="s">
        <v>22</v>
      </c>
      <c r="H1604" s="68" t="s">
        <v>3750</v>
      </c>
      <c r="I1604" s="40" t="s">
        <v>4136</v>
      </c>
      <c r="J1604" s="41" t="s">
        <v>3655</v>
      </c>
      <c r="K1604" s="42" t="s">
        <v>2508</v>
      </c>
      <c r="L1604" s="43" t="s">
        <v>4137</v>
      </c>
      <c r="M1604" s="42">
        <v>8.482101E7</v>
      </c>
      <c r="N1604" s="44" t="s">
        <v>3657</v>
      </c>
      <c r="O1604" s="45">
        <v>0.926</v>
      </c>
      <c r="P1604" s="44">
        <v>7.899823509288E12</v>
      </c>
      <c r="Q1604" s="44">
        <v>1.0</v>
      </c>
    </row>
    <row r="1605" ht="15.75" customHeight="1">
      <c r="A1605" s="35" t="s">
        <v>4138</v>
      </c>
      <c r="B1605" s="36">
        <v>26.984623622530016</v>
      </c>
      <c r="C1605" s="36">
        <f>'Lista de Preço 02_2022'!$B1605*0.9*0.9*0.9*0.9*0.9*0.97</f>
        <v>15.45612589</v>
      </c>
      <c r="D1605" s="36">
        <f>'Lista de Preço 02_2022'!$C1605*1.2307</f>
        <v>19.02185413</v>
      </c>
      <c r="E1605" s="37">
        <v>7.8</v>
      </c>
      <c r="F1605" s="38">
        <v>0.18</v>
      </c>
      <c r="G1605" s="38" t="s">
        <v>22</v>
      </c>
      <c r="H1605" s="68" t="s">
        <v>3695</v>
      </c>
      <c r="I1605" s="40" t="s">
        <v>4139</v>
      </c>
      <c r="J1605" s="41" t="s">
        <v>3655</v>
      </c>
      <c r="K1605" s="42" t="s">
        <v>68</v>
      </c>
      <c r="L1605" s="43">
        <v>457052.0</v>
      </c>
      <c r="M1605" s="42">
        <v>8.482209E7</v>
      </c>
      <c r="N1605" s="44" t="s">
        <v>3657</v>
      </c>
      <c r="O1605" s="45">
        <v>0.25</v>
      </c>
      <c r="P1605" s="44">
        <v>7.899823507864E12</v>
      </c>
      <c r="Q1605" s="44">
        <v>1.0</v>
      </c>
    </row>
    <row r="1606" ht="15.75" customHeight="1">
      <c r="A1606" s="35" t="s">
        <v>4140</v>
      </c>
      <c r="B1606" s="36">
        <v>167.5668362611868</v>
      </c>
      <c r="C1606" s="36">
        <f>'Lista de Preço 02_2022'!$B1606*0.9*0.9*0.9*0.9*0.9*0.97</f>
        <v>95.97814491</v>
      </c>
      <c r="D1606" s="36">
        <f>'Lista de Preço 02_2022'!$C1606*1.2307</f>
        <v>118.1203029</v>
      </c>
      <c r="E1606" s="37">
        <v>7.8</v>
      </c>
      <c r="F1606" s="38">
        <v>0.18</v>
      </c>
      <c r="G1606" s="38" t="s">
        <v>22</v>
      </c>
      <c r="H1606" s="68" t="s">
        <v>3713</v>
      </c>
      <c r="I1606" s="40" t="s">
        <v>4128</v>
      </c>
      <c r="J1606" s="41" t="s">
        <v>3655</v>
      </c>
      <c r="K1606" s="42" t="s">
        <v>73</v>
      </c>
      <c r="L1606" s="43" t="s">
        <v>4141</v>
      </c>
      <c r="M1606" s="42">
        <v>8.482101E7</v>
      </c>
      <c r="N1606" s="44" t="s">
        <v>3657</v>
      </c>
      <c r="O1606" s="45">
        <v>1.106</v>
      </c>
      <c r="P1606" s="44">
        <v>7.899823508632E12</v>
      </c>
      <c r="Q1606" s="44">
        <v>1.0</v>
      </c>
    </row>
    <row r="1607" ht="15.75" customHeight="1">
      <c r="A1607" s="35" t="s">
        <v>4142</v>
      </c>
      <c r="B1607" s="36">
        <v>324.6456556310857</v>
      </c>
      <c r="C1607" s="36">
        <f>'Lista de Preço 02_2022'!$B1607*0.9*0.9*0.9*0.9*0.9*0.97</f>
        <v>185.9490128</v>
      </c>
      <c r="D1607" s="36">
        <f>'Lista de Preço 02_2022'!$C1607*1.2307</f>
        <v>228.8474501</v>
      </c>
      <c r="E1607" s="37">
        <v>7.8</v>
      </c>
      <c r="F1607" s="38">
        <v>0.18</v>
      </c>
      <c r="G1607" s="38" t="s">
        <v>22</v>
      </c>
      <c r="H1607" s="68" t="s">
        <v>3750</v>
      </c>
      <c r="I1607" s="40" t="s">
        <v>4143</v>
      </c>
      <c r="J1607" s="41" t="s">
        <v>3655</v>
      </c>
      <c r="K1607" s="42" t="s">
        <v>1580</v>
      </c>
      <c r="L1607" s="43">
        <v>3.12034506E10</v>
      </c>
      <c r="M1607" s="42">
        <v>8.482101E7</v>
      </c>
      <c r="N1607" s="44" t="s">
        <v>3657</v>
      </c>
      <c r="O1607" s="45">
        <v>1.135</v>
      </c>
      <c r="P1607" s="44">
        <v>7.899823509578E12</v>
      </c>
      <c r="Q1607" s="44">
        <v>1.0</v>
      </c>
    </row>
    <row r="1608" ht="15.75" customHeight="1">
      <c r="A1608" s="35" t="s">
        <v>4144</v>
      </c>
      <c r="B1608" s="36">
        <v>64.76770512620442</v>
      </c>
      <c r="C1608" s="36">
        <f>'Lista de Preço 02_2022'!$B1608*0.9*0.9*0.9*0.9*0.9*0.97</f>
        <v>37.09734173</v>
      </c>
      <c r="D1608" s="36">
        <f>'Lista de Preço 02_2022'!$C1608*1.2307</f>
        <v>45.65569847</v>
      </c>
      <c r="E1608" s="37">
        <v>7.8</v>
      </c>
      <c r="F1608" s="38">
        <v>0.18</v>
      </c>
      <c r="G1608" s="38" t="s">
        <v>22</v>
      </c>
      <c r="H1608" s="68" t="s">
        <v>3785</v>
      </c>
      <c r="I1608" s="40" t="s">
        <v>4145</v>
      </c>
      <c r="J1608" s="41" t="s">
        <v>3655</v>
      </c>
      <c r="K1608" s="42" t="s">
        <v>456</v>
      </c>
      <c r="L1608" s="43" t="s">
        <v>4146</v>
      </c>
      <c r="M1608" s="42">
        <v>8.482101E7</v>
      </c>
      <c r="N1608" s="44" t="s">
        <v>3657</v>
      </c>
      <c r="O1608" s="45">
        <v>0.351</v>
      </c>
      <c r="P1608" s="44">
        <v>7.899823508687E12</v>
      </c>
      <c r="Q1608" s="44">
        <v>1.0</v>
      </c>
    </row>
    <row r="1609" ht="15.75" customHeight="1">
      <c r="A1609" s="35" t="s">
        <v>4147</v>
      </c>
      <c r="B1609" s="36">
        <v>64.77</v>
      </c>
      <c r="C1609" s="36">
        <f>'Lista de Preço 02_2022'!$B1609*0.9*0.9*0.9*0.9*0.9*0.97</f>
        <v>37.09865618</v>
      </c>
      <c r="D1609" s="36">
        <f>'Lista de Preço 02_2022'!$C1609*1.2307</f>
        <v>45.65731616</v>
      </c>
      <c r="E1609" s="37">
        <v>7.8</v>
      </c>
      <c r="F1609" s="38">
        <v>0.18</v>
      </c>
      <c r="G1609" s="38" t="s">
        <v>22</v>
      </c>
      <c r="H1609" s="68" t="s">
        <v>3695</v>
      </c>
      <c r="I1609" s="40" t="s">
        <v>4148</v>
      </c>
      <c r="J1609" s="41" t="s">
        <v>3655</v>
      </c>
      <c r="K1609" s="42" t="s">
        <v>456</v>
      </c>
      <c r="L1609" s="43" t="s">
        <v>4149</v>
      </c>
      <c r="M1609" s="42">
        <v>8.482101E7</v>
      </c>
      <c r="N1609" s="44" t="s">
        <v>3657</v>
      </c>
      <c r="O1609" s="45">
        <v>0.425</v>
      </c>
      <c r="P1609" s="44">
        <v>7.899823509257E12</v>
      </c>
      <c r="Q1609" s="44">
        <v>1.0</v>
      </c>
    </row>
    <row r="1610" ht="15.75" customHeight="1">
      <c r="A1610" s="35" t="s">
        <v>4150</v>
      </c>
      <c r="B1610" s="36">
        <v>38.37333131531261</v>
      </c>
      <c r="C1610" s="36">
        <f>'Lista de Preço 02_2022'!$B1610*0.9*0.9*0.9*0.9*0.9*0.97</f>
        <v>21.97929636</v>
      </c>
      <c r="D1610" s="36">
        <f>'Lista de Preço 02_2022'!$C1610*1.2307</f>
        <v>27.04992003</v>
      </c>
      <c r="E1610" s="37">
        <v>7.8</v>
      </c>
      <c r="F1610" s="38">
        <v>0.18</v>
      </c>
      <c r="G1610" s="38" t="s">
        <v>22</v>
      </c>
      <c r="H1610" s="68" t="s">
        <v>3766</v>
      </c>
      <c r="I1610" s="40" t="s">
        <v>4151</v>
      </c>
      <c r="J1610" s="41" t="s">
        <v>3655</v>
      </c>
      <c r="K1610" s="42" t="s">
        <v>68</v>
      </c>
      <c r="L1610" s="43" t="s">
        <v>4152</v>
      </c>
      <c r="M1610" s="42">
        <v>8.482209E7</v>
      </c>
      <c r="N1610" s="44" t="s">
        <v>3657</v>
      </c>
      <c r="O1610" s="45">
        <v>0.326</v>
      </c>
      <c r="P1610" s="44">
        <v>7.899823508137E12</v>
      </c>
      <c r="Q1610" s="44">
        <v>1.0</v>
      </c>
    </row>
    <row r="1611" ht="15.75" customHeight="1">
      <c r="A1611" s="35" t="s">
        <v>4153</v>
      </c>
      <c r="B1611" s="36">
        <v>39.371947063561116</v>
      </c>
      <c r="C1611" s="36">
        <f>'Lista de Preço 02_2022'!$B1611*0.9*0.9*0.9*0.9*0.9*0.97</f>
        <v>22.55127879</v>
      </c>
      <c r="D1611" s="36">
        <f>'Lista de Preço 02_2022'!$C1611*1.2307</f>
        <v>27.75385881</v>
      </c>
      <c r="E1611" s="37">
        <v>7.8</v>
      </c>
      <c r="F1611" s="38">
        <v>0.18</v>
      </c>
      <c r="G1611" s="38" t="s">
        <v>22</v>
      </c>
      <c r="H1611" s="68" t="s">
        <v>3695</v>
      </c>
      <c r="I1611" s="40" t="s">
        <v>4154</v>
      </c>
      <c r="J1611" s="41" t="s">
        <v>3655</v>
      </c>
      <c r="K1611" s="42" t="s">
        <v>26</v>
      </c>
      <c r="L1611" s="43"/>
      <c r="M1611" s="42">
        <v>8.482209E7</v>
      </c>
      <c r="N1611" s="44" t="s">
        <v>3657</v>
      </c>
      <c r="O1611" s="45">
        <v>0.344</v>
      </c>
      <c r="P1611" s="44">
        <v>7.899823508915E12</v>
      </c>
      <c r="Q1611" s="44">
        <v>1.0</v>
      </c>
    </row>
    <row r="1612" ht="15.75" customHeight="1">
      <c r="A1612" s="35" t="s">
        <v>4155</v>
      </c>
      <c r="B1612" s="36">
        <v>53.264387330059094</v>
      </c>
      <c r="C1612" s="36">
        <f>'Lista de Preço 02_2022'!$B1612*0.9*0.9*0.9*0.9*0.9*0.97</f>
        <v>30.50852543</v>
      </c>
      <c r="D1612" s="36">
        <f>'Lista de Preço 02_2022'!$C1612*1.2307</f>
        <v>37.54684225</v>
      </c>
      <c r="E1612" s="37">
        <v>7.8</v>
      </c>
      <c r="F1612" s="38">
        <v>0.18</v>
      </c>
      <c r="G1612" s="38" t="s">
        <v>22</v>
      </c>
      <c r="H1612" s="68" t="s">
        <v>3766</v>
      </c>
      <c r="I1612" s="40" t="s">
        <v>4156</v>
      </c>
      <c r="J1612" s="41" t="s">
        <v>3655</v>
      </c>
      <c r="K1612" s="42" t="s">
        <v>3723</v>
      </c>
      <c r="L1612" s="43" t="s">
        <v>4157</v>
      </c>
      <c r="M1612" s="42">
        <v>8.482209E7</v>
      </c>
      <c r="N1612" s="44" t="s">
        <v>3657</v>
      </c>
      <c r="O1612" s="45">
        <v>0.302</v>
      </c>
      <c r="P1612" s="44">
        <v>7.8998235087E12</v>
      </c>
      <c r="Q1612" s="44">
        <v>1.0</v>
      </c>
    </row>
    <row r="1613" ht="15.75" customHeight="1">
      <c r="A1613" s="35" t="s">
        <v>4158</v>
      </c>
      <c r="B1613" s="36">
        <v>201.12076854979276</v>
      </c>
      <c r="C1613" s="36">
        <f>'Lista de Preço 02_2022'!$B1613*0.9*0.9*0.9*0.9*0.9*0.97</f>
        <v>115.1970085</v>
      </c>
      <c r="D1613" s="36">
        <f>'Lista de Preço 02_2022'!$C1613*1.2307</f>
        <v>141.7729584</v>
      </c>
      <c r="E1613" s="37">
        <v>7.8</v>
      </c>
      <c r="F1613" s="38">
        <v>0.18</v>
      </c>
      <c r="G1613" s="38" t="s">
        <v>22</v>
      </c>
      <c r="H1613" s="68" t="s">
        <v>3794</v>
      </c>
      <c r="I1613" s="40" t="s">
        <v>4159</v>
      </c>
      <c r="J1613" s="41" t="s">
        <v>3655</v>
      </c>
      <c r="K1613" s="42" t="s">
        <v>2508</v>
      </c>
      <c r="L1613" s="43" t="s">
        <v>4160</v>
      </c>
      <c r="M1613" s="42">
        <v>8.482209E7</v>
      </c>
      <c r="N1613" s="44" t="s">
        <v>3657</v>
      </c>
      <c r="O1613" s="45">
        <v>1.278</v>
      </c>
      <c r="P1613" s="44">
        <v>7.899823509318E12</v>
      </c>
      <c r="Q1613" s="44">
        <v>1.0</v>
      </c>
    </row>
    <row r="1614" ht="15.75" customHeight="1">
      <c r="A1614" s="35" t="s">
        <v>4161</v>
      </c>
      <c r="B1614" s="36">
        <v>186.08784330734213</v>
      </c>
      <c r="C1614" s="36">
        <f>'Lista de Preço 02_2022'!$B1614*0.9*0.9*0.9*0.9*0.9*0.97</f>
        <v>106.5865203</v>
      </c>
      <c r="D1614" s="36">
        <f>'Lista de Preço 02_2022'!$C1614*1.2307</f>
        <v>131.1760305</v>
      </c>
      <c r="E1614" s="37">
        <v>7.8</v>
      </c>
      <c r="F1614" s="38">
        <v>0.18</v>
      </c>
      <c r="G1614" s="38" t="s">
        <v>22</v>
      </c>
      <c r="H1614" s="68" t="s">
        <v>3713</v>
      </c>
      <c r="I1614" s="40" t="s">
        <v>4162</v>
      </c>
      <c r="J1614" s="41" t="s">
        <v>3655</v>
      </c>
      <c r="K1614" s="42" t="s">
        <v>157</v>
      </c>
      <c r="L1614" s="43" t="s">
        <v>4163</v>
      </c>
      <c r="M1614" s="42">
        <v>8.482101E7</v>
      </c>
      <c r="N1614" s="44" t="s">
        <v>3657</v>
      </c>
      <c r="O1614" s="45">
        <v>1.136</v>
      </c>
      <c r="P1614" s="44">
        <v>7.899823509011E12</v>
      </c>
      <c r="Q1614" s="44">
        <v>1.0</v>
      </c>
    </row>
    <row r="1615" ht="15.75" customHeight="1">
      <c r="A1615" s="35" t="s">
        <v>4164</v>
      </c>
      <c r="B1615" s="36">
        <v>239.45643233133458</v>
      </c>
      <c r="C1615" s="36">
        <f>'Lista de Preço 02_2022'!$B1615*0.9*0.9*0.9*0.9*0.9*0.97</f>
        <v>137.1547299</v>
      </c>
      <c r="D1615" s="36">
        <f>'Lista de Preço 02_2022'!$C1615*1.2307</f>
        <v>168.796326</v>
      </c>
      <c r="E1615" s="37">
        <v>7.8</v>
      </c>
      <c r="F1615" s="38">
        <v>0.18</v>
      </c>
      <c r="G1615" s="38" t="s">
        <v>22</v>
      </c>
      <c r="H1615" s="68" t="s">
        <v>3750</v>
      </c>
      <c r="I1615" s="40" t="s">
        <v>4165</v>
      </c>
      <c r="J1615" s="41" t="s">
        <v>3655</v>
      </c>
      <c r="K1615" s="42" t="s">
        <v>2508</v>
      </c>
      <c r="L1615" s="43" t="s">
        <v>4166</v>
      </c>
      <c r="M1615" s="42">
        <v>8.482209E7</v>
      </c>
      <c r="N1615" s="44" t="s">
        <v>3657</v>
      </c>
      <c r="O1615" s="45">
        <v>1.446</v>
      </c>
      <c r="P1615" s="44">
        <v>7.899823508755E12</v>
      </c>
      <c r="Q1615" s="44">
        <v>1.0</v>
      </c>
    </row>
    <row r="1616" ht="15.75" customHeight="1">
      <c r="A1616" s="35" t="s">
        <v>4167</v>
      </c>
      <c r="B1616" s="36">
        <v>184.0766356218442</v>
      </c>
      <c r="C1616" s="36">
        <f>'Lista de Preço 02_2022'!$B1616*0.9*0.9*0.9*0.9*0.9*0.97</f>
        <v>105.4345502</v>
      </c>
      <c r="D1616" s="36">
        <f>'Lista de Preço 02_2022'!$C1616*1.2307</f>
        <v>129.7583009</v>
      </c>
      <c r="E1616" s="37">
        <v>7.8</v>
      </c>
      <c r="F1616" s="38">
        <v>0.18</v>
      </c>
      <c r="G1616" s="38" t="s">
        <v>22</v>
      </c>
      <c r="H1616" s="68" t="s">
        <v>3713</v>
      </c>
      <c r="I1616" s="40" t="s">
        <v>4168</v>
      </c>
      <c r="J1616" s="41" t="s">
        <v>3655</v>
      </c>
      <c r="K1616" s="42" t="s">
        <v>157</v>
      </c>
      <c r="L1616" s="43" t="s">
        <v>4169</v>
      </c>
      <c r="M1616" s="42">
        <v>8.482101E7</v>
      </c>
      <c r="N1616" s="44" t="s">
        <v>3657</v>
      </c>
      <c r="O1616" s="45">
        <v>0.993</v>
      </c>
      <c r="P1616" s="44">
        <v>7.899823509295E12</v>
      </c>
      <c r="Q1616" s="44">
        <v>1.0</v>
      </c>
    </row>
    <row r="1617" ht="15.75" customHeight="1">
      <c r="A1617" s="35" t="s">
        <v>4170</v>
      </c>
      <c r="B1617" s="36">
        <v>200.1322088399717</v>
      </c>
      <c r="C1617" s="36">
        <f>'Lista de Preço 02_2022'!$B1617*0.9*0.9*0.9*0.9*0.9*0.97</f>
        <v>114.630786</v>
      </c>
      <c r="D1617" s="36">
        <f>'Lista de Preço 02_2022'!$C1617*1.2307</f>
        <v>141.0761083</v>
      </c>
      <c r="E1617" s="37">
        <v>7.8</v>
      </c>
      <c r="F1617" s="38">
        <v>0.18</v>
      </c>
      <c r="G1617" s="38" t="s">
        <v>22</v>
      </c>
      <c r="H1617" s="68" t="s">
        <v>3791</v>
      </c>
      <c r="I1617" s="40" t="s">
        <v>4171</v>
      </c>
      <c r="J1617" s="41" t="s">
        <v>3655</v>
      </c>
      <c r="K1617" s="42" t="s">
        <v>86</v>
      </c>
      <c r="L1617" s="43">
        <v>9.036965002E9</v>
      </c>
      <c r="M1617" s="42">
        <v>8.482209E7</v>
      </c>
      <c r="N1617" s="44" t="s">
        <v>3657</v>
      </c>
      <c r="O1617" s="45">
        <v>1.495</v>
      </c>
      <c r="P1617" s="44">
        <v>7.899823509554E12</v>
      </c>
      <c r="Q1617" s="44">
        <v>1.0</v>
      </c>
    </row>
    <row r="1618" ht="15.75" customHeight="1">
      <c r="A1618" s="35" t="s">
        <v>4172</v>
      </c>
      <c r="B1618" s="36">
        <v>18.406100000000002</v>
      </c>
      <c r="C1618" s="36">
        <f>'Lista de Preço 02_2022'!$B1618*0.9*0.9*0.9*0.9*0.9*0.97</f>
        <v>10.54255945</v>
      </c>
      <c r="D1618" s="36">
        <f>'Lista de Preço 02_2022'!$C1618*1.2307</f>
        <v>12.97472791</v>
      </c>
      <c r="E1618" s="37">
        <v>7.8</v>
      </c>
      <c r="F1618" s="38">
        <v>0.18</v>
      </c>
      <c r="G1618" s="38" t="s">
        <v>22</v>
      </c>
      <c r="H1618" s="68" t="s">
        <v>4173</v>
      </c>
      <c r="I1618" s="40" t="s">
        <v>4174</v>
      </c>
      <c r="J1618" s="41" t="s">
        <v>3655</v>
      </c>
      <c r="K1618" s="42" t="s">
        <v>95</v>
      </c>
      <c r="L1618" s="43"/>
      <c r="M1618" s="42">
        <v>8.482101E7</v>
      </c>
      <c r="N1618" s="44" t="s">
        <v>3657</v>
      </c>
      <c r="O1618" s="45">
        <v>0.152</v>
      </c>
      <c r="P1618" s="44">
        <v>7.89982350883E12</v>
      </c>
      <c r="Q1618" s="44">
        <v>1.0</v>
      </c>
    </row>
    <row r="1619" ht="15.75" customHeight="1">
      <c r="A1619" s="35" t="s">
        <v>4175</v>
      </c>
      <c r="B1619" s="36">
        <v>44.99651092978412</v>
      </c>
      <c r="C1619" s="36">
        <f>'Lista de Preço 02_2022'!$B1619*0.9*0.9*0.9*0.9*0.9*0.97</f>
        <v>25.77289005</v>
      </c>
      <c r="D1619" s="36">
        <f>'Lista de Preço 02_2022'!$C1619*1.2307</f>
        <v>31.71869578</v>
      </c>
      <c r="E1619" s="37">
        <v>7.8</v>
      </c>
      <c r="F1619" s="38">
        <v>0.18</v>
      </c>
      <c r="G1619" s="38" t="s">
        <v>22</v>
      </c>
      <c r="H1619" s="68" t="s">
        <v>3766</v>
      </c>
      <c r="I1619" s="40" t="s">
        <v>4176</v>
      </c>
      <c r="J1619" s="41" t="s">
        <v>3655</v>
      </c>
      <c r="K1619" s="42" t="s">
        <v>26</v>
      </c>
      <c r="L1619" s="43" t="s">
        <v>4177</v>
      </c>
      <c r="M1619" s="42">
        <v>8.482209E7</v>
      </c>
      <c r="N1619" s="44" t="s">
        <v>3657</v>
      </c>
      <c r="O1619" s="45">
        <v>0.362</v>
      </c>
      <c r="P1619" s="44">
        <v>7.899823508601E12</v>
      </c>
      <c r="Q1619" s="44">
        <v>1.0</v>
      </c>
    </row>
    <row r="1620" ht="15.75" customHeight="1">
      <c r="A1620" s="35" t="s">
        <v>4178</v>
      </c>
      <c r="B1620" s="36">
        <v>44.17145587478468</v>
      </c>
      <c r="C1620" s="36">
        <f>'Lista de Preço 02_2022'!$B1620*0.9*0.9*0.9*0.9*0.9*0.97</f>
        <v>25.30031889</v>
      </c>
      <c r="D1620" s="36">
        <f>'Lista de Preço 02_2022'!$C1620*1.2307</f>
        <v>31.13710246</v>
      </c>
      <c r="E1620" s="37">
        <v>7.8</v>
      </c>
      <c r="F1620" s="38">
        <v>0.18</v>
      </c>
      <c r="G1620" s="38" t="s">
        <v>22</v>
      </c>
      <c r="H1620" s="68" t="s">
        <v>3785</v>
      </c>
      <c r="I1620" s="40" t="s">
        <v>4179</v>
      </c>
      <c r="J1620" s="41" t="s">
        <v>3655</v>
      </c>
      <c r="K1620" s="42" t="s">
        <v>68</v>
      </c>
      <c r="L1620" s="43">
        <v>2.582425E7</v>
      </c>
      <c r="M1620" s="42">
        <v>8.482209E7</v>
      </c>
      <c r="N1620" s="44" t="s">
        <v>3657</v>
      </c>
      <c r="O1620" s="45">
        <v>0.383</v>
      </c>
      <c r="P1620" s="44">
        <v>7.89982350966E12</v>
      </c>
      <c r="Q1620" s="44">
        <v>1.0</v>
      </c>
    </row>
    <row r="1621" ht="15.75" customHeight="1">
      <c r="A1621" s="35" t="s">
        <v>4180</v>
      </c>
      <c r="B1621" s="36">
        <v>28.232515501585574</v>
      </c>
      <c r="C1621" s="36">
        <f>'Lista de Preço 02_2022'!$B1621*0.9*0.9*0.9*0.9*0.9*0.97</f>
        <v>16.17088754</v>
      </c>
      <c r="D1621" s="36">
        <f>'Lista de Preço 02_2022'!$C1621*1.2307</f>
        <v>19.90151129</v>
      </c>
      <c r="E1621" s="37">
        <v>7.8</v>
      </c>
      <c r="F1621" s="38">
        <v>0.18</v>
      </c>
      <c r="G1621" s="38" t="s">
        <v>22</v>
      </c>
      <c r="H1621" s="68" t="s">
        <v>3785</v>
      </c>
      <c r="I1621" s="40" t="s">
        <v>4181</v>
      </c>
      <c r="J1621" s="41" t="s">
        <v>3655</v>
      </c>
      <c r="K1621" s="42" t="s">
        <v>73</v>
      </c>
      <c r="L1621" s="43" t="s">
        <v>4182</v>
      </c>
      <c r="M1621" s="42">
        <v>8.482101E7</v>
      </c>
      <c r="N1621" s="44" t="s">
        <v>3657</v>
      </c>
      <c r="O1621" s="45">
        <v>0.272</v>
      </c>
      <c r="P1621" s="44">
        <v>7.899823508281E12</v>
      </c>
      <c r="Q1621" s="44">
        <v>1.0</v>
      </c>
    </row>
    <row r="1622" ht="15.75" customHeight="1">
      <c r="A1622" s="50" t="s">
        <v>4183</v>
      </c>
      <c r="B1622" s="36">
        <v>166.6334</v>
      </c>
      <c r="C1622" s="51">
        <f>'Lista de Preço 02_2022'!$B1622*0.9*0.9*0.9*0.9*0.9*0.97</f>
        <v>95.44349568</v>
      </c>
      <c r="D1622" s="36">
        <f>'Lista de Preço 02_2022'!$C1622*1.2307</f>
        <v>117.4623101</v>
      </c>
      <c r="E1622" s="52">
        <v>7.8</v>
      </c>
      <c r="F1622" s="53">
        <v>0.18</v>
      </c>
      <c r="G1622" s="53" t="s">
        <v>22</v>
      </c>
      <c r="H1622" s="69" t="s">
        <v>4184</v>
      </c>
      <c r="I1622" s="55" t="s">
        <v>4185</v>
      </c>
      <c r="J1622" s="56" t="s">
        <v>3655</v>
      </c>
      <c r="K1622" s="57" t="s">
        <v>73</v>
      </c>
      <c r="L1622" s="58" t="s">
        <v>4186</v>
      </c>
      <c r="M1622" s="57">
        <v>8.482101E7</v>
      </c>
      <c r="N1622" s="59" t="s">
        <v>3657</v>
      </c>
      <c r="O1622" s="60">
        <v>0.735</v>
      </c>
      <c r="P1622" s="59">
        <v>7.899823511779E12</v>
      </c>
      <c r="Q1622" s="59">
        <v>1.0</v>
      </c>
    </row>
    <row r="1623" ht="15.75" customHeight="1">
      <c r="A1623" s="50" t="s">
        <v>4187</v>
      </c>
      <c r="B1623" s="36">
        <v>64.94149999999999</v>
      </c>
      <c r="C1623" s="51">
        <f>'Lista de Preço 02_2022'!$B1623*0.9*0.9*0.9*0.9*0.9*0.97</f>
        <v>37.19688714</v>
      </c>
      <c r="D1623" s="36">
        <f>'Lista de Preço 02_2022'!$C1623*1.2307</f>
        <v>45.77820901</v>
      </c>
      <c r="E1623" s="52">
        <v>7.8</v>
      </c>
      <c r="F1623" s="53">
        <v>0.18</v>
      </c>
      <c r="G1623" s="53" t="s">
        <v>22</v>
      </c>
      <c r="H1623" s="69" t="s">
        <v>3785</v>
      </c>
      <c r="I1623" s="55" t="s">
        <v>4188</v>
      </c>
      <c r="J1623" s="56" t="s">
        <v>3655</v>
      </c>
      <c r="K1623" s="57" t="s">
        <v>2162</v>
      </c>
      <c r="L1623" s="58" t="s">
        <v>4189</v>
      </c>
      <c r="M1623" s="57">
        <v>8.482101E7</v>
      </c>
      <c r="N1623" s="59" t="s">
        <v>3657</v>
      </c>
      <c r="O1623" s="60">
        <v>0.455</v>
      </c>
      <c r="P1623" s="59">
        <v>7.899823511564E12</v>
      </c>
      <c r="Q1623" s="59">
        <v>1.0</v>
      </c>
    </row>
    <row r="1624" ht="15.75" customHeight="1">
      <c r="A1624" s="35" t="s">
        <v>4190</v>
      </c>
      <c r="B1624" s="36">
        <v>44.196696706713126</v>
      </c>
      <c r="C1624" s="36">
        <f>'Lista de Preço 02_2022'!$B1624*0.9*0.9*0.9*0.9*0.9*0.97</f>
        <v>25.31477622</v>
      </c>
      <c r="D1624" s="36">
        <f>'Lista de Preço 02_2022'!$C1624*1.2307</f>
        <v>31.15489509</v>
      </c>
      <c r="E1624" s="37">
        <v>7.8</v>
      </c>
      <c r="F1624" s="38">
        <v>0.18</v>
      </c>
      <c r="G1624" s="38" t="s">
        <v>22</v>
      </c>
      <c r="H1624" s="68" t="s">
        <v>4191</v>
      </c>
      <c r="I1624" s="40" t="s">
        <v>4192</v>
      </c>
      <c r="J1624" s="41" t="s">
        <v>3655</v>
      </c>
      <c r="K1624" s="42" t="s">
        <v>95</v>
      </c>
      <c r="L1624" s="43"/>
      <c r="M1624" s="42">
        <v>8.482101E7</v>
      </c>
      <c r="N1624" s="44" t="s">
        <v>3657</v>
      </c>
      <c r="O1624" s="45">
        <v>0.165</v>
      </c>
      <c r="P1624" s="44">
        <v>7.899823509462E12</v>
      </c>
      <c r="Q1624" s="44">
        <v>1.0</v>
      </c>
    </row>
    <row r="1625" ht="15.75" customHeight="1">
      <c r="A1625" s="35" t="s">
        <v>4193</v>
      </c>
      <c r="B1625" s="36">
        <v>27.27061268471766</v>
      </c>
      <c r="C1625" s="36">
        <f>'Lista de Preço 02_2022'!$B1625*0.9*0.9*0.9*0.9*0.9*0.97</f>
        <v>15.61993336</v>
      </c>
      <c r="D1625" s="36">
        <f>'Lista de Preço 02_2022'!$C1625*1.2307</f>
        <v>19.22345199</v>
      </c>
      <c r="E1625" s="37">
        <v>7.8</v>
      </c>
      <c r="F1625" s="38">
        <v>0.18</v>
      </c>
      <c r="G1625" s="38" t="s">
        <v>22</v>
      </c>
      <c r="H1625" s="68" t="s">
        <v>3785</v>
      </c>
      <c r="I1625" s="40" t="s">
        <v>4194</v>
      </c>
      <c r="J1625" s="41" t="s">
        <v>3655</v>
      </c>
      <c r="K1625" s="42" t="s">
        <v>3059</v>
      </c>
      <c r="L1625" s="43" t="s">
        <v>4195</v>
      </c>
      <c r="M1625" s="42">
        <v>8.482101E7</v>
      </c>
      <c r="N1625" s="44" t="s">
        <v>3657</v>
      </c>
      <c r="O1625" s="45">
        <v>0.344</v>
      </c>
      <c r="P1625" s="44">
        <v>7.899823508977E12</v>
      </c>
      <c r="Q1625" s="44">
        <v>1.0</v>
      </c>
    </row>
    <row r="1626" ht="15.75" customHeight="1">
      <c r="A1626" s="35" t="s">
        <v>4196</v>
      </c>
      <c r="B1626" s="36">
        <v>34.019743553597216</v>
      </c>
      <c r="C1626" s="36">
        <f>'Lista de Preço 02_2022'!$B1626*0.9*0.9*0.9*0.9*0.9*0.97</f>
        <v>19.48566882</v>
      </c>
      <c r="D1626" s="36">
        <f>'Lista de Preço 02_2022'!$C1626*1.2307</f>
        <v>23.98101262</v>
      </c>
      <c r="E1626" s="37">
        <v>7.8</v>
      </c>
      <c r="F1626" s="38">
        <v>0.18</v>
      </c>
      <c r="G1626" s="38" t="s">
        <v>22</v>
      </c>
      <c r="H1626" s="68" t="s">
        <v>3785</v>
      </c>
      <c r="I1626" s="40" t="s">
        <v>4197</v>
      </c>
      <c r="J1626" s="41" t="s">
        <v>3655</v>
      </c>
      <c r="K1626" s="42" t="s">
        <v>73</v>
      </c>
      <c r="L1626" s="43" t="s">
        <v>4198</v>
      </c>
      <c r="M1626" s="42">
        <v>8.482101E7</v>
      </c>
      <c r="N1626" s="44" t="s">
        <v>3657</v>
      </c>
      <c r="O1626" s="45">
        <v>0.328</v>
      </c>
      <c r="P1626" s="44">
        <v>7.899823508274E12</v>
      </c>
      <c r="Q1626" s="44">
        <v>1.0</v>
      </c>
    </row>
    <row r="1627" ht="15.75" customHeight="1">
      <c r="A1627" s="35" t="s">
        <v>4199</v>
      </c>
      <c r="B1627" s="36">
        <v>54.80011470161712</v>
      </c>
      <c r="C1627" s="36">
        <f>'Lista de Preço 02_2022'!$B1627*0.9*0.9*0.9*0.9*0.9*0.97</f>
        <v>31.38815214</v>
      </c>
      <c r="D1627" s="36">
        <f>'Lista de Preço 02_2022'!$C1627*1.2307</f>
        <v>38.62939884</v>
      </c>
      <c r="E1627" s="37">
        <v>7.8</v>
      </c>
      <c r="F1627" s="38">
        <v>0.18</v>
      </c>
      <c r="G1627" s="38" t="s">
        <v>22</v>
      </c>
      <c r="H1627" s="68" t="s">
        <v>3766</v>
      </c>
      <c r="I1627" s="40" t="s">
        <v>4200</v>
      </c>
      <c r="J1627" s="41" t="s">
        <v>3655</v>
      </c>
      <c r="K1627" s="42" t="s">
        <v>95</v>
      </c>
      <c r="L1627" s="43" t="s">
        <v>4201</v>
      </c>
      <c r="M1627" s="42">
        <v>8.482101E7</v>
      </c>
      <c r="N1627" s="44" t="s">
        <v>3657</v>
      </c>
      <c r="O1627" s="45">
        <v>0.413</v>
      </c>
      <c r="P1627" s="44">
        <v>7.899823507697E12</v>
      </c>
      <c r="Q1627" s="44">
        <v>1.0</v>
      </c>
    </row>
    <row r="1628" ht="15.75" customHeight="1">
      <c r="A1628" s="35" t="s">
        <v>4202</v>
      </c>
      <c r="B1628" s="36">
        <v>76.45913166660509</v>
      </c>
      <c r="C1628" s="36">
        <f>'Lista de Preço 02_2022'!$B1628*0.9*0.9*0.9*0.9*0.9*0.97</f>
        <v>43.79390208</v>
      </c>
      <c r="D1628" s="36">
        <f>'Lista de Preço 02_2022'!$C1628*1.2307</f>
        <v>53.89715529</v>
      </c>
      <c r="E1628" s="37">
        <v>7.8</v>
      </c>
      <c r="F1628" s="38">
        <v>0.18</v>
      </c>
      <c r="G1628" s="38" t="s">
        <v>22</v>
      </c>
      <c r="H1628" s="68" t="s">
        <v>3695</v>
      </c>
      <c r="I1628" s="40" t="s">
        <v>4203</v>
      </c>
      <c r="J1628" s="41" t="s">
        <v>3655</v>
      </c>
      <c r="K1628" s="42" t="s">
        <v>95</v>
      </c>
      <c r="L1628" s="43" t="s">
        <v>4204</v>
      </c>
      <c r="M1628" s="42">
        <v>8.482101E7</v>
      </c>
      <c r="N1628" s="44" t="s">
        <v>3657</v>
      </c>
      <c r="O1628" s="45">
        <v>0.586</v>
      </c>
      <c r="P1628" s="44">
        <v>7.899823507673E12</v>
      </c>
      <c r="Q1628" s="44">
        <v>1.0</v>
      </c>
    </row>
    <row r="1629" ht="15.75" customHeight="1">
      <c r="A1629" s="35" t="s">
        <v>4205</v>
      </c>
      <c r="B1629" s="36">
        <v>85.22066463974267</v>
      </c>
      <c r="C1629" s="36">
        <f>'Lista de Preço 02_2022'!$B1629*0.9*0.9*0.9*0.9*0.9*0.97</f>
        <v>48.81229176</v>
      </c>
      <c r="D1629" s="36">
        <f>'Lista de Preço 02_2022'!$C1629*1.2307</f>
        <v>60.07328746</v>
      </c>
      <c r="E1629" s="37">
        <v>7.8</v>
      </c>
      <c r="F1629" s="38">
        <v>0.18</v>
      </c>
      <c r="G1629" s="38" t="s">
        <v>22</v>
      </c>
      <c r="H1629" s="68" t="s">
        <v>3766</v>
      </c>
      <c r="I1629" s="40" t="s">
        <v>4206</v>
      </c>
      <c r="J1629" s="41" t="s">
        <v>3655</v>
      </c>
      <c r="K1629" s="42" t="s">
        <v>661</v>
      </c>
      <c r="L1629" s="43" t="s">
        <v>4207</v>
      </c>
      <c r="M1629" s="42">
        <v>8.482101E7</v>
      </c>
      <c r="N1629" s="44" t="s">
        <v>3657</v>
      </c>
      <c r="O1629" s="45">
        <v>0.627</v>
      </c>
      <c r="P1629" s="44">
        <v>7.899823509424E12</v>
      </c>
      <c r="Q1629" s="44">
        <v>1.0</v>
      </c>
    </row>
    <row r="1630" ht="15.75" customHeight="1">
      <c r="A1630" s="35" t="s">
        <v>4208</v>
      </c>
      <c r="B1630" s="36">
        <v>187.25547197367086</v>
      </c>
      <c r="C1630" s="36">
        <f>'Lista de Preço 02_2022'!$B1630*0.9*0.9*0.9*0.9*0.9*0.97</f>
        <v>107.2553091</v>
      </c>
      <c r="D1630" s="36">
        <f>'Lista de Preço 02_2022'!$C1630*1.2307</f>
        <v>131.999109</v>
      </c>
      <c r="E1630" s="37">
        <v>7.8</v>
      </c>
      <c r="F1630" s="38">
        <v>0.18</v>
      </c>
      <c r="G1630" s="38" t="s">
        <v>22</v>
      </c>
      <c r="H1630" s="68" t="s">
        <v>3785</v>
      </c>
      <c r="I1630" s="40" t="s">
        <v>4209</v>
      </c>
      <c r="J1630" s="41" t="s">
        <v>3655</v>
      </c>
      <c r="K1630" s="42" t="s">
        <v>1580</v>
      </c>
      <c r="L1630" s="43" t="s">
        <v>4210</v>
      </c>
      <c r="M1630" s="42">
        <v>8.482101E7</v>
      </c>
      <c r="N1630" s="44" t="s">
        <v>3657</v>
      </c>
      <c r="O1630" s="45">
        <v>0.967</v>
      </c>
      <c r="P1630" s="44">
        <v>7.89982350924E12</v>
      </c>
      <c r="Q1630" s="44">
        <v>1.0</v>
      </c>
    </row>
    <row r="1631" ht="15.75" customHeight="1">
      <c r="A1631" s="35" t="s">
        <v>4211</v>
      </c>
      <c r="B1631" s="36">
        <v>61.51571588127072</v>
      </c>
      <c r="C1631" s="36">
        <f>'Lista de Preço 02_2022'!$B1631*0.9*0.9*0.9*0.9*0.9*0.97</f>
        <v>35.23468262</v>
      </c>
      <c r="D1631" s="36">
        <f>'Lista de Preço 02_2022'!$C1631*1.2307</f>
        <v>43.3633239</v>
      </c>
      <c r="E1631" s="37">
        <v>7.8</v>
      </c>
      <c r="F1631" s="38">
        <v>0.18</v>
      </c>
      <c r="G1631" s="38" t="s">
        <v>22</v>
      </c>
      <c r="H1631" s="68" t="s">
        <v>3695</v>
      </c>
      <c r="I1631" s="40" t="s">
        <v>4212</v>
      </c>
      <c r="J1631" s="41" t="s">
        <v>3655</v>
      </c>
      <c r="K1631" s="42" t="s">
        <v>95</v>
      </c>
      <c r="L1631" s="43" t="s">
        <v>4213</v>
      </c>
      <c r="M1631" s="42">
        <v>8.482101E7</v>
      </c>
      <c r="N1631" s="44" t="s">
        <v>3657</v>
      </c>
      <c r="O1631" s="45">
        <v>0.534</v>
      </c>
      <c r="P1631" s="44">
        <v>7.899823507581E12</v>
      </c>
      <c r="Q1631" s="44">
        <v>1.0</v>
      </c>
    </row>
    <row r="1632" ht="15.75" customHeight="1">
      <c r="A1632" s="35" t="s">
        <v>4214</v>
      </c>
      <c r="B1632" s="36">
        <v>86.29172136176162</v>
      </c>
      <c r="C1632" s="36">
        <f>'Lista de Preço 02_2022'!$B1632*0.9*0.9*0.9*0.9*0.9*0.97</f>
        <v>49.42576659</v>
      </c>
      <c r="D1632" s="36">
        <f>'Lista de Preço 02_2022'!$C1632*1.2307</f>
        <v>60.82829094</v>
      </c>
      <c r="E1632" s="37">
        <v>7.8</v>
      </c>
      <c r="F1632" s="38">
        <v>0.18</v>
      </c>
      <c r="G1632" s="38" t="s">
        <v>22</v>
      </c>
      <c r="H1632" s="68" t="s">
        <v>3695</v>
      </c>
      <c r="I1632" s="40" t="s">
        <v>4215</v>
      </c>
      <c r="J1632" s="41" t="s">
        <v>3655</v>
      </c>
      <c r="K1632" s="42" t="s">
        <v>68</v>
      </c>
      <c r="L1632" s="43">
        <v>9.0425658E7</v>
      </c>
      <c r="M1632" s="42">
        <v>8.482101E7</v>
      </c>
      <c r="N1632" s="44" t="s">
        <v>3657</v>
      </c>
      <c r="O1632" s="45">
        <v>0.657</v>
      </c>
      <c r="P1632" s="44">
        <v>7.899823508168E12</v>
      </c>
      <c r="Q1632" s="44">
        <v>1.0</v>
      </c>
    </row>
    <row r="1633" ht="15.75" customHeight="1">
      <c r="A1633" s="35" t="s">
        <v>4216</v>
      </c>
      <c r="B1633" s="36">
        <v>61.09666562475371</v>
      </c>
      <c r="C1633" s="36">
        <f>'Lista de Preço 02_2022'!$B1633*0.9*0.9*0.9*0.9*0.9*0.97</f>
        <v>34.99466098</v>
      </c>
      <c r="D1633" s="36">
        <f>'Lista de Preço 02_2022'!$C1633*1.2307</f>
        <v>43.06792927</v>
      </c>
      <c r="E1633" s="37">
        <v>7.8</v>
      </c>
      <c r="F1633" s="38">
        <v>0.18</v>
      </c>
      <c r="G1633" s="38" t="s">
        <v>22</v>
      </c>
      <c r="H1633" s="68" t="s">
        <v>3695</v>
      </c>
      <c r="I1633" s="40" t="s">
        <v>4217</v>
      </c>
      <c r="J1633" s="41" t="s">
        <v>3655</v>
      </c>
      <c r="K1633" s="42" t="s">
        <v>68</v>
      </c>
      <c r="L1633" s="43">
        <v>9.3273303E7</v>
      </c>
      <c r="M1633" s="42">
        <v>8.482101E7</v>
      </c>
      <c r="N1633" s="44" t="s">
        <v>3657</v>
      </c>
      <c r="O1633" s="45">
        <v>0.506</v>
      </c>
      <c r="P1633" s="44">
        <v>7.899823507666E12</v>
      </c>
      <c r="Q1633" s="44">
        <v>1.0</v>
      </c>
    </row>
    <row r="1634" ht="15.75" customHeight="1">
      <c r="A1634" s="35" t="s">
        <v>4218</v>
      </c>
      <c r="B1634" s="36">
        <v>290.1619089984703</v>
      </c>
      <c r="C1634" s="36">
        <f>'Lista de Preço 02_2022'!$B1634*0.9*0.9*0.9*0.9*0.9*0.97</f>
        <v>166.1975745</v>
      </c>
      <c r="D1634" s="36">
        <f>'Lista de Preço 02_2022'!$C1634*1.2307</f>
        <v>204.5393549</v>
      </c>
      <c r="E1634" s="37">
        <v>7.8</v>
      </c>
      <c r="F1634" s="38">
        <v>0.18</v>
      </c>
      <c r="G1634" s="38" t="s">
        <v>22</v>
      </c>
      <c r="H1634" s="68" t="s">
        <v>3713</v>
      </c>
      <c r="I1634" s="40" t="s">
        <v>4219</v>
      </c>
      <c r="J1634" s="41" t="s">
        <v>3655</v>
      </c>
      <c r="K1634" s="42" t="s">
        <v>1876</v>
      </c>
      <c r="L1634" s="43" t="s">
        <v>4220</v>
      </c>
      <c r="M1634" s="42">
        <v>8.482101E7</v>
      </c>
      <c r="N1634" s="44" t="s">
        <v>3657</v>
      </c>
      <c r="O1634" s="45">
        <v>0.852</v>
      </c>
      <c r="P1634" s="44">
        <v>7.899823509226E12</v>
      </c>
      <c r="Q1634" s="44">
        <v>1.0</v>
      </c>
    </row>
    <row r="1635" ht="15.75" customHeight="1">
      <c r="A1635" s="35" t="s">
        <v>4221</v>
      </c>
      <c r="B1635" s="36">
        <v>25.3604497316408</v>
      </c>
      <c r="C1635" s="36">
        <f>'Lista de Preço 02_2022'!$B1635*0.9*0.9*0.9*0.9*0.9*0.97</f>
        <v>14.5258392</v>
      </c>
      <c r="D1635" s="36">
        <f>'Lista de Preço 02_2022'!$C1635*1.2307</f>
        <v>17.87695031</v>
      </c>
      <c r="E1635" s="37">
        <v>7.8</v>
      </c>
      <c r="F1635" s="38">
        <v>0.18</v>
      </c>
      <c r="G1635" s="38" t="s">
        <v>22</v>
      </c>
      <c r="H1635" s="68" t="s">
        <v>3766</v>
      </c>
      <c r="I1635" s="40" t="s">
        <v>4222</v>
      </c>
      <c r="J1635" s="41" t="s">
        <v>3655</v>
      </c>
      <c r="K1635" s="42" t="s">
        <v>68</v>
      </c>
      <c r="L1635" s="43" t="s">
        <v>4223</v>
      </c>
      <c r="M1635" s="42">
        <v>8.482209E7</v>
      </c>
      <c r="N1635" s="44" t="s">
        <v>3657</v>
      </c>
      <c r="O1635" s="45">
        <v>0.185</v>
      </c>
      <c r="P1635" s="44">
        <v>7.899823507925E12</v>
      </c>
      <c r="Q1635" s="44">
        <v>1.0</v>
      </c>
    </row>
    <row r="1636" ht="15.75" customHeight="1">
      <c r="A1636" s="35" t="s">
        <v>4224</v>
      </c>
      <c r="B1636" s="36">
        <v>28.010789644279107</v>
      </c>
      <c r="C1636" s="36">
        <f>'Lista de Preço 02_2022'!$B1636*0.9*0.9*0.9*0.9*0.9*0.97</f>
        <v>16.04388844</v>
      </c>
      <c r="D1636" s="36">
        <f>'Lista de Preço 02_2022'!$C1636*1.2307</f>
        <v>19.74521351</v>
      </c>
      <c r="E1636" s="37">
        <v>7.8</v>
      </c>
      <c r="F1636" s="38">
        <v>0.18</v>
      </c>
      <c r="G1636" s="38" t="s">
        <v>22</v>
      </c>
      <c r="H1636" s="68" t="s">
        <v>3695</v>
      </c>
      <c r="I1636" s="40" t="s">
        <v>4225</v>
      </c>
      <c r="J1636" s="41" t="s">
        <v>3655</v>
      </c>
      <c r="K1636" s="42" t="s">
        <v>26</v>
      </c>
      <c r="L1636" s="43" t="s">
        <v>4226</v>
      </c>
      <c r="M1636" s="42">
        <v>8.482209E7</v>
      </c>
      <c r="N1636" s="44" t="s">
        <v>3657</v>
      </c>
      <c r="O1636" s="45">
        <v>0.18</v>
      </c>
      <c r="P1636" s="44">
        <v>7.899823507932E12</v>
      </c>
      <c r="Q1636" s="44">
        <v>1.0</v>
      </c>
    </row>
    <row r="1637" ht="15.75" customHeight="1">
      <c r="A1637" s="35" t="s">
        <v>4227</v>
      </c>
      <c r="B1637" s="36">
        <v>100.06610441998585</v>
      </c>
      <c r="C1637" s="36">
        <f>'Lista de Preço 02_2022'!$B1637*0.9*0.9*0.9*0.9*0.9*0.97</f>
        <v>57.31539298</v>
      </c>
      <c r="D1637" s="36">
        <f>'Lista de Preço 02_2022'!$C1637*1.2307</f>
        <v>70.53805414</v>
      </c>
      <c r="E1637" s="37">
        <v>7.8</v>
      </c>
      <c r="F1637" s="38">
        <v>0.18</v>
      </c>
      <c r="G1637" s="38" t="s">
        <v>22</v>
      </c>
      <c r="H1637" s="68" t="s">
        <v>3750</v>
      </c>
      <c r="I1637" s="40" t="s">
        <v>4228</v>
      </c>
      <c r="J1637" s="41" t="s">
        <v>3655</v>
      </c>
      <c r="K1637" s="42" t="s">
        <v>157</v>
      </c>
      <c r="L1637" s="43" t="s">
        <v>4229</v>
      </c>
      <c r="M1637" s="42">
        <v>8.482101E7</v>
      </c>
      <c r="N1637" s="44" t="s">
        <v>3657</v>
      </c>
      <c r="O1637" s="45">
        <v>0.67</v>
      </c>
      <c r="P1637" s="44">
        <v>7.89982350867E12</v>
      </c>
      <c r="Q1637" s="44">
        <v>1.0</v>
      </c>
    </row>
    <row r="1638" ht="15.75" customHeight="1">
      <c r="A1638" s="35" t="s">
        <v>4230</v>
      </c>
      <c r="B1638" s="36">
        <v>27.27061268471766</v>
      </c>
      <c r="C1638" s="36">
        <f>'Lista de Preço 02_2022'!$B1638*0.9*0.9*0.9*0.9*0.9*0.97</f>
        <v>15.61993336</v>
      </c>
      <c r="D1638" s="36">
        <f>'Lista de Preço 02_2022'!$C1638*1.2307</f>
        <v>19.22345199</v>
      </c>
      <c r="E1638" s="37">
        <v>7.8</v>
      </c>
      <c r="F1638" s="38">
        <v>0.18</v>
      </c>
      <c r="G1638" s="38" t="s">
        <v>22</v>
      </c>
      <c r="H1638" s="68" t="s">
        <v>3695</v>
      </c>
      <c r="I1638" s="40" t="s">
        <v>4231</v>
      </c>
      <c r="J1638" s="41" t="s">
        <v>3655</v>
      </c>
      <c r="K1638" s="42" t="s">
        <v>26</v>
      </c>
      <c r="L1638" s="43"/>
      <c r="M1638" s="42">
        <v>8.482209E7</v>
      </c>
      <c r="N1638" s="44" t="s">
        <v>3657</v>
      </c>
      <c r="O1638" s="45">
        <v>0.201</v>
      </c>
      <c r="P1638" s="44">
        <v>7.899823509509E12</v>
      </c>
      <c r="Q1638" s="44">
        <v>1.0</v>
      </c>
    </row>
    <row r="1639" ht="15.75" customHeight="1">
      <c r="A1639" s="35" t="s">
        <v>4232</v>
      </c>
      <c r="B1639" s="36">
        <v>28.484700525770045</v>
      </c>
      <c r="C1639" s="36">
        <f>'Lista de Preço 02_2022'!$B1639*0.9*0.9*0.9*0.9*0.9*0.97</f>
        <v>16.31533289</v>
      </c>
      <c r="D1639" s="36">
        <f>'Lista de Preço 02_2022'!$C1639*1.2307</f>
        <v>20.07928019</v>
      </c>
      <c r="E1639" s="37">
        <v>7.8</v>
      </c>
      <c r="F1639" s="38">
        <v>0.18</v>
      </c>
      <c r="G1639" s="38" t="s">
        <v>22</v>
      </c>
      <c r="H1639" s="68" t="s">
        <v>3695</v>
      </c>
      <c r="I1639" s="40" t="s">
        <v>4233</v>
      </c>
      <c r="J1639" s="41" t="s">
        <v>3655</v>
      </c>
      <c r="K1639" s="42" t="s">
        <v>26</v>
      </c>
      <c r="L1639" s="43">
        <v>5.54107625E8</v>
      </c>
      <c r="M1639" s="42">
        <v>8.482209E7</v>
      </c>
      <c r="N1639" s="44" t="s">
        <v>3657</v>
      </c>
      <c r="O1639" s="45">
        <v>0.209</v>
      </c>
      <c r="P1639" s="44">
        <v>7.899823507857E12</v>
      </c>
      <c r="Q1639" s="44">
        <v>1.0</v>
      </c>
    </row>
    <row r="1640" ht="15.75" customHeight="1">
      <c r="A1640" s="35" t="s">
        <v>4234</v>
      </c>
      <c r="B1640" s="36">
        <v>61.938020566954506</v>
      </c>
      <c r="C1640" s="36">
        <f>'Lista de Preço 02_2022'!$B1640*0.9*0.9*0.9*0.9*0.9*0.97</f>
        <v>35.47656831</v>
      </c>
      <c r="D1640" s="36">
        <f>'Lista de Preço 02_2022'!$C1640*1.2307</f>
        <v>43.66101262</v>
      </c>
      <c r="E1640" s="37">
        <v>7.8</v>
      </c>
      <c r="F1640" s="38">
        <v>0.18</v>
      </c>
      <c r="G1640" s="38" t="s">
        <v>22</v>
      </c>
      <c r="H1640" s="68" t="s">
        <v>3695</v>
      </c>
      <c r="I1640" s="40" t="s">
        <v>4235</v>
      </c>
      <c r="J1640" s="41" t="s">
        <v>3655</v>
      </c>
      <c r="K1640" s="42" t="s">
        <v>68</v>
      </c>
      <c r="L1640" s="43">
        <v>9.3362342E7</v>
      </c>
      <c r="M1640" s="42">
        <v>8.482101E7</v>
      </c>
      <c r="N1640" s="44" t="s">
        <v>3657</v>
      </c>
      <c r="O1640" s="45">
        <v>0.519</v>
      </c>
      <c r="P1640" s="44">
        <v>7.899823507758E12</v>
      </c>
      <c r="Q1640" s="44">
        <v>1.0</v>
      </c>
    </row>
    <row r="1641" ht="15.75" customHeight="1">
      <c r="A1641" s="35" t="s">
        <v>4236</v>
      </c>
      <c r="B1641" s="36">
        <v>96.90612217514418</v>
      </c>
      <c r="C1641" s="36">
        <f>'Lista de Preço 02_2022'!$B1641*0.9*0.9*0.9*0.9*0.9*0.97</f>
        <v>55.5054332</v>
      </c>
      <c r="D1641" s="36">
        <f>'Lista de Preço 02_2022'!$C1641*1.2307</f>
        <v>68.31053664</v>
      </c>
      <c r="E1641" s="37">
        <v>7.8</v>
      </c>
      <c r="F1641" s="38">
        <v>0.18</v>
      </c>
      <c r="G1641" s="38" t="s">
        <v>22</v>
      </c>
      <c r="H1641" s="68" t="s">
        <v>3794</v>
      </c>
      <c r="I1641" s="40" t="s">
        <v>4237</v>
      </c>
      <c r="J1641" s="41" t="s">
        <v>3655</v>
      </c>
      <c r="K1641" s="42" t="s">
        <v>153</v>
      </c>
      <c r="L1641" s="43" t="s">
        <v>4238</v>
      </c>
      <c r="M1641" s="42">
        <v>8.482209E7</v>
      </c>
      <c r="N1641" s="44" t="s">
        <v>3657</v>
      </c>
      <c r="O1641" s="45">
        <v>0.516</v>
      </c>
      <c r="P1641" s="44">
        <v>7.899823508403E12</v>
      </c>
      <c r="Q1641" s="44">
        <v>1.0</v>
      </c>
    </row>
    <row r="1642" ht="15.75" customHeight="1">
      <c r="A1642" s="35" t="s">
        <v>4239</v>
      </c>
      <c r="B1642" s="36">
        <v>219.23834734540424</v>
      </c>
      <c r="C1642" s="36">
        <f>'Lista de Preço 02_2022'!$B1642*0.9*0.9*0.9*0.9*0.9*0.97</f>
        <v>125.5743102</v>
      </c>
      <c r="D1642" s="36">
        <f>'Lista de Preço 02_2022'!$C1642*1.2307</f>
        <v>154.5443035</v>
      </c>
      <c r="E1642" s="37">
        <v>7.8</v>
      </c>
      <c r="F1642" s="38">
        <v>0.18</v>
      </c>
      <c r="G1642" s="38" t="s">
        <v>22</v>
      </c>
      <c r="H1642" s="68" t="s">
        <v>3794</v>
      </c>
      <c r="I1642" s="40" t="s">
        <v>4240</v>
      </c>
      <c r="J1642" s="41" t="s">
        <v>3655</v>
      </c>
      <c r="K1642" s="42" t="s">
        <v>68</v>
      </c>
      <c r="L1642" s="43">
        <v>9.333546E7</v>
      </c>
      <c r="M1642" s="42">
        <v>8.482209E7</v>
      </c>
      <c r="N1642" s="44" t="s">
        <v>3657</v>
      </c>
      <c r="O1642" s="45">
        <v>1.243</v>
      </c>
      <c r="P1642" s="44">
        <v>7.899823508946E12</v>
      </c>
      <c r="Q1642" s="44">
        <v>1.0</v>
      </c>
    </row>
    <row r="1643" ht="15.75" customHeight="1">
      <c r="A1643" s="35" t="s">
        <v>4241</v>
      </c>
      <c r="B1643" s="36">
        <v>46.0251</v>
      </c>
      <c r="C1643" s="36">
        <f>'Lista de Preço 02_2022'!$B1643*0.9*0.9*0.9*0.9*0.9*0.97</f>
        <v>26.36204046</v>
      </c>
      <c r="D1643" s="36">
        <f>'Lista de Preço 02_2022'!$C1643*1.2307</f>
        <v>32.44376319</v>
      </c>
      <c r="E1643" s="37">
        <v>7.8</v>
      </c>
      <c r="F1643" s="38">
        <v>0.18</v>
      </c>
      <c r="G1643" s="38" t="s">
        <v>22</v>
      </c>
      <c r="H1643" s="68" t="s">
        <v>4242</v>
      </c>
      <c r="I1643" s="40" t="s">
        <v>4243</v>
      </c>
      <c r="J1643" s="41" t="s">
        <v>3655</v>
      </c>
      <c r="K1643" s="42" t="s">
        <v>95</v>
      </c>
      <c r="L1643" s="43" t="s">
        <v>4244</v>
      </c>
      <c r="M1643" s="42">
        <v>8.482101E7</v>
      </c>
      <c r="N1643" s="44" t="s">
        <v>3657</v>
      </c>
      <c r="O1643" s="45">
        <v>0.114</v>
      </c>
      <c r="P1643" s="44">
        <v>7.89982351167E12</v>
      </c>
      <c r="Q1643" s="44">
        <v>1.0</v>
      </c>
    </row>
    <row r="1644" ht="15.75" customHeight="1">
      <c r="A1644" s="35" t="s">
        <v>4245</v>
      </c>
      <c r="B1644" s="36">
        <v>46.0251</v>
      </c>
      <c r="C1644" s="36">
        <f>'Lista de Preço 02_2022'!$B1644*0.9*0.9*0.9*0.9*0.9*0.97</f>
        <v>26.36204046</v>
      </c>
      <c r="D1644" s="36">
        <f>'Lista de Preço 02_2022'!$C1644*1.2307</f>
        <v>32.44376319</v>
      </c>
      <c r="E1644" s="37">
        <v>7.8</v>
      </c>
      <c r="F1644" s="38">
        <v>0.18</v>
      </c>
      <c r="G1644" s="38" t="s">
        <v>22</v>
      </c>
      <c r="H1644" s="68" t="s">
        <v>4242</v>
      </c>
      <c r="I1644" s="40" t="s">
        <v>4246</v>
      </c>
      <c r="J1644" s="41" t="s">
        <v>3655</v>
      </c>
      <c r="K1644" s="42" t="s">
        <v>95</v>
      </c>
      <c r="L1644" s="43" t="s">
        <v>4247</v>
      </c>
      <c r="M1644" s="42">
        <v>8.482101E7</v>
      </c>
      <c r="N1644" s="44" t="s">
        <v>3657</v>
      </c>
      <c r="O1644" s="45">
        <v>0.11</v>
      </c>
      <c r="P1644" s="44">
        <v>7.899823511687E12</v>
      </c>
      <c r="Q1644" s="44">
        <v>1.0</v>
      </c>
    </row>
    <row r="1645" ht="15.75" customHeight="1">
      <c r="A1645" s="35" t="s">
        <v>4248</v>
      </c>
      <c r="B1645" s="36">
        <v>87.12960752767289</v>
      </c>
      <c r="C1645" s="36">
        <f>'Lista de Preço 02_2022'!$B1645*0.9*0.9*0.9*0.9*0.9*0.97</f>
        <v>49.90568709</v>
      </c>
      <c r="D1645" s="36">
        <f>'Lista de Preço 02_2022'!$C1645*1.2307</f>
        <v>61.4189291</v>
      </c>
      <c r="E1645" s="37">
        <v>7.8</v>
      </c>
      <c r="F1645" s="38">
        <v>0.18</v>
      </c>
      <c r="G1645" s="38" t="s">
        <v>22</v>
      </c>
      <c r="H1645" s="68" t="s">
        <v>3785</v>
      </c>
      <c r="I1645" s="40" t="s">
        <v>4249</v>
      </c>
      <c r="J1645" s="41" t="s">
        <v>3655</v>
      </c>
      <c r="K1645" s="42" t="s">
        <v>26</v>
      </c>
      <c r="L1645" s="43"/>
      <c r="M1645" s="42">
        <v>8.482101E7</v>
      </c>
      <c r="N1645" s="44" t="s">
        <v>3657</v>
      </c>
      <c r="O1645" s="45">
        <v>0.541</v>
      </c>
      <c r="P1645" s="44">
        <v>7.899823508588E12</v>
      </c>
      <c r="Q1645" s="44">
        <v>1.0</v>
      </c>
    </row>
  </sheetData>
  <mergeCells count="2">
    <mergeCell ref="C1:N2"/>
    <mergeCell ref="I3:J3"/>
  </mergeCells>
  <printOptions/>
  <pageMargins bottom="0.7874015748031497" footer="0.0" header="0.0" left="0.5118110236220472" right="0.5118110236220472" top="0.7874015748031497"/>
  <pageSetup paperSize="9" scale="80"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2015-03-15T15:24:28Z</dcterms:created>
  <dc:creator>Ranieri Pereira Fernandes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